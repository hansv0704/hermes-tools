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esktop\Alice_Brain_Arch_20260506_031953\作業區\"/>
    </mc:Choice>
  </mc:AlternateContent>
  <xr:revisionPtr revIDLastSave="0" documentId="13_ncr:1_{60882007-9832-42DA-BD57-8A35149417A4}" xr6:coauthVersionLast="36" xr6:coauthVersionMax="36" xr10:uidLastSave="{00000000-0000-0000-0000-000000000000}"/>
  <bookViews>
    <workbookView xWindow="0" yWindow="0" windowWidth="21570" windowHeight="7515" xr2:uid="{843FF0E6-8D0C-4E0C-873D-D2439737D584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3" i="1" l="1"/>
  <c r="AV3" i="1"/>
  <c r="AU3" i="1"/>
  <c r="AT3" i="1"/>
  <c r="N3" i="1"/>
</calcChain>
</file>

<file path=xl/sharedStrings.xml><?xml version="1.0" encoding="utf-8"?>
<sst xmlns="http://schemas.openxmlformats.org/spreadsheetml/2006/main" count="97" uniqueCount="90">
  <si>
    <t>縣市</t>
  </si>
  <si>
    <t>鄉鎮區</t>
  </si>
  <si>
    <t>村里</t>
  </si>
  <si>
    <t>發生地點</t>
  </si>
  <si>
    <t>代表地標</t>
  </si>
  <si>
    <t>溪流型態(陳天健)</t>
  </si>
  <si>
    <t>年度</t>
  </si>
  <si>
    <t>事件</t>
  </si>
  <si>
    <t>發生時間</t>
  </si>
  <si>
    <t>發生次數</t>
  </si>
  <si>
    <t>再發生時間間隔</t>
  </si>
  <si>
    <t>崩塌面積_災前</t>
  </si>
  <si>
    <t>崩塌面積_災後</t>
  </si>
  <si>
    <t>崩塌率_災前</t>
  </si>
  <si>
    <t>崩塌率_災後</t>
  </si>
  <si>
    <t>地震影響</t>
  </si>
  <si>
    <t>發生次數(排除地震)</t>
  </si>
  <si>
    <t>再發生時間間隔(排除地震)</t>
  </si>
  <si>
    <t>警戒基準值 (mm)</t>
  </si>
  <si>
    <t>觀測雨量站站號</t>
  </si>
  <si>
    <t>觀測雨量站站名</t>
  </si>
  <si>
    <t>事件總雨量</t>
  </si>
  <si>
    <t>發生降雨強度</t>
    <phoneticPr fontId="2" type="noConversion"/>
  </si>
  <si>
    <t>有效累積雨量</t>
    <phoneticPr fontId="2" type="noConversion"/>
  </si>
  <si>
    <t>發生3小時</t>
  </si>
  <si>
    <t>發生6小時</t>
  </si>
  <si>
    <t>發生12小時</t>
  </si>
  <si>
    <t>發生24小時</t>
  </si>
  <si>
    <t>發生1hr重現期(年)</t>
  </si>
  <si>
    <t>發生3hr重現期(年)</t>
  </si>
  <si>
    <t>發生6hr重現期(年)</t>
  </si>
  <si>
    <t>發生12hr重現期(年)</t>
  </si>
  <si>
    <t>發生24hr重現期(年)</t>
  </si>
  <si>
    <t>雨場最大1小時</t>
  </si>
  <si>
    <t>雨場最大3小時</t>
  </si>
  <si>
    <t>雨場最大6小時</t>
  </si>
  <si>
    <t>雨場前最大12小時</t>
  </si>
  <si>
    <t>雨場最大24小時</t>
  </si>
  <si>
    <t>雨場1hr重現期(年)</t>
  </si>
  <si>
    <t>雨場3hr重現期(年)</t>
  </si>
  <si>
    <t>雨場6hr重現期(年)</t>
  </si>
  <si>
    <t>雨場12hr重現期(年)</t>
  </si>
  <si>
    <t>雨場24hr重現期(年)</t>
  </si>
  <si>
    <t>發生降雨延時</t>
  </si>
  <si>
    <t>崩塌面積</t>
    <phoneticPr fontId="2" type="noConversion"/>
  </si>
  <si>
    <t>降雨強度</t>
    <phoneticPr fontId="2" type="noConversion"/>
  </si>
  <si>
    <t>有效降雨量</t>
    <phoneticPr fontId="2" type="noConversion"/>
  </si>
  <si>
    <t>類型</t>
    <phoneticPr fontId="2" type="noConversion"/>
  </si>
  <si>
    <t>宜蘭縣</t>
  </si>
  <si>
    <t>南澳鄉</t>
  </si>
  <si>
    <t>碧候村</t>
  </si>
  <si>
    <t>宜縣DF146</t>
  </si>
  <si>
    <t>溪流型</t>
  </si>
  <si>
    <t>蘇拉颱風</t>
  </si>
  <si>
    <t>否</t>
  </si>
  <si>
    <t>C0U770</t>
  </si>
  <si>
    <t>南澳</t>
  </si>
  <si>
    <t>2年</t>
  </si>
  <si>
    <t>5年</t>
  </si>
  <si>
    <t>10年</t>
  </si>
  <si>
    <t>25年</t>
  </si>
  <si>
    <t>50年</t>
  </si>
  <si>
    <t>奕超已完成之重現期.xlsx</t>
  </si>
  <si>
    <t>WeaRainAreaOption.xlsx</t>
  </si>
  <si>
    <t>雨量站編號</t>
  </si>
  <si>
    <t>雨量站名稱</t>
  </si>
  <si>
    <t>場次序號</t>
  </si>
  <si>
    <t>開始降雨時間</t>
  </si>
  <si>
    <t>結束降雨時間</t>
  </si>
  <si>
    <t>降雨延時</t>
  </si>
  <si>
    <t>總降雨量</t>
  </si>
  <si>
    <t>最大時雨量發生時間</t>
  </si>
  <si>
    <t>最大時雨量</t>
  </si>
  <si>
    <t>最大3時累積雨量</t>
  </si>
  <si>
    <t>最大6時累積雨量</t>
  </si>
  <si>
    <t>最大12時累積雨量</t>
  </si>
  <si>
    <t>最大24時累積雨量</t>
  </si>
  <si>
    <t>最大48時累積雨量</t>
  </si>
  <si>
    <t>七天前期雨量(0.6)</t>
  </si>
  <si>
    <t>七天前期雨量(0.7)</t>
  </si>
  <si>
    <t>七天前期雨量(0.8)</t>
  </si>
  <si>
    <t>尖零_尖峰</t>
  </si>
  <si>
    <t>Rt(0.6)</t>
  </si>
  <si>
    <t>Rt(0.7)</t>
  </si>
  <si>
    <t>Rt(0.8)</t>
  </si>
  <si>
    <t>時雨量</t>
  </si>
  <si>
    <t>2012/07/30 15:00</t>
  </si>
  <si>
    <t>2012/08/02 06:00</t>
  </si>
  <si>
    <t>2012/08/02 01:00</t>
  </si>
  <si>
    <t>#行數(給AI看的)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</si>
</sst>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4" fillId="0" borderId="1" xfId="1" applyNumberFormat="1" applyFont="1" applyBorder="1" applyAlignment="1">
      <alignment horizontal="center" vertical="center" wrapText="1"/>
    </xf>
    <xf numFmtId="0" fontId="1" fillId="3" borderId="0" xfId="0" applyFont="1" applyFill="1">
      <alignment vertical="center"/>
    </xf>
  </cellXfs>
  <cellStyles count="2">
    <cellStyle name="一般" xfId="0" builtinId="0"/>
    <cellStyle name="一般 2" xfId="1" xr:uid="{13CC9B1B-5461-4440-8DEE-EC8462FAE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69;&#36229;&#24050;&#23436;&#25104;&#20043;&#37325;&#29694;&#263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水保局全省災害資料"/>
      <sheetName val="作業區"/>
    </sheetNames>
    <sheetDataSet>
      <sheetData sheetId="0"/>
      <sheetData sheetId="1">
        <row r="1">
          <cell r="E1" t="str">
            <v>縣市</v>
          </cell>
          <cell r="F1" t="str">
            <v>鄉區</v>
          </cell>
          <cell r="N1" t="str">
            <v>觸發事件</v>
          </cell>
          <cell r="X1" t="str">
            <v>崩塌面積(ha)</v>
          </cell>
        </row>
        <row r="2">
          <cell r="B2" t="str">
            <v>土石流</v>
          </cell>
          <cell r="E2" t="str">
            <v>新竹縣</v>
          </cell>
          <cell r="F2" t="str">
            <v>尖石鄉</v>
          </cell>
          <cell r="N2" t="str">
            <v>0910水災暨海馬颱風</v>
          </cell>
        </row>
        <row r="3">
          <cell r="B3" t="str">
            <v>土石流</v>
          </cell>
          <cell r="E3" t="str">
            <v>新竹縣</v>
          </cell>
          <cell r="F3" t="str">
            <v>五峰鄉</v>
          </cell>
          <cell r="N3" t="str">
            <v>艾利颱風</v>
          </cell>
        </row>
        <row r="4">
          <cell r="B4" t="str">
            <v>土石流</v>
          </cell>
          <cell r="E4" t="str">
            <v>新竹縣</v>
          </cell>
          <cell r="F4" t="str">
            <v>五峰鄉</v>
          </cell>
          <cell r="N4" t="str">
            <v>艾利颱風</v>
          </cell>
        </row>
        <row r="5">
          <cell r="B5" t="str">
            <v>崩塌</v>
          </cell>
          <cell r="E5" t="str">
            <v>新竹縣</v>
          </cell>
          <cell r="F5" t="str">
            <v>五峰鄉</v>
          </cell>
          <cell r="N5" t="str">
            <v>艾利颱風</v>
          </cell>
        </row>
        <row r="6">
          <cell r="B6" t="str">
            <v>土石流</v>
          </cell>
          <cell r="E6" t="str">
            <v>臺中市</v>
          </cell>
          <cell r="F6" t="str">
            <v>和平區</v>
          </cell>
          <cell r="N6" t="str">
            <v>敏督利暨七二水災</v>
          </cell>
        </row>
        <row r="7">
          <cell r="B7" t="str">
            <v>土石流</v>
          </cell>
          <cell r="E7" t="str">
            <v>臺中市</v>
          </cell>
          <cell r="F7" t="str">
            <v>和平區</v>
          </cell>
          <cell r="N7" t="str">
            <v>敏督利暨七二水災</v>
          </cell>
        </row>
        <row r="8">
          <cell r="B8" t="str">
            <v>土石流</v>
          </cell>
          <cell r="E8" t="str">
            <v>臺中市</v>
          </cell>
          <cell r="F8" t="str">
            <v>和平區</v>
          </cell>
          <cell r="N8" t="str">
            <v>敏督利暨七二水災</v>
          </cell>
        </row>
        <row r="9">
          <cell r="B9" t="str">
            <v>土石流</v>
          </cell>
          <cell r="E9" t="str">
            <v>臺中市</v>
          </cell>
          <cell r="F9" t="str">
            <v>東勢區</v>
          </cell>
          <cell r="N9" t="str">
            <v>敏督利暨七二水災</v>
          </cell>
        </row>
        <row r="10">
          <cell r="B10" t="str">
            <v>土石流</v>
          </cell>
          <cell r="E10" t="str">
            <v>南投縣</v>
          </cell>
          <cell r="F10" t="str">
            <v>埔里鎮</v>
          </cell>
          <cell r="N10" t="str">
            <v>敏督利暨七二水災</v>
          </cell>
        </row>
        <row r="11">
          <cell r="B11" t="str">
            <v>土石流</v>
          </cell>
          <cell r="E11" t="str">
            <v>南投縣</v>
          </cell>
          <cell r="F11" t="str">
            <v>仁愛鄉</v>
          </cell>
          <cell r="N11" t="str">
            <v>敏督利暨七二水災</v>
          </cell>
        </row>
        <row r="12">
          <cell r="B12" t="str">
            <v>土石流</v>
          </cell>
          <cell r="E12" t="str">
            <v>新竹縣</v>
          </cell>
          <cell r="F12" t="str">
            <v>北埔鄉</v>
          </cell>
          <cell r="N12" t="str">
            <v>0512豪雨</v>
          </cell>
        </row>
        <row r="13">
          <cell r="B13" t="str">
            <v>土石流</v>
          </cell>
          <cell r="E13" t="str">
            <v>嘉義縣</v>
          </cell>
          <cell r="F13" t="str">
            <v>中埔鄉</v>
          </cell>
          <cell r="N13" t="str">
            <v>0612豪雨</v>
          </cell>
        </row>
        <row r="14">
          <cell r="B14" t="str">
            <v>土石流</v>
          </cell>
          <cell r="E14" t="str">
            <v>南投縣</v>
          </cell>
          <cell r="F14" t="str">
            <v>仁愛鄉</v>
          </cell>
          <cell r="N14" t="str">
            <v>海棠颱風</v>
          </cell>
        </row>
        <row r="15">
          <cell r="B15" t="str">
            <v>土石流</v>
          </cell>
          <cell r="E15" t="str">
            <v>屏東縣</v>
          </cell>
          <cell r="F15" t="str">
            <v>滿洲鄉</v>
          </cell>
          <cell r="N15" t="str">
            <v>海棠颱風</v>
          </cell>
        </row>
        <row r="16">
          <cell r="B16" t="str">
            <v>土石流</v>
          </cell>
          <cell r="E16" t="str">
            <v>苗栗縣</v>
          </cell>
          <cell r="F16" t="str">
            <v>泰安鄉</v>
          </cell>
          <cell r="N16" t="str">
            <v>海棠颱風</v>
          </cell>
        </row>
        <row r="17">
          <cell r="B17" t="str">
            <v>土石流</v>
          </cell>
          <cell r="E17" t="str">
            <v>苗栗縣</v>
          </cell>
          <cell r="F17" t="str">
            <v>泰安鄉</v>
          </cell>
          <cell r="N17" t="str">
            <v>海棠颱風</v>
          </cell>
        </row>
        <row r="18">
          <cell r="B18" t="str">
            <v>土石流</v>
          </cell>
          <cell r="E18" t="str">
            <v>苗栗縣</v>
          </cell>
          <cell r="F18" t="str">
            <v>泰安鄉</v>
          </cell>
          <cell r="N18" t="str">
            <v>海棠颱風</v>
          </cell>
        </row>
        <row r="19">
          <cell r="B19" t="str">
            <v>土石流</v>
          </cell>
          <cell r="E19" t="str">
            <v>高雄市</v>
          </cell>
          <cell r="F19" t="str">
            <v>六龜區</v>
          </cell>
          <cell r="N19" t="str">
            <v>海棠颱風</v>
          </cell>
        </row>
        <row r="20">
          <cell r="B20" t="str">
            <v>土石流</v>
          </cell>
          <cell r="E20" t="str">
            <v>高雄市</v>
          </cell>
          <cell r="F20" t="str">
            <v>六龜區</v>
          </cell>
          <cell r="N20" t="str">
            <v>海棠颱風</v>
          </cell>
        </row>
        <row r="21">
          <cell r="B21" t="str">
            <v>土石流</v>
          </cell>
          <cell r="E21" t="str">
            <v>高雄市</v>
          </cell>
          <cell r="F21" t="str">
            <v>六龜區</v>
          </cell>
          <cell r="N21" t="str">
            <v>海棠颱風</v>
          </cell>
        </row>
        <row r="22">
          <cell r="B22" t="str">
            <v>土石流</v>
          </cell>
          <cell r="E22" t="str">
            <v>新竹縣</v>
          </cell>
          <cell r="F22" t="str">
            <v>尖石鄉</v>
          </cell>
          <cell r="N22" t="str">
            <v>海棠颱風</v>
          </cell>
        </row>
        <row r="23">
          <cell r="B23" t="str">
            <v>土石流</v>
          </cell>
          <cell r="E23" t="str">
            <v>新竹縣</v>
          </cell>
          <cell r="F23" t="str">
            <v>尖石鄉</v>
          </cell>
          <cell r="N23" t="str">
            <v>海棠颱風</v>
          </cell>
        </row>
        <row r="24">
          <cell r="B24" t="str">
            <v>土石流</v>
          </cell>
          <cell r="E24" t="str">
            <v>新竹縣</v>
          </cell>
          <cell r="F24" t="str">
            <v>尖石鄉</v>
          </cell>
          <cell r="N24" t="str">
            <v>海棠颱風</v>
          </cell>
        </row>
        <row r="25">
          <cell r="B25" t="str">
            <v>土石流</v>
          </cell>
          <cell r="E25" t="str">
            <v>臺中市</v>
          </cell>
          <cell r="F25" t="str">
            <v>和平區</v>
          </cell>
          <cell r="N25" t="str">
            <v>馬莎颱風</v>
          </cell>
        </row>
        <row r="26">
          <cell r="B26" t="str">
            <v>土石流</v>
          </cell>
          <cell r="E26" t="str">
            <v>臺中市</v>
          </cell>
          <cell r="F26" t="str">
            <v>和平區</v>
          </cell>
          <cell r="N26" t="str">
            <v>馬莎颱風</v>
          </cell>
        </row>
        <row r="27">
          <cell r="B27" t="str">
            <v>土石流</v>
          </cell>
          <cell r="E27" t="str">
            <v>南投縣</v>
          </cell>
          <cell r="F27" t="str">
            <v>水里鄉</v>
          </cell>
          <cell r="N27" t="str">
            <v>馬莎颱風</v>
          </cell>
        </row>
        <row r="28">
          <cell r="B28" t="str">
            <v>土石流</v>
          </cell>
          <cell r="E28" t="str">
            <v>嘉義縣</v>
          </cell>
          <cell r="F28" t="str">
            <v>竹崎鄉</v>
          </cell>
          <cell r="N28" t="str">
            <v>馬莎颱風</v>
          </cell>
        </row>
        <row r="29">
          <cell r="B29" t="str">
            <v>土石流</v>
          </cell>
          <cell r="E29" t="str">
            <v>花蓮縣</v>
          </cell>
          <cell r="F29" t="str">
            <v>秀林鄉</v>
          </cell>
          <cell r="N29" t="str">
            <v>龍王颱風</v>
          </cell>
        </row>
        <row r="30">
          <cell r="B30" t="str">
            <v>土石流</v>
          </cell>
          <cell r="E30" t="str">
            <v>南投縣</v>
          </cell>
          <cell r="F30" t="str">
            <v>水里鄉</v>
          </cell>
          <cell r="N30" t="str">
            <v>0609豪雨</v>
          </cell>
          <cell r="T30">
            <v>3.5</v>
          </cell>
          <cell r="U30">
            <v>401.6</v>
          </cell>
        </row>
        <row r="31">
          <cell r="B31" t="str">
            <v>土石流</v>
          </cell>
          <cell r="E31" t="str">
            <v>高雄市</v>
          </cell>
          <cell r="F31" t="str">
            <v>六龜區</v>
          </cell>
          <cell r="N31" t="str">
            <v>0609豪雨</v>
          </cell>
          <cell r="T31">
            <v>14.4</v>
          </cell>
          <cell r="U31">
            <v>336.4</v>
          </cell>
        </row>
        <row r="32">
          <cell r="B32" t="str">
            <v>土石流</v>
          </cell>
          <cell r="E32" t="str">
            <v>高雄市</v>
          </cell>
          <cell r="F32" t="str">
            <v>六龜區</v>
          </cell>
          <cell r="N32" t="str">
            <v>0609豪雨</v>
          </cell>
          <cell r="T32">
            <v>48.5</v>
          </cell>
          <cell r="U32">
            <v>431.6</v>
          </cell>
        </row>
        <row r="33">
          <cell r="B33" t="str">
            <v>地滑</v>
          </cell>
          <cell r="E33" t="str">
            <v>苗栗縣</v>
          </cell>
          <cell r="F33" t="str">
            <v>卓蘭鎮</v>
          </cell>
          <cell r="N33" t="str">
            <v>0609豪雨</v>
          </cell>
          <cell r="T33">
            <v>8.5</v>
          </cell>
          <cell r="U33">
            <v>286.7</v>
          </cell>
        </row>
        <row r="34">
          <cell r="B34" t="str">
            <v>崩塌</v>
          </cell>
          <cell r="E34" t="str">
            <v>南投縣</v>
          </cell>
          <cell r="F34" t="str">
            <v>仁愛鄉</v>
          </cell>
          <cell r="N34" t="str">
            <v>0609豪雨</v>
          </cell>
          <cell r="T34">
            <v>25.5</v>
          </cell>
          <cell r="U34">
            <v>436.4</v>
          </cell>
        </row>
        <row r="35">
          <cell r="B35" t="str">
            <v>崩塌</v>
          </cell>
          <cell r="E35" t="str">
            <v>南投縣</v>
          </cell>
          <cell r="F35" t="str">
            <v>信義鄉</v>
          </cell>
          <cell r="N35" t="str">
            <v>0609豪雨</v>
          </cell>
          <cell r="T35">
            <v>13.5</v>
          </cell>
          <cell r="U35">
            <v>71.3</v>
          </cell>
        </row>
        <row r="36">
          <cell r="B36" t="str">
            <v>崩塌</v>
          </cell>
          <cell r="E36" t="str">
            <v>苗栗縣</v>
          </cell>
          <cell r="F36" t="str">
            <v>苗栗市</v>
          </cell>
          <cell r="N36" t="str">
            <v>0609豪雨</v>
          </cell>
          <cell r="T36">
            <v>51</v>
          </cell>
          <cell r="U36">
            <v>261.60000000000002</v>
          </cell>
        </row>
        <row r="37">
          <cell r="B37" t="str">
            <v>崩塌</v>
          </cell>
          <cell r="E37" t="str">
            <v>雲林縣</v>
          </cell>
          <cell r="F37" t="str">
            <v>林內鄉</v>
          </cell>
          <cell r="N37" t="str">
            <v>0609豪雨</v>
          </cell>
          <cell r="T37">
            <v>1</v>
          </cell>
          <cell r="U37">
            <v>250.7</v>
          </cell>
        </row>
        <row r="38">
          <cell r="B38" t="str">
            <v>崩塌、地滑</v>
          </cell>
          <cell r="E38" t="str">
            <v>南投縣</v>
          </cell>
          <cell r="F38" t="str">
            <v>仁愛鄉</v>
          </cell>
          <cell r="N38" t="str">
            <v>0609豪雨</v>
          </cell>
          <cell r="T38">
            <v>9</v>
          </cell>
          <cell r="U38">
            <v>529.4</v>
          </cell>
        </row>
        <row r="39">
          <cell r="B39" t="str">
            <v>地滑</v>
          </cell>
          <cell r="E39" t="str">
            <v>臺中市</v>
          </cell>
          <cell r="F39" t="str">
            <v>東勢區</v>
          </cell>
          <cell r="N39" t="str">
            <v>0604豪雨</v>
          </cell>
          <cell r="T39">
            <v>20.5</v>
          </cell>
          <cell r="U39">
            <v>387.8</v>
          </cell>
        </row>
        <row r="40">
          <cell r="B40" t="str">
            <v>地滑</v>
          </cell>
          <cell r="E40" t="str">
            <v>南投縣</v>
          </cell>
          <cell r="F40" t="str">
            <v>水里鄉</v>
          </cell>
          <cell r="N40" t="str">
            <v>0604豪雨</v>
          </cell>
          <cell r="T40">
            <v>30</v>
          </cell>
          <cell r="U40">
            <v>155.69999999999999</v>
          </cell>
        </row>
        <row r="41">
          <cell r="B41" t="str">
            <v>崩塌</v>
          </cell>
          <cell r="E41" t="str">
            <v>新北市</v>
          </cell>
          <cell r="F41" t="str">
            <v>石碇區</v>
          </cell>
          <cell r="N41" t="str">
            <v>0604豪雨</v>
          </cell>
          <cell r="T41">
            <v>4.5</v>
          </cell>
          <cell r="U41">
            <v>230.3</v>
          </cell>
        </row>
        <row r="42">
          <cell r="B42" t="str">
            <v>崩塌</v>
          </cell>
          <cell r="E42" t="str">
            <v>新北市</v>
          </cell>
          <cell r="F42" t="str">
            <v>中和區</v>
          </cell>
          <cell r="N42" t="str">
            <v>0604豪雨</v>
          </cell>
          <cell r="T42">
            <v>1</v>
          </cell>
          <cell r="U42">
            <v>232.6</v>
          </cell>
        </row>
        <row r="43">
          <cell r="B43" t="str">
            <v>崩塌</v>
          </cell>
          <cell r="E43" t="str">
            <v>南投縣</v>
          </cell>
          <cell r="F43" t="str">
            <v>國姓鄉</v>
          </cell>
          <cell r="N43" t="str">
            <v>0604豪雨</v>
          </cell>
          <cell r="T43">
            <v>26.5</v>
          </cell>
          <cell r="U43">
            <v>232.1</v>
          </cell>
        </row>
        <row r="44">
          <cell r="B44" t="str">
            <v>崩塌</v>
          </cell>
          <cell r="E44" t="str">
            <v>基隆市</v>
          </cell>
          <cell r="F44" t="str">
            <v>安樂區</v>
          </cell>
          <cell r="N44" t="str">
            <v>0604豪雨</v>
          </cell>
          <cell r="T44">
            <v>13</v>
          </cell>
          <cell r="U44">
            <v>192.9</v>
          </cell>
        </row>
        <row r="45">
          <cell r="B45" t="str">
            <v>土石流</v>
          </cell>
          <cell r="E45" t="str">
            <v>臺東縣</v>
          </cell>
          <cell r="F45" t="str">
            <v>太麻里鄉</v>
          </cell>
          <cell r="N45" t="str">
            <v>0809豪雨</v>
          </cell>
          <cell r="T45">
            <v>55</v>
          </cell>
          <cell r="U45">
            <v>316.2</v>
          </cell>
        </row>
        <row r="46">
          <cell r="B46" t="str">
            <v>土石流</v>
          </cell>
          <cell r="E46" t="str">
            <v>屏東縣</v>
          </cell>
          <cell r="F46" t="str">
            <v>三地門鄉</v>
          </cell>
          <cell r="N46" t="str">
            <v>0809豪雨</v>
          </cell>
          <cell r="T46">
            <v>71</v>
          </cell>
          <cell r="U46">
            <v>1104.01</v>
          </cell>
        </row>
        <row r="47">
          <cell r="B47" t="str">
            <v>土石流</v>
          </cell>
          <cell r="E47" t="str">
            <v>屏東縣</v>
          </cell>
          <cell r="F47" t="str">
            <v>瑪家鄉</v>
          </cell>
          <cell r="N47" t="str">
            <v>0809豪雨</v>
          </cell>
          <cell r="T47">
            <v>71</v>
          </cell>
          <cell r="U47">
            <v>1104.4000000000001</v>
          </cell>
        </row>
        <row r="48">
          <cell r="B48" t="str">
            <v>崩塌</v>
          </cell>
          <cell r="E48" t="str">
            <v>臺南市</v>
          </cell>
          <cell r="F48" t="str">
            <v>南化區</v>
          </cell>
          <cell r="N48" t="str">
            <v>0809豪雨</v>
          </cell>
          <cell r="T48">
            <v>4</v>
          </cell>
          <cell r="U48">
            <v>658.7</v>
          </cell>
        </row>
        <row r="49">
          <cell r="B49" t="str">
            <v>崩塌</v>
          </cell>
          <cell r="E49" t="str">
            <v>南投縣</v>
          </cell>
          <cell r="F49" t="str">
            <v>埔里鎮</v>
          </cell>
          <cell r="N49" t="str">
            <v>0809豪雨</v>
          </cell>
          <cell r="T49">
            <v>43.5</v>
          </cell>
          <cell r="U49">
            <v>195.3</v>
          </cell>
        </row>
        <row r="50">
          <cell r="B50" t="str">
            <v>崩塌</v>
          </cell>
          <cell r="E50" t="str">
            <v>南投縣</v>
          </cell>
          <cell r="F50" t="str">
            <v>鹿谷鄉</v>
          </cell>
          <cell r="N50" t="str">
            <v>0809豪雨</v>
          </cell>
          <cell r="T50">
            <v>6</v>
          </cell>
          <cell r="U50">
            <v>60.7</v>
          </cell>
        </row>
        <row r="51">
          <cell r="B51" t="str">
            <v>崩塌</v>
          </cell>
          <cell r="E51" t="str">
            <v>屏東縣</v>
          </cell>
          <cell r="F51" t="str">
            <v>三地門鄉</v>
          </cell>
          <cell r="N51" t="str">
            <v>0809豪雨</v>
          </cell>
          <cell r="T51">
            <v>71</v>
          </cell>
          <cell r="U51">
            <v>1104.4000000000001</v>
          </cell>
        </row>
        <row r="52">
          <cell r="B52" t="str">
            <v>崩塌</v>
          </cell>
          <cell r="E52" t="str">
            <v>屏東縣</v>
          </cell>
          <cell r="F52" t="str">
            <v>三地門鄉</v>
          </cell>
          <cell r="N52" t="str">
            <v>0809豪雨</v>
          </cell>
          <cell r="T52">
            <v>71</v>
          </cell>
          <cell r="U52">
            <v>1104.4000000000001</v>
          </cell>
        </row>
        <row r="53">
          <cell r="B53" t="str">
            <v>崩塌</v>
          </cell>
          <cell r="E53" t="str">
            <v>屏東縣</v>
          </cell>
          <cell r="F53" t="str">
            <v>瑪家鄉</v>
          </cell>
          <cell r="N53" t="str">
            <v>0809豪雨</v>
          </cell>
          <cell r="T53">
            <v>139</v>
          </cell>
          <cell r="U53">
            <v>1068.5</v>
          </cell>
        </row>
        <row r="54">
          <cell r="B54" t="str">
            <v>崩塌</v>
          </cell>
          <cell r="E54" t="str">
            <v>屏東縣</v>
          </cell>
          <cell r="F54" t="str">
            <v>瑪家鄉</v>
          </cell>
          <cell r="N54" t="str">
            <v>0809豪雨</v>
          </cell>
          <cell r="T54">
            <v>139</v>
          </cell>
          <cell r="U54">
            <v>1068.5</v>
          </cell>
        </row>
        <row r="55">
          <cell r="B55" t="str">
            <v>崩塌</v>
          </cell>
          <cell r="E55" t="str">
            <v>屏東縣</v>
          </cell>
          <cell r="F55" t="str">
            <v>霧臺鄉</v>
          </cell>
          <cell r="N55" t="str">
            <v>0809豪雨</v>
          </cell>
          <cell r="T55">
            <v>112.5</v>
          </cell>
          <cell r="U55">
            <v>846.7</v>
          </cell>
        </row>
        <row r="56">
          <cell r="B56" t="str">
            <v>崩塌</v>
          </cell>
          <cell r="E56" t="str">
            <v>屏東縣</v>
          </cell>
          <cell r="F56" t="str">
            <v>霧臺鄉</v>
          </cell>
          <cell r="N56" t="str">
            <v>0809豪雨</v>
          </cell>
          <cell r="T56">
            <v>112.5</v>
          </cell>
          <cell r="U56">
            <v>846.7</v>
          </cell>
        </row>
        <row r="57">
          <cell r="B57" t="str">
            <v>崩塌</v>
          </cell>
          <cell r="E57" t="str">
            <v>高雄市</v>
          </cell>
          <cell r="F57" t="str">
            <v>林園區</v>
          </cell>
          <cell r="N57" t="str">
            <v>0809豪雨</v>
          </cell>
          <cell r="T57">
            <v>42.5</v>
          </cell>
          <cell r="U57">
            <v>558</v>
          </cell>
        </row>
        <row r="58">
          <cell r="B58" t="str">
            <v>崩塌</v>
          </cell>
          <cell r="E58" t="str">
            <v>花蓮縣</v>
          </cell>
          <cell r="F58" t="str">
            <v>鳳林鎮</v>
          </cell>
          <cell r="N58" t="str">
            <v>96年其他</v>
          </cell>
          <cell r="T58">
            <v>0</v>
          </cell>
          <cell r="U58">
            <v>6.5</v>
          </cell>
        </row>
        <row r="59">
          <cell r="B59" t="str">
            <v>崩塌</v>
          </cell>
          <cell r="E59" t="str">
            <v>雲林縣</v>
          </cell>
          <cell r="F59" t="str">
            <v>林內鄉</v>
          </cell>
          <cell r="N59" t="str">
            <v>96年其他</v>
          </cell>
          <cell r="T59">
            <v>0</v>
          </cell>
          <cell r="U59">
            <v>66.400000000000006</v>
          </cell>
        </row>
        <row r="60">
          <cell r="B60" t="str">
            <v>地滑</v>
          </cell>
          <cell r="E60" t="str">
            <v>臺中市</v>
          </cell>
          <cell r="F60" t="str">
            <v>石岡區</v>
          </cell>
          <cell r="N60" t="str">
            <v>柯羅莎颱風</v>
          </cell>
          <cell r="T60">
            <v>34</v>
          </cell>
          <cell r="U60">
            <v>128</v>
          </cell>
        </row>
        <row r="61">
          <cell r="B61" t="str">
            <v>崩塌</v>
          </cell>
          <cell r="E61" t="str">
            <v>臺北市</v>
          </cell>
          <cell r="F61" t="str">
            <v>士林區</v>
          </cell>
          <cell r="N61" t="str">
            <v>柯羅莎颱風</v>
          </cell>
          <cell r="T61">
            <v>33</v>
          </cell>
          <cell r="U61">
            <v>205.3</v>
          </cell>
        </row>
        <row r="62">
          <cell r="B62" t="str">
            <v>崩塌</v>
          </cell>
          <cell r="E62" t="str">
            <v>新北市</v>
          </cell>
          <cell r="F62" t="str">
            <v>淡水區</v>
          </cell>
          <cell r="N62" t="str">
            <v>柯羅莎颱風</v>
          </cell>
          <cell r="T62">
            <v>49.5</v>
          </cell>
          <cell r="U62">
            <v>305.5</v>
          </cell>
        </row>
        <row r="63">
          <cell r="B63" t="str">
            <v>崩塌</v>
          </cell>
          <cell r="E63" t="str">
            <v>新北市</v>
          </cell>
          <cell r="F63" t="str">
            <v>五股區</v>
          </cell>
          <cell r="N63" t="str">
            <v>柯羅莎颱風</v>
          </cell>
          <cell r="T63">
            <v>0</v>
          </cell>
          <cell r="U63">
            <v>222.1</v>
          </cell>
        </row>
        <row r="64">
          <cell r="B64" t="str">
            <v>土石流</v>
          </cell>
          <cell r="E64" t="str">
            <v>苗栗縣</v>
          </cell>
          <cell r="F64" t="str">
            <v>獅潭鄉</v>
          </cell>
          <cell r="N64" t="str">
            <v>韋帕颱風</v>
          </cell>
          <cell r="T64">
            <v>20</v>
          </cell>
          <cell r="U64">
            <v>662.5</v>
          </cell>
        </row>
        <row r="65">
          <cell r="B65" t="str">
            <v>地滑</v>
          </cell>
          <cell r="E65" t="str">
            <v>苗栗縣</v>
          </cell>
          <cell r="F65" t="str">
            <v>三義鄉</v>
          </cell>
          <cell r="N65" t="str">
            <v>韋帕颱風</v>
          </cell>
          <cell r="T65">
            <v>5.5</v>
          </cell>
          <cell r="U65">
            <v>311.60000000000002</v>
          </cell>
        </row>
        <row r="66">
          <cell r="B66" t="str">
            <v>崩塌</v>
          </cell>
          <cell r="E66" t="str">
            <v>桃園市</v>
          </cell>
          <cell r="F66" t="str">
            <v>復興區</v>
          </cell>
          <cell r="N66" t="str">
            <v>韋帕颱風</v>
          </cell>
          <cell r="T66">
            <v>22</v>
          </cell>
          <cell r="U66">
            <v>181</v>
          </cell>
        </row>
        <row r="67">
          <cell r="B67" t="str">
            <v>崩塌</v>
          </cell>
          <cell r="E67" t="str">
            <v>桃園市</v>
          </cell>
          <cell r="F67" t="str">
            <v>復興區</v>
          </cell>
          <cell r="N67" t="str">
            <v>韋帕颱風</v>
          </cell>
          <cell r="T67">
            <v>22</v>
          </cell>
          <cell r="U67">
            <v>181</v>
          </cell>
        </row>
        <row r="68">
          <cell r="B68" t="str">
            <v>土石流</v>
          </cell>
          <cell r="E68" t="str">
            <v>高雄市</v>
          </cell>
          <cell r="F68" t="str">
            <v>甲仙區</v>
          </cell>
          <cell r="N68" t="str">
            <v>聖帕颱風</v>
          </cell>
          <cell r="T68">
            <v>90.5</v>
          </cell>
          <cell r="U68">
            <v>539.79999999999995</v>
          </cell>
        </row>
        <row r="69">
          <cell r="B69" t="str">
            <v>土石流</v>
          </cell>
          <cell r="E69" t="str">
            <v>高雄市</v>
          </cell>
          <cell r="F69" t="str">
            <v>六龜區</v>
          </cell>
          <cell r="N69" t="str">
            <v>聖帕颱風</v>
          </cell>
          <cell r="T69">
            <v>33</v>
          </cell>
          <cell r="U69">
            <v>940.3</v>
          </cell>
        </row>
        <row r="70">
          <cell r="B70" t="str">
            <v>地滑</v>
          </cell>
          <cell r="E70" t="str">
            <v>南投縣</v>
          </cell>
          <cell r="F70" t="str">
            <v>中寮鄉</v>
          </cell>
          <cell r="N70" t="str">
            <v>聖帕颱風</v>
          </cell>
          <cell r="T70">
            <v>14</v>
          </cell>
          <cell r="U70">
            <v>182.4</v>
          </cell>
        </row>
        <row r="71">
          <cell r="B71" t="str">
            <v>地滑</v>
          </cell>
          <cell r="E71" t="str">
            <v>嘉義縣</v>
          </cell>
          <cell r="F71" t="str">
            <v>竹崎鄉</v>
          </cell>
          <cell r="N71" t="str">
            <v>聖帕颱風</v>
          </cell>
          <cell r="T71">
            <v>1</v>
          </cell>
          <cell r="U71">
            <v>541.1</v>
          </cell>
        </row>
        <row r="72">
          <cell r="B72" t="str">
            <v>地滑</v>
          </cell>
          <cell r="E72" t="str">
            <v>嘉義縣</v>
          </cell>
          <cell r="F72" t="str">
            <v>中埔鄉</v>
          </cell>
          <cell r="N72" t="str">
            <v>聖帕颱風</v>
          </cell>
          <cell r="T72">
            <v>61</v>
          </cell>
          <cell r="U72">
            <v>431.3</v>
          </cell>
        </row>
        <row r="73">
          <cell r="B73" t="str">
            <v>洪水</v>
          </cell>
          <cell r="E73" t="str">
            <v>苗栗縣</v>
          </cell>
          <cell r="F73" t="str">
            <v>苗栗市</v>
          </cell>
          <cell r="N73" t="str">
            <v>柯羅莎颱風</v>
          </cell>
          <cell r="T73">
            <v>8</v>
          </cell>
          <cell r="U73">
            <v>254.5</v>
          </cell>
        </row>
        <row r="74">
          <cell r="B74" t="str">
            <v>崩塌</v>
          </cell>
          <cell r="E74" t="str">
            <v>臺中市</v>
          </cell>
          <cell r="F74" t="str">
            <v>太平區</v>
          </cell>
          <cell r="N74" t="str">
            <v>柯羅莎颱風</v>
          </cell>
          <cell r="T74">
            <v>5.5</v>
          </cell>
          <cell r="U74">
            <v>74.400000000000006</v>
          </cell>
        </row>
        <row r="75">
          <cell r="B75" t="str">
            <v>洪水</v>
          </cell>
          <cell r="E75" t="str">
            <v>嘉義縣</v>
          </cell>
          <cell r="F75" t="str">
            <v>竹崎鄉</v>
          </cell>
          <cell r="N75" t="str">
            <v xml:space="preserve">96年其他 </v>
          </cell>
          <cell r="T75">
            <v>66.5</v>
          </cell>
          <cell r="U75">
            <v>139.6</v>
          </cell>
        </row>
        <row r="76">
          <cell r="B76" t="str">
            <v>洪水</v>
          </cell>
          <cell r="E76" t="str">
            <v>嘉義縣</v>
          </cell>
          <cell r="F76" t="str">
            <v>竹崎鄉</v>
          </cell>
          <cell r="N76" t="str">
            <v>柯羅莎颱風</v>
          </cell>
          <cell r="T76">
            <v>56.5</v>
          </cell>
          <cell r="U76">
            <v>457.5</v>
          </cell>
        </row>
        <row r="77">
          <cell r="B77" t="str">
            <v>洪水</v>
          </cell>
          <cell r="E77" t="str">
            <v>南投縣</v>
          </cell>
          <cell r="F77" t="str">
            <v>埔里鎮</v>
          </cell>
          <cell r="N77" t="str">
            <v>0809豪雨</v>
          </cell>
          <cell r="T77">
            <v>38</v>
          </cell>
          <cell r="U77">
            <v>156.5</v>
          </cell>
        </row>
        <row r="78">
          <cell r="B78" t="str">
            <v>洪水</v>
          </cell>
          <cell r="E78" t="str">
            <v>臺南市</v>
          </cell>
          <cell r="F78" t="str">
            <v>玉井區</v>
          </cell>
          <cell r="N78" t="str">
            <v>0809豪雨</v>
          </cell>
          <cell r="T78">
            <v>61</v>
          </cell>
          <cell r="U78">
            <v>453.1</v>
          </cell>
        </row>
        <row r="79">
          <cell r="B79" t="str">
            <v>洪水</v>
          </cell>
          <cell r="E79" t="str">
            <v>臺南市</v>
          </cell>
          <cell r="F79" t="str">
            <v>龍崎區</v>
          </cell>
          <cell r="N79" t="str">
            <v>0809豪雨</v>
          </cell>
          <cell r="T79">
            <v>4.5</v>
          </cell>
          <cell r="U79">
            <v>216.5</v>
          </cell>
        </row>
        <row r="80">
          <cell r="B80" t="str">
            <v>洪水</v>
          </cell>
          <cell r="E80" t="str">
            <v>臺中市</v>
          </cell>
          <cell r="F80" t="str">
            <v>東勢區</v>
          </cell>
          <cell r="N80" t="str">
            <v>0809豪雨</v>
          </cell>
          <cell r="T80">
            <v>5</v>
          </cell>
          <cell r="U80">
            <v>32.9</v>
          </cell>
        </row>
        <row r="81">
          <cell r="B81" t="str">
            <v>洪水</v>
          </cell>
          <cell r="E81" t="str">
            <v>臺南市</v>
          </cell>
          <cell r="F81" t="str">
            <v>龍崎區</v>
          </cell>
          <cell r="N81" t="str">
            <v>0809豪雨</v>
          </cell>
          <cell r="T81" t="str">
            <v>—</v>
          </cell>
          <cell r="U81">
            <v>482.4</v>
          </cell>
        </row>
        <row r="82">
          <cell r="B82" t="str">
            <v>洪水</v>
          </cell>
          <cell r="E82" t="str">
            <v>臺中市</v>
          </cell>
          <cell r="F82" t="str">
            <v>東勢區</v>
          </cell>
          <cell r="N82" t="str">
            <v>0604豪雨</v>
          </cell>
          <cell r="T82">
            <v>1</v>
          </cell>
          <cell r="U82">
            <v>477.5</v>
          </cell>
        </row>
        <row r="83">
          <cell r="B83" t="str">
            <v>崩塌</v>
          </cell>
          <cell r="E83" t="str">
            <v>南投縣</v>
          </cell>
          <cell r="F83" t="str">
            <v>鹿谷鄉</v>
          </cell>
          <cell r="N83" t="str">
            <v>0809豪雨</v>
          </cell>
          <cell r="T83">
            <v>6</v>
          </cell>
          <cell r="U83">
            <v>60.7</v>
          </cell>
        </row>
        <row r="84">
          <cell r="B84" t="str">
            <v>崩塌</v>
          </cell>
          <cell r="E84" t="str">
            <v>南投縣</v>
          </cell>
          <cell r="F84" t="str">
            <v>仁愛鄉</v>
          </cell>
          <cell r="N84" t="str">
            <v>0604豪雨</v>
          </cell>
          <cell r="T84">
            <v>11.5</v>
          </cell>
          <cell r="U84">
            <v>371.7</v>
          </cell>
        </row>
        <row r="85">
          <cell r="B85" t="str">
            <v>洪水</v>
          </cell>
          <cell r="E85" t="str">
            <v>桃園市</v>
          </cell>
          <cell r="F85" t="str">
            <v>復興區</v>
          </cell>
          <cell r="N85" t="str">
            <v>0604豪雨</v>
          </cell>
          <cell r="T85">
            <v>1</v>
          </cell>
          <cell r="U85">
            <v>133</v>
          </cell>
        </row>
        <row r="86">
          <cell r="B86" t="str">
            <v>洪水</v>
          </cell>
          <cell r="E86" t="str">
            <v>苗栗縣</v>
          </cell>
          <cell r="F86" t="str">
            <v>通霄鎮</v>
          </cell>
          <cell r="N86" t="str">
            <v>0604豪雨</v>
          </cell>
          <cell r="T86">
            <v>6</v>
          </cell>
          <cell r="U86">
            <v>248.4</v>
          </cell>
        </row>
        <row r="87">
          <cell r="B87" t="str">
            <v>洪水</v>
          </cell>
          <cell r="E87" t="str">
            <v>苗栗縣</v>
          </cell>
          <cell r="F87" t="str">
            <v>泰安鄉</v>
          </cell>
          <cell r="N87" t="str">
            <v>0604豪雨</v>
          </cell>
          <cell r="T87">
            <v>22.5</v>
          </cell>
          <cell r="U87">
            <v>319.2</v>
          </cell>
        </row>
        <row r="88">
          <cell r="B88" t="str">
            <v>洪水</v>
          </cell>
          <cell r="E88" t="str">
            <v>苗栗縣</v>
          </cell>
          <cell r="F88" t="str">
            <v>泰安鄉</v>
          </cell>
          <cell r="N88" t="str">
            <v>0604豪雨</v>
          </cell>
          <cell r="T88">
            <v>28.5</v>
          </cell>
          <cell r="U88">
            <v>399</v>
          </cell>
        </row>
        <row r="89">
          <cell r="B89" t="str">
            <v>洪水</v>
          </cell>
          <cell r="E89" t="str">
            <v>苗栗縣</v>
          </cell>
          <cell r="F89" t="str">
            <v>泰安鄉</v>
          </cell>
          <cell r="N89" t="str">
            <v>0604豪雨</v>
          </cell>
          <cell r="T89">
            <v>28.5</v>
          </cell>
          <cell r="U89">
            <v>399</v>
          </cell>
        </row>
        <row r="90">
          <cell r="B90" t="str">
            <v>崩塌</v>
          </cell>
          <cell r="E90" t="str">
            <v>南投縣</v>
          </cell>
          <cell r="F90" t="str">
            <v>國姓鄉</v>
          </cell>
          <cell r="N90" t="str">
            <v>0604豪雨</v>
          </cell>
          <cell r="T90">
            <v>9.5</v>
          </cell>
          <cell r="U90">
            <v>337.3</v>
          </cell>
        </row>
        <row r="91">
          <cell r="B91" t="str">
            <v>地滑</v>
          </cell>
          <cell r="E91" t="str">
            <v>南投縣</v>
          </cell>
          <cell r="F91" t="str">
            <v>國姓鄉</v>
          </cell>
          <cell r="N91" t="str">
            <v>0604豪雨</v>
          </cell>
          <cell r="T91">
            <v>10.5</v>
          </cell>
          <cell r="U91">
            <v>326</v>
          </cell>
        </row>
        <row r="92">
          <cell r="B92" t="str">
            <v>崩塌</v>
          </cell>
          <cell r="E92" t="str">
            <v>南投縣</v>
          </cell>
          <cell r="F92" t="str">
            <v>仁愛鄉</v>
          </cell>
          <cell r="N92" t="str">
            <v>0604豪雨</v>
          </cell>
          <cell r="T92">
            <v>3.5</v>
          </cell>
          <cell r="U92">
            <v>47.8</v>
          </cell>
        </row>
        <row r="93">
          <cell r="B93" t="str">
            <v>崩塌、山地洪流</v>
          </cell>
          <cell r="E93" t="str">
            <v>南投縣</v>
          </cell>
          <cell r="F93" t="str">
            <v>仁愛鄉</v>
          </cell>
          <cell r="N93" t="str">
            <v>0604豪雨</v>
          </cell>
          <cell r="T93">
            <v>3.5</v>
          </cell>
          <cell r="U93">
            <v>77.900000000000006</v>
          </cell>
        </row>
        <row r="94">
          <cell r="B94" t="str">
            <v>土石流</v>
          </cell>
          <cell r="E94" t="str">
            <v>臺南市</v>
          </cell>
          <cell r="F94" t="str">
            <v>東山區</v>
          </cell>
          <cell r="N94" t="str">
            <v>卡玫基颱風</v>
          </cell>
          <cell r="T94">
            <v>48</v>
          </cell>
          <cell r="U94">
            <v>261</v>
          </cell>
        </row>
        <row r="95">
          <cell r="B95" t="str">
            <v>土石流</v>
          </cell>
          <cell r="E95" t="str">
            <v>臺南市</v>
          </cell>
          <cell r="F95" t="str">
            <v>東山區</v>
          </cell>
          <cell r="N95" t="str">
            <v>卡玫基颱風</v>
          </cell>
          <cell r="T95">
            <v>48</v>
          </cell>
          <cell r="U95">
            <v>261</v>
          </cell>
        </row>
        <row r="96">
          <cell r="B96" t="str">
            <v>土石流</v>
          </cell>
          <cell r="E96" t="str">
            <v>臺南市</v>
          </cell>
          <cell r="F96" t="str">
            <v>楠西區</v>
          </cell>
          <cell r="N96" t="str">
            <v>卡玫基颱風</v>
          </cell>
          <cell r="T96">
            <v>91.5</v>
          </cell>
          <cell r="U96">
            <v>734.1</v>
          </cell>
        </row>
        <row r="97">
          <cell r="B97" t="str">
            <v>土石流</v>
          </cell>
          <cell r="E97" t="str">
            <v>臺南市</v>
          </cell>
          <cell r="F97" t="str">
            <v>楠西區</v>
          </cell>
          <cell r="N97" t="str">
            <v>卡玫基颱風</v>
          </cell>
          <cell r="T97">
            <v>93</v>
          </cell>
          <cell r="U97">
            <v>374.9</v>
          </cell>
        </row>
        <row r="98">
          <cell r="B98" t="str">
            <v>土石流</v>
          </cell>
          <cell r="E98" t="str">
            <v>南投縣</v>
          </cell>
          <cell r="F98" t="str">
            <v>埔里鎮</v>
          </cell>
          <cell r="N98" t="str">
            <v>卡玫基颱風</v>
          </cell>
          <cell r="T98">
            <v>97</v>
          </cell>
          <cell r="U98">
            <v>415.8</v>
          </cell>
        </row>
        <row r="99">
          <cell r="B99" t="str">
            <v>土石流</v>
          </cell>
          <cell r="E99" t="str">
            <v>南投縣</v>
          </cell>
          <cell r="F99" t="str">
            <v>埔里鎮</v>
          </cell>
          <cell r="N99" t="str">
            <v>卡玫基颱風</v>
          </cell>
          <cell r="T99">
            <v>97</v>
          </cell>
          <cell r="U99">
            <v>415.8</v>
          </cell>
        </row>
        <row r="100">
          <cell r="B100" t="str">
            <v>土石流</v>
          </cell>
          <cell r="E100" t="str">
            <v>南投縣</v>
          </cell>
          <cell r="F100" t="str">
            <v>仁愛鄉</v>
          </cell>
          <cell r="N100" t="str">
            <v>卡玫基颱風</v>
          </cell>
          <cell r="T100">
            <v>40.5</v>
          </cell>
          <cell r="U100">
            <v>198.4</v>
          </cell>
        </row>
        <row r="101">
          <cell r="B101" t="str">
            <v>土石流</v>
          </cell>
          <cell r="E101" t="str">
            <v>南投縣</v>
          </cell>
          <cell r="F101" t="str">
            <v>信義鄉</v>
          </cell>
          <cell r="N101" t="str">
            <v>卡玫基颱風</v>
          </cell>
          <cell r="T101">
            <v>109</v>
          </cell>
          <cell r="U101">
            <v>272.60000000000002</v>
          </cell>
        </row>
        <row r="102">
          <cell r="B102" t="str">
            <v>洪水</v>
          </cell>
          <cell r="E102" t="str">
            <v>高雄市</v>
          </cell>
          <cell r="F102" t="str">
            <v>桃源區</v>
          </cell>
          <cell r="N102" t="str">
            <v>卡玫基颱風</v>
          </cell>
          <cell r="T102">
            <v>34.5</v>
          </cell>
          <cell r="U102">
            <v>677.1</v>
          </cell>
        </row>
        <row r="103">
          <cell r="B103" t="str">
            <v>土石流</v>
          </cell>
          <cell r="E103" t="str">
            <v>高雄市</v>
          </cell>
          <cell r="F103" t="str">
            <v>桃源區</v>
          </cell>
          <cell r="N103" t="str">
            <v>卡玫基颱風</v>
          </cell>
          <cell r="T103">
            <v>33</v>
          </cell>
          <cell r="U103">
            <v>710.1</v>
          </cell>
        </row>
        <row r="104">
          <cell r="B104" t="str">
            <v>土石流</v>
          </cell>
          <cell r="E104" t="str">
            <v>高雄市</v>
          </cell>
          <cell r="F104" t="str">
            <v>桃源區</v>
          </cell>
          <cell r="N104" t="str">
            <v>卡玫基颱風</v>
          </cell>
          <cell r="T104">
            <v>33</v>
          </cell>
          <cell r="U104">
            <v>710.1</v>
          </cell>
        </row>
        <row r="105">
          <cell r="B105" t="str">
            <v>土石流</v>
          </cell>
          <cell r="E105" t="str">
            <v>高雄市</v>
          </cell>
          <cell r="F105" t="str">
            <v>杉林區</v>
          </cell>
          <cell r="N105" t="str">
            <v>卡玫基颱風</v>
          </cell>
          <cell r="T105">
            <v>66</v>
          </cell>
          <cell r="U105">
            <v>413.9</v>
          </cell>
        </row>
        <row r="106">
          <cell r="B106" t="str">
            <v>洪水</v>
          </cell>
          <cell r="E106" t="str">
            <v>高雄市</v>
          </cell>
          <cell r="F106" t="str">
            <v>六龜區</v>
          </cell>
          <cell r="N106" t="str">
            <v>卡玫基颱風</v>
          </cell>
          <cell r="T106">
            <v>17</v>
          </cell>
          <cell r="U106">
            <v>420.9</v>
          </cell>
        </row>
        <row r="107">
          <cell r="B107" t="str">
            <v>土石流</v>
          </cell>
          <cell r="E107" t="str">
            <v>高雄市</v>
          </cell>
          <cell r="F107" t="str">
            <v>六龜區</v>
          </cell>
          <cell r="N107" t="str">
            <v>卡玫基颱風</v>
          </cell>
          <cell r="T107">
            <v>144.5</v>
          </cell>
          <cell r="U107">
            <v>454.2</v>
          </cell>
        </row>
        <row r="108">
          <cell r="B108" t="str">
            <v>土石流，洪水</v>
          </cell>
          <cell r="E108" t="str">
            <v>臺中市</v>
          </cell>
          <cell r="F108" t="str">
            <v>新社區</v>
          </cell>
          <cell r="N108" t="str">
            <v>卡玫基颱風</v>
          </cell>
          <cell r="T108">
            <v>86.5</v>
          </cell>
          <cell r="U108">
            <v>245.8</v>
          </cell>
        </row>
        <row r="109">
          <cell r="B109" t="str">
            <v>土石流、洪水</v>
          </cell>
          <cell r="E109" t="str">
            <v>臺南市</v>
          </cell>
          <cell r="F109" t="str">
            <v>南化區</v>
          </cell>
          <cell r="N109" t="str">
            <v>卡玫基颱風</v>
          </cell>
          <cell r="T109">
            <v>100</v>
          </cell>
          <cell r="U109">
            <v>564.4</v>
          </cell>
        </row>
        <row r="110">
          <cell r="B110" t="str">
            <v>土石流、洪水</v>
          </cell>
          <cell r="E110" t="str">
            <v>高雄市</v>
          </cell>
          <cell r="F110" t="str">
            <v>甲仙區</v>
          </cell>
          <cell r="N110" t="str">
            <v>卡玫基颱風</v>
          </cell>
          <cell r="T110">
            <v>139</v>
          </cell>
          <cell r="U110">
            <v>538.9</v>
          </cell>
        </row>
        <row r="111">
          <cell r="B111" t="str">
            <v>土石流、崩塌</v>
          </cell>
          <cell r="E111" t="str">
            <v>臺中市</v>
          </cell>
          <cell r="F111" t="str">
            <v>北屯區</v>
          </cell>
          <cell r="N111" t="str">
            <v>卡玫基颱風</v>
          </cell>
          <cell r="T111">
            <v>146.5</v>
          </cell>
          <cell r="U111">
            <v>490.7</v>
          </cell>
        </row>
        <row r="112">
          <cell r="B112" t="str">
            <v>地滑</v>
          </cell>
          <cell r="E112" t="str">
            <v>南投縣</v>
          </cell>
          <cell r="F112" t="str">
            <v>中寮鄉</v>
          </cell>
          <cell r="N112" t="str">
            <v>卡玫基颱風</v>
          </cell>
          <cell r="T112">
            <v>97.5</v>
          </cell>
          <cell r="U112">
            <v>261.60000000000002</v>
          </cell>
        </row>
        <row r="113">
          <cell r="B113" t="str">
            <v>地滑</v>
          </cell>
          <cell r="E113" t="str">
            <v>南投縣</v>
          </cell>
          <cell r="F113" t="str">
            <v>仁愛鄉</v>
          </cell>
          <cell r="N113" t="str">
            <v>卡玫基颱風</v>
          </cell>
          <cell r="T113">
            <v>33</v>
          </cell>
          <cell r="U113">
            <v>158</v>
          </cell>
        </row>
        <row r="114">
          <cell r="B114" t="str">
            <v>土石流</v>
          </cell>
          <cell r="E114" t="str">
            <v>高雄市</v>
          </cell>
          <cell r="F114" t="str">
            <v>六龜區</v>
          </cell>
          <cell r="N114" t="str">
            <v>卡玫基颱風</v>
          </cell>
          <cell r="T114">
            <v>33</v>
          </cell>
          <cell r="U114">
            <v>710.1</v>
          </cell>
        </row>
        <row r="115">
          <cell r="B115" t="str">
            <v>地滑</v>
          </cell>
          <cell r="E115" t="str">
            <v>嘉義縣</v>
          </cell>
          <cell r="F115" t="str">
            <v>中埔鄉</v>
          </cell>
          <cell r="N115" t="str">
            <v>卡玫基颱風</v>
          </cell>
          <cell r="T115">
            <v>102</v>
          </cell>
          <cell r="U115">
            <v>396.4</v>
          </cell>
        </row>
        <row r="116">
          <cell r="B116" t="str">
            <v>土石流</v>
          </cell>
          <cell r="E116" t="str">
            <v>臺南市</v>
          </cell>
          <cell r="F116" t="str">
            <v>楠西區</v>
          </cell>
          <cell r="N116" t="str">
            <v>卡玫基颱風</v>
          </cell>
          <cell r="T116">
            <v>63.5</v>
          </cell>
          <cell r="U116">
            <v>181.8</v>
          </cell>
        </row>
        <row r="117">
          <cell r="B117" t="str">
            <v>土石流</v>
          </cell>
          <cell r="E117" t="str">
            <v>臺南市</v>
          </cell>
          <cell r="F117" t="str">
            <v>南化區</v>
          </cell>
          <cell r="N117" t="str">
            <v>卡玫基颱風</v>
          </cell>
          <cell r="T117">
            <v>125.5</v>
          </cell>
          <cell r="U117">
            <v>545.5</v>
          </cell>
        </row>
        <row r="118">
          <cell r="B118" t="str">
            <v>沖蝕</v>
          </cell>
          <cell r="E118" t="str">
            <v>南投縣</v>
          </cell>
          <cell r="F118" t="str">
            <v>魚池鄉</v>
          </cell>
          <cell r="N118" t="str">
            <v>卡玫基颱風</v>
          </cell>
          <cell r="T118">
            <v>83.5</v>
          </cell>
          <cell r="U118">
            <v>360.4</v>
          </cell>
        </row>
        <row r="119">
          <cell r="B119" t="str">
            <v>沖蝕</v>
          </cell>
          <cell r="E119" t="str">
            <v>南投縣</v>
          </cell>
          <cell r="F119" t="str">
            <v>水里鄉</v>
          </cell>
          <cell r="N119" t="str">
            <v>卡玫基颱風</v>
          </cell>
          <cell r="T119">
            <v>46</v>
          </cell>
          <cell r="U119">
            <v>276.8</v>
          </cell>
        </row>
        <row r="120">
          <cell r="B120" t="str">
            <v>土石流</v>
          </cell>
          <cell r="E120" t="str">
            <v>高雄市</v>
          </cell>
          <cell r="F120" t="str">
            <v>那瑪夏區</v>
          </cell>
          <cell r="N120" t="str">
            <v>卡玫基颱風</v>
          </cell>
          <cell r="T120">
            <v>92.5</v>
          </cell>
          <cell r="U120">
            <v>443</v>
          </cell>
        </row>
        <row r="121">
          <cell r="B121" t="str">
            <v>沖蝕</v>
          </cell>
          <cell r="E121" t="str">
            <v>高雄市</v>
          </cell>
          <cell r="F121" t="str">
            <v>甲仙區</v>
          </cell>
          <cell r="N121" t="str">
            <v>卡玫基颱風</v>
          </cell>
          <cell r="T121">
            <v>130</v>
          </cell>
          <cell r="U121">
            <v>382.5</v>
          </cell>
        </row>
        <row r="122">
          <cell r="B122" t="str">
            <v>洪水</v>
          </cell>
          <cell r="E122" t="str">
            <v>臺南市</v>
          </cell>
          <cell r="F122" t="str">
            <v>楠西區</v>
          </cell>
          <cell r="N122" t="str">
            <v>卡玫基颱風</v>
          </cell>
          <cell r="T122">
            <v>86</v>
          </cell>
          <cell r="U122">
            <v>451.7</v>
          </cell>
        </row>
        <row r="123">
          <cell r="B123" t="str">
            <v>洪水</v>
          </cell>
          <cell r="E123" t="str">
            <v>高雄市</v>
          </cell>
          <cell r="F123" t="str">
            <v>六龜區</v>
          </cell>
          <cell r="N123" t="str">
            <v>卡玫基颱風</v>
          </cell>
          <cell r="T123">
            <v>20</v>
          </cell>
          <cell r="U123">
            <v>865.4</v>
          </cell>
        </row>
        <row r="124">
          <cell r="B124" t="str">
            <v>洪水、沖蝕</v>
          </cell>
          <cell r="E124" t="str">
            <v>南投縣</v>
          </cell>
          <cell r="F124" t="str">
            <v>草屯鎮</v>
          </cell>
          <cell r="N124" t="str">
            <v>卡玫基颱風</v>
          </cell>
          <cell r="T124">
            <v>6</v>
          </cell>
          <cell r="U124">
            <v>371.3</v>
          </cell>
        </row>
        <row r="125">
          <cell r="B125" t="str">
            <v>崩塌</v>
          </cell>
          <cell r="E125" t="str">
            <v>臺中市</v>
          </cell>
          <cell r="F125" t="str">
            <v>東勢區</v>
          </cell>
          <cell r="N125" t="str">
            <v>卡玫基颱風</v>
          </cell>
          <cell r="T125">
            <v>10.5</v>
          </cell>
          <cell r="U125">
            <v>383.7</v>
          </cell>
        </row>
        <row r="126">
          <cell r="B126" t="str">
            <v>土石流</v>
          </cell>
          <cell r="E126" t="str">
            <v>高雄市</v>
          </cell>
          <cell r="F126" t="str">
            <v>甲仙區</v>
          </cell>
          <cell r="N126" t="str">
            <v>卡玫基颱風</v>
          </cell>
          <cell r="T126">
            <v>139</v>
          </cell>
          <cell r="U126">
            <v>538</v>
          </cell>
        </row>
        <row r="127">
          <cell r="B127" t="str">
            <v>崩塌</v>
          </cell>
          <cell r="E127" t="str">
            <v>高雄市</v>
          </cell>
          <cell r="F127" t="str">
            <v>六龜區</v>
          </cell>
          <cell r="N127" t="str">
            <v>卡玫基颱風</v>
          </cell>
          <cell r="T127">
            <v>144.5</v>
          </cell>
          <cell r="U127">
            <v>454.2</v>
          </cell>
        </row>
        <row r="128">
          <cell r="B128" t="str">
            <v>土石流</v>
          </cell>
          <cell r="E128" t="str">
            <v>高雄市</v>
          </cell>
          <cell r="F128" t="str">
            <v>六龜區</v>
          </cell>
          <cell r="N128" t="str">
            <v>卡玫基颱風</v>
          </cell>
          <cell r="T128">
            <v>47.5</v>
          </cell>
          <cell r="U128">
            <v>371</v>
          </cell>
        </row>
        <row r="129">
          <cell r="B129" t="str">
            <v>崩塌、洪水</v>
          </cell>
          <cell r="E129" t="str">
            <v>南投縣</v>
          </cell>
          <cell r="F129" t="str">
            <v>中寮鄉</v>
          </cell>
          <cell r="N129" t="str">
            <v>卡玫基颱風</v>
          </cell>
          <cell r="T129">
            <v>30.5</v>
          </cell>
          <cell r="U129">
            <v>217.7</v>
          </cell>
        </row>
        <row r="130">
          <cell r="B130" t="str">
            <v>崩塌、洪水</v>
          </cell>
          <cell r="E130" t="str">
            <v>高雄市</v>
          </cell>
          <cell r="F130" t="str">
            <v>甲仙區</v>
          </cell>
          <cell r="N130" t="str">
            <v>卡玫基颱風</v>
          </cell>
          <cell r="T130">
            <v>130</v>
          </cell>
          <cell r="U130">
            <v>382.5</v>
          </cell>
        </row>
        <row r="131">
          <cell r="B131" t="str">
            <v>崩塌、洪水</v>
          </cell>
          <cell r="E131" t="str">
            <v>高雄市</v>
          </cell>
          <cell r="F131" t="str">
            <v>六龜區</v>
          </cell>
          <cell r="N131" t="str">
            <v>卡玫基颱風</v>
          </cell>
          <cell r="T131">
            <v>109.5</v>
          </cell>
          <cell r="U131">
            <v>310.39999999999998</v>
          </cell>
        </row>
        <row r="132">
          <cell r="B132" t="str">
            <v>土石流</v>
          </cell>
          <cell r="E132" t="str">
            <v>宜蘭縣</v>
          </cell>
          <cell r="F132" t="str">
            <v>礁溪鄉</v>
          </cell>
          <cell r="N132" t="str">
            <v>辛樂克颱風</v>
          </cell>
          <cell r="T132">
            <v>84.5</v>
          </cell>
          <cell r="U132">
            <v>425</v>
          </cell>
        </row>
        <row r="133">
          <cell r="B133" t="str">
            <v>土石流</v>
          </cell>
          <cell r="E133" t="str">
            <v>南投縣</v>
          </cell>
          <cell r="F133" t="str">
            <v>仁愛鄉</v>
          </cell>
          <cell r="N133" t="str">
            <v>辛樂克颱風</v>
          </cell>
          <cell r="T133">
            <v>55.5</v>
          </cell>
          <cell r="U133">
            <v>917.8</v>
          </cell>
        </row>
        <row r="134">
          <cell r="B134" t="str">
            <v>土石流</v>
          </cell>
          <cell r="E134" t="str">
            <v>南投縣</v>
          </cell>
          <cell r="F134" t="str">
            <v>仁愛鄉</v>
          </cell>
          <cell r="N134" t="str">
            <v>辛樂克颱風</v>
          </cell>
          <cell r="T134">
            <v>44.5</v>
          </cell>
          <cell r="U134">
            <v>737.4</v>
          </cell>
        </row>
        <row r="135">
          <cell r="B135" t="str">
            <v>土石流、崩塌</v>
          </cell>
          <cell r="E135" t="str">
            <v>南投縣</v>
          </cell>
          <cell r="F135" t="str">
            <v>信義鄉</v>
          </cell>
          <cell r="N135" t="str">
            <v>辛樂克颱風</v>
          </cell>
          <cell r="T135">
            <v>2.5</v>
          </cell>
          <cell r="U135">
            <v>552.5</v>
          </cell>
        </row>
        <row r="136">
          <cell r="B136" t="str">
            <v>地滑</v>
          </cell>
          <cell r="E136" t="str">
            <v>苗栗縣</v>
          </cell>
          <cell r="F136" t="str">
            <v>頭屋鄉</v>
          </cell>
          <cell r="N136" t="str">
            <v>辛樂克颱風</v>
          </cell>
          <cell r="T136">
            <v>26</v>
          </cell>
          <cell r="U136">
            <v>158</v>
          </cell>
        </row>
        <row r="137">
          <cell r="B137" t="str">
            <v>地滑</v>
          </cell>
          <cell r="E137" t="str">
            <v>苗栗縣</v>
          </cell>
          <cell r="F137" t="str">
            <v>銅鑼鄉</v>
          </cell>
          <cell r="N137" t="str">
            <v>辛樂克颱風</v>
          </cell>
          <cell r="T137">
            <v>1</v>
          </cell>
          <cell r="U137">
            <v>813.2</v>
          </cell>
        </row>
        <row r="138">
          <cell r="B138" t="str">
            <v>地滑</v>
          </cell>
          <cell r="E138" t="str">
            <v>苗栗縣</v>
          </cell>
          <cell r="F138" t="str">
            <v>大湖鄉</v>
          </cell>
          <cell r="N138" t="str">
            <v>辛樂克颱風</v>
          </cell>
          <cell r="T138">
            <v>50.5</v>
          </cell>
          <cell r="U138">
            <v>611.29999999999995</v>
          </cell>
        </row>
        <row r="139">
          <cell r="B139" t="str">
            <v>地滑</v>
          </cell>
          <cell r="E139" t="str">
            <v>新竹縣</v>
          </cell>
          <cell r="F139" t="str">
            <v>北埔鄉</v>
          </cell>
          <cell r="N139" t="str">
            <v>辛樂克颱風</v>
          </cell>
          <cell r="T139">
            <v>52.5</v>
          </cell>
          <cell r="U139">
            <v>382.5</v>
          </cell>
        </row>
        <row r="140">
          <cell r="B140" t="str">
            <v>地滑</v>
          </cell>
          <cell r="E140" t="str">
            <v>嘉義縣</v>
          </cell>
          <cell r="F140" t="str">
            <v>竹崎鄉</v>
          </cell>
          <cell r="N140" t="str">
            <v>辛樂克颱風</v>
          </cell>
          <cell r="T140">
            <v>46</v>
          </cell>
          <cell r="U140">
            <v>531.6</v>
          </cell>
        </row>
        <row r="141">
          <cell r="B141" t="str">
            <v>地滑、崩塌</v>
          </cell>
          <cell r="E141" t="str">
            <v>臺北市</v>
          </cell>
          <cell r="F141" t="str">
            <v>文山區</v>
          </cell>
          <cell r="N141" t="str">
            <v>辛樂克颱風</v>
          </cell>
          <cell r="T141">
            <v>3.5</v>
          </cell>
          <cell r="U141">
            <v>395.6</v>
          </cell>
        </row>
        <row r="142">
          <cell r="B142" t="str">
            <v>沖蝕</v>
          </cell>
          <cell r="E142" t="str">
            <v>南投縣</v>
          </cell>
          <cell r="F142" t="str">
            <v>信義鄉</v>
          </cell>
          <cell r="N142" t="str">
            <v>辛樂克颱風</v>
          </cell>
          <cell r="T142">
            <v>38</v>
          </cell>
          <cell r="U142">
            <v>347.6</v>
          </cell>
        </row>
        <row r="143">
          <cell r="B143" t="str">
            <v>洪水</v>
          </cell>
          <cell r="E143" t="str">
            <v>南投縣</v>
          </cell>
          <cell r="F143" t="str">
            <v>仁愛鄉</v>
          </cell>
          <cell r="N143" t="str">
            <v>辛樂克颱風</v>
          </cell>
          <cell r="T143">
            <v>71.5</v>
          </cell>
          <cell r="U143">
            <v>862.2</v>
          </cell>
        </row>
        <row r="144">
          <cell r="B144" t="str">
            <v>洪水</v>
          </cell>
          <cell r="E144" t="str">
            <v>南投縣</v>
          </cell>
          <cell r="F144" t="str">
            <v>仁愛鄉</v>
          </cell>
          <cell r="N144" t="str">
            <v>辛樂克颱風</v>
          </cell>
          <cell r="T144">
            <v>46.5</v>
          </cell>
          <cell r="U144">
            <v>849.8</v>
          </cell>
        </row>
        <row r="145">
          <cell r="B145" t="str">
            <v>洪水</v>
          </cell>
          <cell r="E145" t="str">
            <v>南投縣</v>
          </cell>
          <cell r="F145" t="str">
            <v>水里鄉</v>
          </cell>
          <cell r="N145" t="str">
            <v>辛樂克颱風</v>
          </cell>
          <cell r="T145">
            <v>50</v>
          </cell>
          <cell r="U145">
            <v>428.6</v>
          </cell>
        </row>
        <row r="146">
          <cell r="B146" t="str">
            <v>洪水</v>
          </cell>
          <cell r="E146" t="str">
            <v>苗栗縣</v>
          </cell>
          <cell r="F146" t="str">
            <v>銅鑼鄉</v>
          </cell>
          <cell r="N146" t="str">
            <v>辛樂克颱風</v>
          </cell>
          <cell r="T146">
            <v>30.5</v>
          </cell>
          <cell r="U146">
            <v>516.4</v>
          </cell>
        </row>
        <row r="147">
          <cell r="B147" t="str">
            <v>洪水、崩塌</v>
          </cell>
          <cell r="E147" t="str">
            <v>南投縣</v>
          </cell>
          <cell r="F147" t="str">
            <v>仁愛鄉</v>
          </cell>
          <cell r="N147" t="str">
            <v>辛樂克颱風</v>
          </cell>
          <cell r="T147">
            <v>47</v>
          </cell>
          <cell r="U147">
            <v>938.2</v>
          </cell>
        </row>
        <row r="148">
          <cell r="B148" t="str">
            <v>崩塌</v>
          </cell>
          <cell r="E148" t="str">
            <v>臺中市</v>
          </cell>
          <cell r="F148" t="str">
            <v>北屯區</v>
          </cell>
          <cell r="N148" t="str">
            <v>辛樂克颱風</v>
          </cell>
          <cell r="T148">
            <v>40</v>
          </cell>
          <cell r="U148">
            <v>416.9</v>
          </cell>
        </row>
        <row r="149">
          <cell r="B149" t="str">
            <v>崩塌</v>
          </cell>
          <cell r="E149" t="str">
            <v>新北市</v>
          </cell>
          <cell r="F149" t="str">
            <v>土城區</v>
          </cell>
          <cell r="N149" t="str">
            <v>辛樂克颱風</v>
          </cell>
          <cell r="T149">
            <v>17</v>
          </cell>
          <cell r="U149">
            <v>302.8</v>
          </cell>
        </row>
        <row r="150">
          <cell r="B150" t="str">
            <v>崩塌</v>
          </cell>
          <cell r="E150" t="str">
            <v>南投縣</v>
          </cell>
          <cell r="F150" t="str">
            <v>水里鄉</v>
          </cell>
          <cell r="N150" t="str">
            <v>辛樂克颱風</v>
          </cell>
          <cell r="T150">
            <v>29.5</v>
          </cell>
          <cell r="U150">
            <v>301.2</v>
          </cell>
        </row>
        <row r="151">
          <cell r="B151" t="str">
            <v>土石流</v>
          </cell>
          <cell r="E151" t="str">
            <v>花蓮縣</v>
          </cell>
          <cell r="F151" t="str">
            <v>光復鄉</v>
          </cell>
          <cell r="N151" t="str">
            <v>鳳凰颱風</v>
          </cell>
          <cell r="T151">
            <v>55</v>
          </cell>
          <cell r="U151">
            <v>235.6</v>
          </cell>
        </row>
        <row r="152">
          <cell r="B152" t="str">
            <v>地滑</v>
          </cell>
          <cell r="E152" t="str">
            <v>南投縣</v>
          </cell>
          <cell r="F152" t="str">
            <v>中寮鄉</v>
          </cell>
          <cell r="N152" t="str">
            <v>鳳凰颱風</v>
          </cell>
          <cell r="T152">
            <v>34.5</v>
          </cell>
          <cell r="U152">
            <v>120.8</v>
          </cell>
        </row>
        <row r="153">
          <cell r="B153" t="str">
            <v>洪水</v>
          </cell>
          <cell r="E153" t="str">
            <v>花蓮縣</v>
          </cell>
          <cell r="F153" t="str">
            <v>鳳林鎮</v>
          </cell>
          <cell r="N153" t="str">
            <v>鳳凰颱風</v>
          </cell>
          <cell r="T153">
            <v>63.5</v>
          </cell>
          <cell r="U153">
            <v>396.1</v>
          </cell>
        </row>
        <row r="154">
          <cell r="B154" t="str">
            <v>地滑</v>
          </cell>
          <cell r="E154" t="str">
            <v>南投縣</v>
          </cell>
          <cell r="F154" t="str">
            <v>國姓鄉</v>
          </cell>
          <cell r="N154" t="str">
            <v xml:space="preserve">97 年其他 </v>
          </cell>
          <cell r="T154">
            <v>0</v>
          </cell>
          <cell r="U154">
            <v>74</v>
          </cell>
        </row>
        <row r="155">
          <cell r="B155" t="str">
            <v>洪水</v>
          </cell>
          <cell r="E155" t="str">
            <v>彰化縣</v>
          </cell>
          <cell r="F155" t="str">
            <v>社頭鄉</v>
          </cell>
          <cell r="N155" t="str">
            <v xml:space="preserve">97 年其他 </v>
          </cell>
          <cell r="T155">
            <v>64</v>
          </cell>
          <cell r="U155">
            <v>183</v>
          </cell>
        </row>
        <row r="156">
          <cell r="B156" t="str">
            <v>地滑</v>
          </cell>
          <cell r="E156" t="str">
            <v>南投縣</v>
          </cell>
          <cell r="F156" t="str">
            <v>鹿谷鄉</v>
          </cell>
          <cell r="N156" t="str">
            <v xml:space="preserve">97 年其他 </v>
          </cell>
          <cell r="T156">
            <v>0</v>
          </cell>
          <cell r="U156">
            <v>21.8</v>
          </cell>
        </row>
        <row r="157">
          <cell r="B157" t="str">
            <v>地滑</v>
          </cell>
          <cell r="E157" t="str">
            <v>新竹縣</v>
          </cell>
          <cell r="F157" t="str">
            <v>五峰鄉</v>
          </cell>
          <cell r="N157" t="str">
            <v xml:space="preserve">97 年其他 </v>
          </cell>
          <cell r="T157">
            <v>37</v>
          </cell>
          <cell r="U157">
            <v>88.9</v>
          </cell>
        </row>
        <row r="158">
          <cell r="B158" t="str">
            <v>崩塌</v>
          </cell>
          <cell r="E158" t="str">
            <v>南投縣</v>
          </cell>
          <cell r="F158" t="str">
            <v>信義鄉</v>
          </cell>
          <cell r="N158" t="str">
            <v>97 年其他</v>
          </cell>
          <cell r="T158" t="str">
            <v>—</v>
          </cell>
          <cell r="U158">
            <v>3.4</v>
          </cell>
        </row>
        <row r="159">
          <cell r="B159" t="str">
            <v>土石流、崩塌</v>
          </cell>
          <cell r="E159" t="str">
            <v>宜蘭縣</v>
          </cell>
          <cell r="F159" t="str">
            <v>三星鄉</v>
          </cell>
          <cell r="N159" t="str">
            <v>芭瑪颱風</v>
          </cell>
          <cell r="T159">
            <v>29</v>
          </cell>
          <cell r="U159">
            <v>996</v>
          </cell>
        </row>
        <row r="160">
          <cell r="B160" t="str">
            <v>崩塌、洪水</v>
          </cell>
          <cell r="E160" t="str">
            <v>宜蘭縣</v>
          </cell>
          <cell r="F160" t="str">
            <v>大同鄉</v>
          </cell>
          <cell r="N160" t="str">
            <v>芭瑪颱風</v>
          </cell>
          <cell r="T160">
            <v>61.5</v>
          </cell>
          <cell r="U160">
            <v>315.89999999999998</v>
          </cell>
        </row>
        <row r="161">
          <cell r="B161" t="str">
            <v>土石流</v>
          </cell>
          <cell r="E161" t="str">
            <v>臺東縣</v>
          </cell>
          <cell r="F161" t="str">
            <v>太麻里鄉</v>
          </cell>
          <cell r="N161" t="str">
            <v>莫拉克颱風</v>
          </cell>
          <cell r="T161">
            <v>12</v>
          </cell>
          <cell r="U161">
            <v>664.4</v>
          </cell>
        </row>
        <row r="162">
          <cell r="B162" t="str">
            <v>土石流</v>
          </cell>
          <cell r="E162" t="str">
            <v>臺東縣</v>
          </cell>
          <cell r="F162" t="str">
            <v>大武鄉</v>
          </cell>
          <cell r="N162" t="str">
            <v>莫拉克颱風</v>
          </cell>
          <cell r="T162">
            <v>47.5</v>
          </cell>
          <cell r="U162">
            <v>1252.9000000000001</v>
          </cell>
        </row>
        <row r="163">
          <cell r="B163" t="str">
            <v>土石流</v>
          </cell>
          <cell r="E163" t="str">
            <v>臺東縣</v>
          </cell>
          <cell r="F163" t="str">
            <v>大武鄉</v>
          </cell>
          <cell r="N163" t="str">
            <v>莫拉克颱風</v>
          </cell>
          <cell r="T163">
            <v>20</v>
          </cell>
          <cell r="U163">
            <v>951</v>
          </cell>
        </row>
        <row r="164">
          <cell r="B164" t="str">
            <v>土石流</v>
          </cell>
          <cell r="E164" t="str">
            <v>臺東縣</v>
          </cell>
          <cell r="F164" t="str">
            <v>大武鄉</v>
          </cell>
          <cell r="N164" t="str">
            <v>莫拉克颱風</v>
          </cell>
          <cell r="T164">
            <v>20</v>
          </cell>
          <cell r="U164">
            <v>951</v>
          </cell>
        </row>
        <row r="165">
          <cell r="B165" t="str">
            <v>土石流</v>
          </cell>
          <cell r="E165" t="str">
            <v>臺南市</v>
          </cell>
          <cell r="F165" t="str">
            <v>南化區</v>
          </cell>
          <cell r="N165" t="str">
            <v>莫拉克颱風</v>
          </cell>
          <cell r="T165">
            <v>89</v>
          </cell>
          <cell r="U165">
            <v>653.6</v>
          </cell>
        </row>
        <row r="166">
          <cell r="B166" t="str">
            <v>土石流</v>
          </cell>
          <cell r="E166" t="str">
            <v>南投縣</v>
          </cell>
          <cell r="F166" t="str">
            <v>水里鄉</v>
          </cell>
          <cell r="N166" t="str">
            <v>莫拉克颱風</v>
          </cell>
          <cell r="T166">
            <v>9</v>
          </cell>
          <cell r="U166">
            <v>45.8</v>
          </cell>
        </row>
        <row r="167">
          <cell r="B167" t="str">
            <v>土石流</v>
          </cell>
          <cell r="E167" t="str">
            <v>屏東縣</v>
          </cell>
          <cell r="F167" t="str">
            <v>三地門鄉</v>
          </cell>
          <cell r="N167" t="str">
            <v>莫拉克颱風</v>
          </cell>
          <cell r="T167">
            <v>71</v>
          </cell>
          <cell r="U167">
            <v>1532</v>
          </cell>
        </row>
        <row r="168">
          <cell r="B168" t="str">
            <v>土石流</v>
          </cell>
          <cell r="E168" t="str">
            <v>屏東縣</v>
          </cell>
          <cell r="F168" t="str">
            <v>來義鄉</v>
          </cell>
          <cell r="N168" t="str">
            <v>莫拉克颱風</v>
          </cell>
          <cell r="T168">
            <v>8.5</v>
          </cell>
          <cell r="U168">
            <v>930.7</v>
          </cell>
        </row>
        <row r="169">
          <cell r="B169" t="str">
            <v>土石流</v>
          </cell>
          <cell r="E169" t="str">
            <v>高雄市</v>
          </cell>
          <cell r="F169" t="str">
            <v>那瑪夏區</v>
          </cell>
          <cell r="N169" t="str">
            <v>莫拉克颱風</v>
          </cell>
          <cell r="T169">
            <v>89</v>
          </cell>
          <cell r="U169">
            <v>712.6</v>
          </cell>
        </row>
        <row r="170">
          <cell r="B170" t="str">
            <v>土石流</v>
          </cell>
          <cell r="E170" t="str">
            <v>高雄市</v>
          </cell>
          <cell r="F170" t="str">
            <v>那瑪夏區</v>
          </cell>
          <cell r="N170" t="str">
            <v>莫拉克颱風</v>
          </cell>
          <cell r="T170">
            <v>89</v>
          </cell>
          <cell r="U170">
            <v>712.6</v>
          </cell>
        </row>
        <row r="171">
          <cell r="B171" t="str">
            <v>土石流</v>
          </cell>
          <cell r="E171" t="str">
            <v>高雄市</v>
          </cell>
          <cell r="F171" t="str">
            <v>甲仙區</v>
          </cell>
          <cell r="N171" t="str">
            <v>莫拉克颱風</v>
          </cell>
          <cell r="T171">
            <v>42.5</v>
          </cell>
          <cell r="U171">
            <v>1257.0999999999999</v>
          </cell>
        </row>
        <row r="172">
          <cell r="B172" t="str">
            <v>土石流</v>
          </cell>
          <cell r="E172" t="str">
            <v>高雄市</v>
          </cell>
          <cell r="F172" t="str">
            <v>杉林區</v>
          </cell>
          <cell r="N172" t="str">
            <v>莫拉克颱風</v>
          </cell>
          <cell r="T172">
            <v>37</v>
          </cell>
          <cell r="U172">
            <v>1030.8</v>
          </cell>
        </row>
        <row r="173">
          <cell r="B173" t="str">
            <v>土石流</v>
          </cell>
          <cell r="E173" t="str">
            <v>高雄市</v>
          </cell>
          <cell r="F173" t="str">
            <v>六龜區</v>
          </cell>
          <cell r="N173" t="str">
            <v>莫拉克颱風</v>
          </cell>
          <cell r="T173">
            <v>32.5</v>
          </cell>
          <cell r="U173">
            <v>534.5</v>
          </cell>
        </row>
        <row r="174">
          <cell r="B174" t="str">
            <v>土石流</v>
          </cell>
          <cell r="E174" t="str">
            <v>高雄市</v>
          </cell>
          <cell r="F174" t="str">
            <v>六龜區</v>
          </cell>
          <cell r="N174" t="str">
            <v>莫拉克颱風</v>
          </cell>
          <cell r="T174">
            <v>32.5</v>
          </cell>
          <cell r="U174">
            <v>534.5</v>
          </cell>
        </row>
        <row r="175">
          <cell r="B175" t="str">
            <v>土石流</v>
          </cell>
          <cell r="E175" t="str">
            <v>高雄市</v>
          </cell>
          <cell r="F175" t="str">
            <v>六龜區</v>
          </cell>
          <cell r="N175" t="str">
            <v>莫拉克颱風</v>
          </cell>
          <cell r="T175">
            <v>35.5</v>
          </cell>
          <cell r="U175">
            <v>1585.6</v>
          </cell>
        </row>
        <row r="176">
          <cell r="B176" t="str">
            <v>土石流</v>
          </cell>
          <cell r="E176" t="str">
            <v>高雄市</v>
          </cell>
          <cell r="F176" t="str">
            <v>六龜區</v>
          </cell>
          <cell r="N176" t="str">
            <v>莫拉克颱風</v>
          </cell>
          <cell r="T176">
            <v>18.5</v>
          </cell>
          <cell r="U176">
            <v>308.89999999999998</v>
          </cell>
        </row>
        <row r="177">
          <cell r="B177" t="str">
            <v>土石流</v>
          </cell>
          <cell r="E177" t="str">
            <v>高雄市</v>
          </cell>
          <cell r="F177" t="str">
            <v>桃源區</v>
          </cell>
          <cell r="N177" t="str">
            <v>莫拉克颱風</v>
          </cell>
          <cell r="T177">
            <v>86.5</v>
          </cell>
          <cell r="U177">
            <v>732.6</v>
          </cell>
        </row>
        <row r="178">
          <cell r="B178" t="str">
            <v>土石流</v>
          </cell>
          <cell r="E178" t="str">
            <v>嘉義縣</v>
          </cell>
          <cell r="F178" t="str">
            <v>阿里山鄉</v>
          </cell>
          <cell r="N178" t="str">
            <v>莫拉克颱風</v>
          </cell>
          <cell r="T178">
            <v>24</v>
          </cell>
          <cell r="U178">
            <v>1347.7</v>
          </cell>
        </row>
        <row r="179">
          <cell r="B179" t="str">
            <v>土石流</v>
          </cell>
          <cell r="E179" t="str">
            <v>嘉義縣</v>
          </cell>
          <cell r="F179" t="str">
            <v>阿里山鄉</v>
          </cell>
          <cell r="N179" t="str">
            <v>莫拉克颱風</v>
          </cell>
          <cell r="T179">
            <v>24</v>
          </cell>
          <cell r="U179">
            <v>1347.7</v>
          </cell>
        </row>
        <row r="180">
          <cell r="B180" t="str">
            <v>土石流</v>
          </cell>
          <cell r="E180" t="str">
            <v>嘉義縣</v>
          </cell>
          <cell r="F180" t="str">
            <v>中埔鄉</v>
          </cell>
          <cell r="N180" t="str">
            <v>莫拉克颱風</v>
          </cell>
          <cell r="T180">
            <v>60</v>
          </cell>
          <cell r="U180">
            <v>1498.6</v>
          </cell>
        </row>
        <row r="181">
          <cell r="B181" t="str">
            <v>土石流</v>
          </cell>
          <cell r="E181" t="str">
            <v>南投縣</v>
          </cell>
          <cell r="F181" t="str">
            <v>信義鄉</v>
          </cell>
          <cell r="N181" t="str">
            <v>莫拉克颱風</v>
          </cell>
          <cell r="T181">
            <v>51.5</v>
          </cell>
          <cell r="U181">
            <v>695.1</v>
          </cell>
        </row>
        <row r="182">
          <cell r="B182" t="str">
            <v>土石流</v>
          </cell>
          <cell r="E182" t="str">
            <v>南投縣</v>
          </cell>
          <cell r="F182" t="str">
            <v>信義鄉</v>
          </cell>
          <cell r="N182" t="str">
            <v>莫拉克颱風</v>
          </cell>
          <cell r="T182">
            <v>38.5</v>
          </cell>
          <cell r="U182">
            <v>677.5</v>
          </cell>
        </row>
        <row r="183">
          <cell r="B183" t="str">
            <v>土石流</v>
          </cell>
          <cell r="E183" t="str">
            <v>南投縣</v>
          </cell>
          <cell r="F183" t="str">
            <v>信義鄉</v>
          </cell>
          <cell r="N183" t="str">
            <v>莫拉克颱風</v>
          </cell>
          <cell r="T183">
            <v>34</v>
          </cell>
          <cell r="U183">
            <v>576.1</v>
          </cell>
        </row>
        <row r="184">
          <cell r="B184" t="str">
            <v>土石流</v>
          </cell>
          <cell r="E184" t="str">
            <v>南投縣</v>
          </cell>
          <cell r="F184" t="str">
            <v>信義鄉</v>
          </cell>
          <cell r="N184" t="str">
            <v>莫拉克颱風</v>
          </cell>
          <cell r="T184">
            <v>38</v>
          </cell>
          <cell r="U184">
            <v>786.9</v>
          </cell>
        </row>
        <row r="185">
          <cell r="B185" t="str">
            <v>土石流</v>
          </cell>
          <cell r="E185" t="str">
            <v>雲林縣</v>
          </cell>
          <cell r="F185" t="str">
            <v>古坑鄉</v>
          </cell>
          <cell r="N185" t="str">
            <v>莫拉克颱風</v>
          </cell>
          <cell r="T185">
            <v>33</v>
          </cell>
          <cell r="U185">
            <v>1051.0999999999999</v>
          </cell>
        </row>
        <row r="186">
          <cell r="B186" t="str">
            <v>土石流</v>
          </cell>
          <cell r="E186" t="str">
            <v>嘉義縣</v>
          </cell>
          <cell r="F186" t="str">
            <v>梅山鄉</v>
          </cell>
          <cell r="N186" t="str">
            <v>莫拉克颱風</v>
          </cell>
          <cell r="T186">
            <v>38</v>
          </cell>
          <cell r="U186">
            <v>923.4</v>
          </cell>
        </row>
        <row r="187">
          <cell r="B187" t="str">
            <v>土石流</v>
          </cell>
          <cell r="E187" t="str">
            <v>嘉義縣</v>
          </cell>
          <cell r="F187" t="str">
            <v>梅山鄉</v>
          </cell>
          <cell r="N187" t="str">
            <v>莫拉克颱風</v>
          </cell>
          <cell r="T187">
            <v>44</v>
          </cell>
          <cell r="U187">
            <v>855.9</v>
          </cell>
        </row>
        <row r="188">
          <cell r="B188" t="str">
            <v>土石流</v>
          </cell>
          <cell r="E188" t="str">
            <v>嘉義縣</v>
          </cell>
          <cell r="F188" t="str">
            <v>梅山鄉</v>
          </cell>
          <cell r="N188" t="str">
            <v>莫拉克颱風</v>
          </cell>
          <cell r="T188">
            <v>37</v>
          </cell>
          <cell r="U188">
            <v>887.9</v>
          </cell>
        </row>
        <row r="189">
          <cell r="B189" t="str">
            <v>土石流</v>
          </cell>
          <cell r="E189" t="str">
            <v>嘉義縣</v>
          </cell>
          <cell r="F189" t="str">
            <v>梅山鄉</v>
          </cell>
          <cell r="N189" t="str">
            <v>莫拉克颱風</v>
          </cell>
          <cell r="T189">
            <v>37</v>
          </cell>
          <cell r="U189">
            <v>887.9</v>
          </cell>
        </row>
        <row r="190">
          <cell r="B190" t="str">
            <v>土石流</v>
          </cell>
          <cell r="E190" t="str">
            <v>嘉義縣</v>
          </cell>
          <cell r="F190" t="str">
            <v>梅山鄉</v>
          </cell>
          <cell r="N190" t="str">
            <v>莫拉克颱風</v>
          </cell>
          <cell r="T190">
            <v>44</v>
          </cell>
          <cell r="U190">
            <v>855.9</v>
          </cell>
        </row>
        <row r="191">
          <cell r="B191" t="str">
            <v>土石流</v>
          </cell>
          <cell r="E191" t="str">
            <v>嘉義縣</v>
          </cell>
          <cell r="F191" t="str">
            <v>大埔鄉</v>
          </cell>
          <cell r="N191" t="str">
            <v>莫拉克颱風</v>
          </cell>
          <cell r="T191">
            <v>33</v>
          </cell>
          <cell r="U191">
            <v>701.3</v>
          </cell>
        </row>
        <row r="192">
          <cell r="B192" t="str">
            <v>土石流</v>
          </cell>
          <cell r="E192" t="str">
            <v>嘉義縣</v>
          </cell>
          <cell r="F192" t="str">
            <v>阿里山鄉</v>
          </cell>
          <cell r="N192" t="str">
            <v>莫拉克颱風</v>
          </cell>
          <cell r="T192">
            <v>52</v>
          </cell>
          <cell r="U192">
            <v>1283.7</v>
          </cell>
        </row>
        <row r="193">
          <cell r="B193" t="str">
            <v>土石流</v>
          </cell>
          <cell r="E193" t="str">
            <v>嘉義縣</v>
          </cell>
          <cell r="F193" t="str">
            <v>阿里山鄉</v>
          </cell>
          <cell r="N193" t="str">
            <v>莫拉克颱風</v>
          </cell>
          <cell r="T193">
            <v>36</v>
          </cell>
          <cell r="U193">
            <v>589.79999999999995</v>
          </cell>
        </row>
        <row r="194">
          <cell r="B194" t="str">
            <v>土石流</v>
          </cell>
          <cell r="E194" t="str">
            <v>嘉義縣</v>
          </cell>
          <cell r="F194" t="str">
            <v>阿里山鄉</v>
          </cell>
          <cell r="N194" t="str">
            <v>莫拉克颱風</v>
          </cell>
          <cell r="T194">
            <v>59.5</v>
          </cell>
          <cell r="U194">
            <v>1062.3</v>
          </cell>
        </row>
        <row r="195">
          <cell r="B195" t="str">
            <v>土石流</v>
          </cell>
          <cell r="E195" t="str">
            <v>高雄市</v>
          </cell>
          <cell r="F195" t="str">
            <v>甲仙區</v>
          </cell>
          <cell r="N195" t="str">
            <v>莫拉克颱風</v>
          </cell>
          <cell r="T195">
            <v>67.5</v>
          </cell>
          <cell r="U195">
            <v>1395.51</v>
          </cell>
        </row>
        <row r="196">
          <cell r="B196" t="str">
            <v>土石流</v>
          </cell>
          <cell r="E196" t="str">
            <v>高雄市</v>
          </cell>
          <cell r="F196" t="str">
            <v>六龜區</v>
          </cell>
          <cell r="N196" t="str">
            <v>莫拉克颱風</v>
          </cell>
          <cell r="T196">
            <v>18.5</v>
          </cell>
          <cell r="U196">
            <v>308.89999999999998</v>
          </cell>
        </row>
        <row r="197">
          <cell r="B197" t="str">
            <v>土石流</v>
          </cell>
          <cell r="E197" t="str">
            <v>高雄市</v>
          </cell>
          <cell r="F197" t="str">
            <v>桃源區</v>
          </cell>
          <cell r="N197" t="str">
            <v>莫拉克颱風</v>
          </cell>
          <cell r="T197">
            <v>74</v>
          </cell>
          <cell r="U197">
            <v>647.4</v>
          </cell>
        </row>
        <row r="198">
          <cell r="B198" t="str">
            <v>土石流 、崩塌</v>
          </cell>
          <cell r="E198" t="str">
            <v>高雄市</v>
          </cell>
          <cell r="F198" t="str">
            <v>六龜區</v>
          </cell>
          <cell r="N198" t="str">
            <v>莫拉克颱風</v>
          </cell>
          <cell r="T198">
            <v>56</v>
          </cell>
          <cell r="U198">
            <v>1271.5999999999999</v>
          </cell>
        </row>
        <row r="199">
          <cell r="B199" t="str">
            <v>土石流、洪水</v>
          </cell>
          <cell r="E199" t="str">
            <v>南投縣</v>
          </cell>
          <cell r="F199" t="str">
            <v>信義鄉</v>
          </cell>
          <cell r="N199" t="str">
            <v>莫拉克颱風</v>
          </cell>
          <cell r="T199">
            <v>89</v>
          </cell>
          <cell r="U199">
            <v>1087.9000000000001</v>
          </cell>
        </row>
        <row r="200">
          <cell r="B200" t="str">
            <v>土石流、洪水</v>
          </cell>
          <cell r="E200" t="str">
            <v>高雄市</v>
          </cell>
          <cell r="F200" t="str">
            <v>六龜區</v>
          </cell>
          <cell r="N200" t="str">
            <v>莫拉克颱風</v>
          </cell>
          <cell r="T200">
            <v>56</v>
          </cell>
          <cell r="U200">
            <v>1271.5999999999999</v>
          </cell>
        </row>
        <row r="201">
          <cell r="B201" t="str">
            <v>土石流、洪水</v>
          </cell>
          <cell r="E201" t="str">
            <v>嘉義縣</v>
          </cell>
          <cell r="F201" t="str">
            <v>阿里山鄉</v>
          </cell>
          <cell r="N201" t="str">
            <v>莫拉克颱風</v>
          </cell>
          <cell r="T201">
            <v>71.5</v>
          </cell>
          <cell r="U201">
            <v>1484.5</v>
          </cell>
        </row>
        <row r="202">
          <cell r="B202" t="str">
            <v>土石流、洪水</v>
          </cell>
          <cell r="E202" t="str">
            <v>高雄市</v>
          </cell>
          <cell r="F202" t="str">
            <v>甲仙區</v>
          </cell>
          <cell r="N202" t="str">
            <v>莫拉克颱風</v>
          </cell>
          <cell r="T202">
            <v>42.5</v>
          </cell>
          <cell r="U202">
            <v>1328</v>
          </cell>
        </row>
        <row r="203">
          <cell r="B203" t="str">
            <v>土石流、崩塌</v>
          </cell>
          <cell r="E203" t="str">
            <v>高雄市</v>
          </cell>
          <cell r="F203" t="str">
            <v>那瑪夏區</v>
          </cell>
          <cell r="N203" t="str">
            <v>莫拉克颱風</v>
          </cell>
          <cell r="T203">
            <v>9.5</v>
          </cell>
          <cell r="U203">
            <v>1409.9</v>
          </cell>
        </row>
        <row r="204">
          <cell r="B204" t="str">
            <v>土石流、崩塌</v>
          </cell>
          <cell r="E204" t="str">
            <v>高雄市</v>
          </cell>
          <cell r="F204" t="str">
            <v>六龜區</v>
          </cell>
          <cell r="N204" t="str">
            <v>莫拉克颱風</v>
          </cell>
          <cell r="T204">
            <v>63.5</v>
          </cell>
          <cell r="U204">
            <v>1330.7</v>
          </cell>
        </row>
        <row r="205">
          <cell r="B205" t="str">
            <v>土石流、崩塌</v>
          </cell>
          <cell r="E205" t="str">
            <v>高雄市</v>
          </cell>
          <cell r="F205" t="str">
            <v>六龜區</v>
          </cell>
          <cell r="N205" t="str">
            <v>莫拉克颱風</v>
          </cell>
          <cell r="T205">
            <v>71</v>
          </cell>
          <cell r="U205">
            <v>1046.0999999999999</v>
          </cell>
        </row>
        <row r="206">
          <cell r="B206" t="str">
            <v>土石流、崩塌</v>
          </cell>
          <cell r="E206" t="str">
            <v>高雄市</v>
          </cell>
          <cell r="F206" t="str">
            <v>六龜區</v>
          </cell>
          <cell r="N206" t="str">
            <v>莫拉克颱風</v>
          </cell>
          <cell r="T206">
            <v>63.5</v>
          </cell>
          <cell r="U206">
            <v>1330.7</v>
          </cell>
        </row>
        <row r="207">
          <cell r="B207" t="str">
            <v>地滑</v>
          </cell>
          <cell r="E207" t="str">
            <v>屏東縣</v>
          </cell>
          <cell r="F207" t="str">
            <v>牡丹鄉</v>
          </cell>
          <cell r="N207" t="str">
            <v>莫拉克颱風</v>
          </cell>
          <cell r="T207">
            <v>2.5</v>
          </cell>
          <cell r="U207">
            <v>315.10000000000002</v>
          </cell>
        </row>
        <row r="208">
          <cell r="B208" t="str">
            <v>地滑</v>
          </cell>
          <cell r="E208" t="str">
            <v>嘉義縣</v>
          </cell>
          <cell r="F208" t="str">
            <v>梅山鄉</v>
          </cell>
          <cell r="N208" t="str">
            <v>莫拉克颱風</v>
          </cell>
          <cell r="T208">
            <v>51.5</v>
          </cell>
          <cell r="U208">
            <v>972.5</v>
          </cell>
        </row>
        <row r="209">
          <cell r="B209" t="str">
            <v>地滑</v>
          </cell>
          <cell r="E209" t="str">
            <v>嘉義縣</v>
          </cell>
          <cell r="F209" t="str">
            <v>梅山鄉</v>
          </cell>
          <cell r="N209" t="str">
            <v>莫拉克颱風</v>
          </cell>
          <cell r="T209">
            <v>14</v>
          </cell>
          <cell r="U209">
            <v>457.5</v>
          </cell>
        </row>
        <row r="210">
          <cell r="B210" t="str">
            <v>地滑</v>
          </cell>
          <cell r="E210" t="str">
            <v>嘉義縣</v>
          </cell>
          <cell r="F210" t="str">
            <v>梅山鄉</v>
          </cell>
          <cell r="N210" t="str">
            <v>莫拉克颱風</v>
          </cell>
          <cell r="T210">
            <v>2.5</v>
          </cell>
          <cell r="U210">
            <v>455.6</v>
          </cell>
        </row>
        <row r="211">
          <cell r="B211" t="str">
            <v>地滑</v>
          </cell>
          <cell r="E211" t="str">
            <v>臺東縣</v>
          </cell>
          <cell r="F211" t="str">
            <v>大武鄉</v>
          </cell>
          <cell r="N211" t="str">
            <v>莫拉克颱風</v>
          </cell>
          <cell r="T211">
            <v>52</v>
          </cell>
          <cell r="U211">
            <v>1300.7</v>
          </cell>
        </row>
        <row r="212">
          <cell r="B212" t="str">
            <v>地滑(弧形)、洪水</v>
          </cell>
          <cell r="E212" t="str">
            <v>屏東縣</v>
          </cell>
          <cell r="F212" t="str">
            <v>滿洲鄉</v>
          </cell>
          <cell r="N212" t="str">
            <v>莫拉克颱風</v>
          </cell>
          <cell r="T212">
            <v>15.5</v>
          </cell>
          <cell r="U212">
            <v>691</v>
          </cell>
        </row>
        <row r="213">
          <cell r="B213" t="str">
            <v>地滑、洪水</v>
          </cell>
          <cell r="E213" t="str">
            <v>屏東縣</v>
          </cell>
          <cell r="F213" t="str">
            <v>瑪家鄉</v>
          </cell>
          <cell r="N213" t="str">
            <v>莫拉克颱風</v>
          </cell>
          <cell r="T213">
            <v>39.5</v>
          </cell>
          <cell r="U213">
            <v>412.9</v>
          </cell>
        </row>
        <row r="214">
          <cell r="B214" t="str">
            <v>地滑、崩塌</v>
          </cell>
          <cell r="E214" t="str">
            <v>屏東縣</v>
          </cell>
          <cell r="F214" t="str">
            <v>霧臺鄉</v>
          </cell>
          <cell r="N214" t="str">
            <v>莫拉克颱風</v>
          </cell>
          <cell r="T214">
            <v>32.5</v>
          </cell>
          <cell r="U214">
            <v>556.1</v>
          </cell>
        </row>
        <row r="215">
          <cell r="B215" t="str">
            <v>地滑、崩塌</v>
          </cell>
          <cell r="E215" t="str">
            <v>屏東縣</v>
          </cell>
          <cell r="F215" t="str">
            <v>泰武鄉</v>
          </cell>
          <cell r="N215" t="str">
            <v>莫拉克颱風</v>
          </cell>
          <cell r="T215">
            <v>28</v>
          </cell>
          <cell r="U215">
            <v>728.1</v>
          </cell>
        </row>
        <row r="216">
          <cell r="B216" t="str">
            <v>地滑、崩塌</v>
          </cell>
          <cell r="E216" t="str">
            <v>嘉義縣</v>
          </cell>
          <cell r="F216" t="str">
            <v>梅山鄉</v>
          </cell>
          <cell r="N216" t="str">
            <v>莫拉克颱風</v>
          </cell>
          <cell r="T216">
            <v>33.5</v>
          </cell>
          <cell r="U216">
            <v>814.7</v>
          </cell>
        </row>
        <row r="217">
          <cell r="B217" t="str">
            <v>地滑、崩塌</v>
          </cell>
          <cell r="E217" t="str">
            <v>嘉義縣</v>
          </cell>
          <cell r="F217" t="str">
            <v>番路鄉</v>
          </cell>
          <cell r="N217" t="str">
            <v>莫拉克颱風</v>
          </cell>
          <cell r="T217">
            <v>15.5</v>
          </cell>
          <cell r="U217">
            <v>554.70000000000005</v>
          </cell>
        </row>
        <row r="218">
          <cell r="B218" t="str">
            <v>洪水</v>
          </cell>
          <cell r="E218" t="str">
            <v>臺中市</v>
          </cell>
          <cell r="F218" t="str">
            <v>和平區</v>
          </cell>
          <cell r="N218" t="str">
            <v>莫拉克颱風</v>
          </cell>
          <cell r="T218">
            <v>34</v>
          </cell>
          <cell r="U218">
            <v>706.3</v>
          </cell>
        </row>
        <row r="219">
          <cell r="B219" t="str">
            <v>洪水</v>
          </cell>
          <cell r="E219" t="str">
            <v>臺東縣</v>
          </cell>
          <cell r="F219" t="str">
            <v>金峰鄉</v>
          </cell>
          <cell r="N219" t="str">
            <v>莫拉克颱風</v>
          </cell>
          <cell r="T219">
            <v>18</v>
          </cell>
          <cell r="U219">
            <v>333.4</v>
          </cell>
        </row>
        <row r="220">
          <cell r="B220" t="str">
            <v>洪水</v>
          </cell>
          <cell r="E220" t="str">
            <v>南投縣</v>
          </cell>
          <cell r="F220" t="str">
            <v>仁愛鄉</v>
          </cell>
          <cell r="N220" t="str">
            <v>莫拉克颱風</v>
          </cell>
          <cell r="T220">
            <v>13.5</v>
          </cell>
          <cell r="U220">
            <v>296</v>
          </cell>
        </row>
        <row r="221">
          <cell r="B221" t="str">
            <v>洪水</v>
          </cell>
          <cell r="E221" t="str">
            <v>南投縣</v>
          </cell>
          <cell r="F221" t="str">
            <v>仁愛鄉</v>
          </cell>
          <cell r="N221" t="str">
            <v>莫拉克颱風</v>
          </cell>
          <cell r="T221">
            <v>18</v>
          </cell>
          <cell r="U221">
            <v>598.20000000000005</v>
          </cell>
        </row>
        <row r="222">
          <cell r="B222" t="str">
            <v>洪水</v>
          </cell>
          <cell r="E222" t="str">
            <v>南投縣</v>
          </cell>
          <cell r="F222" t="str">
            <v>水里鄉</v>
          </cell>
          <cell r="N222" t="str">
            <v>莫拉克颱風</v>
          </cell>
          <cell r="T222">
            <v>18</v>
          </cell>
          <cell r="U222">
            <v>595</v>
          </cell>
        </row>
        <row r="223">
          <cell r="B223" t="str">
            <v>洪水</v>
          </cell>
          <cell r="E223" t="str">
            <v>南投縣</v>
          </cell>
          <cell r="F223" t="str">
            <v>信義鄉</v>
          </cell>
          <cell r="N223" t="str">
            <v>莫拉克颱風</v>
          </cell>
          <cell r="T223">
            <v>33.5</v>
          </cell>
          <cell r="U223">
            <v>1566.9</v>
          </cell>
        </row>
        <row r="224">
          <cell r="B224" t="str">
            <v>洪水</v>
          </cell>
          <cell r="E224" t="str">
            <v>高雄市</v>
          </cell>
          <cell r="F224" t="str">
            <v>杉林區</v>
          </cell>
          <cell r="N224" t="str">
            <v>莫拉克颱風</v>
          </cell>
          <cell r="T224">
            <v>15.5</v>
          </cell>
          <cell r="U224">
            <v>751.5</v>
          </cell>
        </row>
        <row r="225">
          <cell r="B225" t="str">
            <v>洪水、土石流</v>
          </cell>
          <cell r="E225" t="str">
            <v>屏東縣</v>
          </cell>
          <cell r="F225" t="str">
            <v>來義鄉</v>
          </cell>
          <cell r="N225" t="str">
            <v>莫拉克颱風</v>
          </cell>
          <cell r="T225">
            <v>9.5</v>
          </cell>
          <cell r="U225">
            <v>1120</v>
          </cell>
        </row>
        <row r="226">
          <cell r="B226" t="str">
            <v>洪水</v>
          </cell>
          <cell r="E226" t="str">
            <v>高雄市</v>
          </cell>
          <cell r="F226" t="str">
            <v>甲仙區</v>
          </cell>
          <cell r="N226" t="str">
            <v>莫拉克颱風</v>
          </cell>
          <cell r="T226">
            <v>42.5</v>
          </cell>
          <cell r="U226">
            <v>1328.5</v>
          </cell>
        </row>
        <row r="227">
          <cell r="B227" t="str">
            <v>洪水、崩塌</v>
          </cell>
          <cell r="E227" t="str">
            <v>屏東縣</v>
          </cell>
          <cell r="F227" t="str">
            <v>霧臺鄉</v>
          </cell>
          <cell r="N227" t="str">
            <v>莫拉克颱風</v>
          </cell>
          <cell r="T227">
            <v>53</v>
          </cell>
          <cell r="U227">
            <v>402.9</v>
          </cell>
        </row>
        <row r="228">
          <cell r="B228" t="str">
            <v>洪水、崩塌</v>
          </cell>
          <cell r="E228" t="str">
            <v>屏東縣</v>
          </cell>
          <cell r="F228" t="str">
            <v>來義鄉</v>
          </cell>
          <cell r="N228" t="str">
            <v>莫拉克颱風</v>
          </cell>
          <cell r="T228">
            <v>34.5</v>
          </cell>
          <cell r="U228">
            <v>1015.1</v>
          </cell>
        </row>
        <row r="229">
          <cell r="B229" t="str">
            <v>洪水、崩塌</v>
          </cell>
          <cell r="E229" t="str">
            <v>高雄市</v>
          </cell>
          <cell r="F229" t="str">
            <v>六龜區</v>
          </cell>
          <cell r="N229" t="str">
            <v>莫拉克颱風</v>
          </cell>
          <cell r="T229">
            <v>95.5</v>
          </cell>
          <cell r="U229">
            <v>920.8</v>
          </cell>
        </row>
        <row r="230">
          <cell r="B230" t="str">
            <v>洪水、崩塌、土石流</v>
          </cell>
          <cell r="E230" t="str">
            <v>屏東縣</v>
          </cell>
          <cell r="F230" t="str">
            <v>來義鄉</v>
          </cell>
          <cell r="N230" t="str">
            <v>莫拉克颱風</v>
          </cell>
          <cell r="T230">
            <v>47.5</v>
          </cell>
          <cell r="U230">
            <v>797.8</v>
          </cell>
        </row>
        <row r="231">
          <cell r="B231" t="str">
            <v>崩塌</v>
          </cell>
          <cell r="E231" t="str">
            <v>臺東縣</v>
          </cell>
          <cell r="F231" t="str">
            <v>大武鄉</v>
          </cell>
          <cell r="N231" t="str">
            <v>莫拉克颱風</v>
          </cell>
          <cell r="T231">
            <v>100.5</v>
          </cell>
          <cell r="U231">
            <v>741</v>
          </cell>
        </row>
        <row r="232">
          <cell r="B232" t="str">
            <v>崩塌</v>
          </cell>
          <cell r="E232" t="str">
            <v>南投縣</v>
          </cell>
          <cell r="F232" t="str">
            <v>國姓鄉</v>
          </cell>
          <cell r="N232" t="str">
            <v>莫拉克颱風</v>
          </cell>
          <cell r="T232">
            <v>38</v>
          </cell>
          <cell r="U232">
            <v>531.9</v>
          </cell>
        </row>
        <row r="233">
          <cell r="B233" t="str">
            <v>崩塌</v>
          </cell>
          <cell r="E233" t="str">
            <v>南投縣</v>
          </cell>
          <cell r="F233" t="str">
            <v>水里鄉</v>
          </cell>
          <cell r="N233" t="str">
            <v>莫拉克颱風</v>
          </cell>
          <cell r="T233">
            <v>31.5</v>
          </cell>
          <cell r="U233">
            <v>433</v>
          </cell>
        </row>
        <row r="234">
          <cell r="B234" t="str">
            <v>崩塌</v>
          </cell>
          <cell r="E234" t="str">
            <v>南投縣</v>
          </cell>
          <cell r="F234" t="str">
            <v>鹿谷鄉</v>
          </cell>
          <cell r="N234" t="str">
            <v>莫拉克颱風</v>
          </cell>
          <cell r="T234">
            <v>57</v>
          </cell>
          <cell r="U234">
            <v>928</v>
          </cell>
        </row>
        <row r="235">
          <cell r="B235" t="str">
            <v>崩塌</v>
          </cell>
          <cell r="E235" t="str">
            <v>屏東縣</v>
          </cell>
          <cell r="F235" t="str">
            <v>來義鄉</v>
          </cell>
          <cell r="N235" t="str">
            <v>莫拉克颱風</v>
          </cell>
          <cell r="T235">
            <v>34.5</v>
          </cell>
          <cell r="U235">
            <v>1015.1</v>
          </cell>
        </row>
        <row r="236">
          <cell r="B236" t="str">
            <v>崩塌</v>
          </cell>
          <cell r="E236" t="str">
            <v>高雄市</v>
          </cell>
          <cell r="F236" t="str">
            <v>那瑪夏區</v>
          </cell>
          <cell r="N236" t="str">
            <v>莫拉克颱風</v>
          </cell>
          <cell r="T236">
            <v>30.5</v>
          </cell>
          <cell r="U236">
            <v>1403.3</v>
          </cell>
        </row>
        <row r="237">
          <cell r="B237" t="str">
            <v>崩塌</v>
          </cell>
          <cell r="E237" t="str">
            <v>高雄市</v>
          </cell>
          <cell r="F237" t="str">
            <v>甲仙區</v>
          </cell>
          <cell r="N237" t="str">
            <v>莫拉克颱風</v>
          </cell>
          <cell r="T237">
            <v>54.5</v>
          </cell>
          <cell r="U237">
            <v>1411.2</v>
          </cell>
        </row>
        <row r="238">
          <cell r="B238" t="str">
            <v>崩塌</v>
          </cell>
          <cell r="E238" t="str">
            <v>高雄市</v>
          </cell>
          <cell r="F238" t="str">
            <v>六龜區</v>
          </cell>
          <cell r="N238" t="str">
            <v>莫拉克颱風</v>
          </cell>
          <cell r="T238">
            <v>27</v>
          </cell>
          <cell r="U238">
            <v>1525</v>
          </cell>
        </row>
        <row r="239">
          <cell r="B239" t="str">
            <v>崩塌</v>
          </cell>
          <cell r="E239" t="str">
            <v>高雄市</v>
          </cell>
          <cell r="F239" t="str">
            <v>六龜區</v>
          </cell>
          <cell r="N239" t="str">
            <v>莫拉克颱風</v>
          </cell>
          <cell r="T239">
            <v>35.5</v>
          </cell>
          <cell r="U239">
            <v>1585.6</v>
          </cell>
        </row>
        <row r="240">
          <cell r="B240" t="str">
            <v>崩塌</v>
          </cell>
          <cell r="E240" t="str">
            <v>高雄市</v>
          </cell>
          <cell r="F240" t="str">
            <v>六龜區</v>
          </cell>
          <cell r="N240" t="str">
            <v>莫拉克颱風</v>
          </cell>
          <cell r="T240">
            <v>35.5</v>
          </cell>
          <cell r="U240">
            <v>1585.6</v>
          </cell>
        </row>
        <row r="241">
          <cell r="B241" t="str">
            <v>崩塌</v>
          </cell>
          <cell r="E241" t="str">
            <v>高雄市</v>
          </cell>
          <cell r="F241" t="str">
            <v>茂林區</v>
          </cell>
          <cell r="N241" t="str">
            <v>莫拉克颱風</v>
          </cell>
          <cell r="T241">
            <v>25</v>
          </cell>
          <cell r="U241">
            <v>993.9</v>
          </cell>
        </row>
        <row r="242">
          <cell r="B242" t="str">
            <v>崩塌</v>
          </cell>
          <cell r="E242" t="str">
            <v>雲林縣</v>
          </cell>
          <cell r="F242" t="str">
            <v>古坑鄉</v>
          </cell>
          <cell r="N242" t="str">
            <v>莫拉克颱風</v>
          </cell>
          <cell r="T242">
            <v>10.5</v>
          </cell>
          <cell r="U242">
            <v>899</v>
          </cell>
        </row>
        <row r="243">
          <cell r="B243" t="str">
            <v>崩塌</v>
          </cell>
          <cell r="E243" t="str">
            <v>雲林縣</v>
          </cell>
          <cell r="F243" t="str">
            <v>古坑鄉</v>
          </cell>
          <cell r="N243" t="str">
            <v>莫拉克颱風</v>
          </cell>
          <cell r="T243">
            <v>68.5</v>
          </cell>
          <cell r="U243">
            <v>1160.3</v>
          </cell>
        </row>
        <row r="244">
          <cell r="B244" t="str">
            <v>崩塌</v>
          </cell>
          <cell r="E244" t="str">
            <v>嘉義縣</v>
          </cell>
          <cell r="F244" t="str">
            <v>梅山鄉</v>
          </cell>
          <cell r="N244" t="str">
            <v>莫拉克颱風</v>
          </cell>
          <cell r="T244">
            <v>108</v>
          </cell>
          <cell r="U244">
            <v>1218.7</v>
          </cell>
        </row>
        <row r="245">
          <cell r="B245" t="str">
            <v>崩塌</v>
          </cell>
          <cell r="E245" t="str">
            <v>嘉義縣</v>
          </cell>
          <cell r="F245" t="str">
            <v>梅山鄉</v>
          </cell>
          <cell r="N245" t="str">
            <v>莫拉克颱風</v>
          </cell>
          <cell r="T245">
            <v>51.5</v>
          </cell>
          <cell r="U245">
            <v>972.5</v>
          </cell>
        </row>
        <row r="246">
          <cell r="B246" t="str">
            <v>崩塌</v>
          </cell>
          <cell r="E246" t="str">
            <v>嘉義縣</v>
          </cell>
          <cell r="F246" t="str">
            <v>梅山鄉</v>
          </cell>
          <cell r="N246" t="str">
            <v>莫拉克颱風</v>
          </cell>
          <cell r="T246">
            <v>87.5</v>
          </cell>
          <cell r="U246">
            <v>1119.5</v>
          </cell>
        </row>
        <row r="247">
          <cell r="B247" t="str">
            <v>崩塌</v>
          </cell>
          <cell r="E247" t="str">
            <v>嘉義縣</v>
          </cell>
          <cell r="F247" t="str">
            <v>番路鄉</v>
          </cell>
          <cell r="N247" t="str">
            <v>莫拉克颱風</v>
          </cell>
          <cell r="T247">
            <v>56</v>
          </cell>
          <cell r="U247">
            <v>1395.9</v>
          </cell>
        </row>
        <row r="248">
          <cell r="B248" t="str">
            <v>崩塌</v>
          </cell>
          <cell r="E248" t="str">
            <v>嘉義縣</v>
          </cell>
          <cell r="F248" t="str">
            <v>阿里山鄉</v>
          </cell>
          <cell r="N248" t="str">
            <v>莫拉克颱風</v>
          </cell>
          <cell r="T248">
            <v>30.5</v>
          </cell>
          <cell r="U248">
            <v>555.20000000000005</v>
          </cell>
        </row>
        <row r="249">
          <cell r="B249" t="str">
            <v>崩塌</v>
          </cell>
          <cell r="E249" t="str">
            <v>嘉義縣</v>
          </cell>
          <cell r="F249" t="str">
            <v>中埔鄉</v>
          </cell>
          <cell r="N249" t="str">
            <v>莫拉克颱風</v>
          </cell>
          <cell r="T249">
            <v>50</v>
          </cell>
          <cell r="U249">
            <v>1546.9</v>
          </cell>
        </row>
        <row r="250">
          <cell r="B250" t="str">
            <v>崩塌</v>
          </cell>
          <cell r="E250" t="str">
            <v>南投縣</v>
          </cell>
          <cell r="F250" t="str">
            <v>信義鄉</v>
          </cell>
          <cell r="N250" t="str">
            <v>莫拉克颱風</v>
          </cell>
          <cell r="T250">
            <v>46.5</v>
          </cell>
          <cell r="U250">
            <v>753.4</v>
          </cell>
        </row>
        <row r="251">
          <cell r="B251" t="str">
            <v>崩塌</v>
          </cell>
          <cell r="E251" t="str">
            <v>南投縣</v>
          </cell>
          <cell r="F251" t="str">
            <v>信義鄉</v>
          </cell>
          <cell r="N251" t="str">
            <v>莫拉克颱風</v>
          </cell>
          <cell r="T251">
            <v>21.5</v>
          </cell>
          <cell r="U251">
            <v>397.9</v>
          </cell>
        </row>
        <row r="252">
          <cell r="B252" t="str">
            <v>崩塌</v>
          </cell>
          <cell r="E252" t="str">
            <v>雲林縣</v>
          </cell>
          <cell r="F252" t="str">
            <v>古坑鄉</v>
          </cell>
          <cell r="N252" t="str">
            <v>莫拉克颱風</v>
          </cell>
          <cell r="T252">
            <v>56</v>
          </cell>
          <cell r="U252">
            <v>1367.2</v>
          </cell>
        </row>
        <row r="253">
          <cell r="B253" t="str">
            <v>崩塌</v>
          </cell>
          <cell r="E253" t="str">
            <v>雲林縣</v>
          </cell>
          <cell r="F253" t="str">
            <v>古坑鄉</v>
          </cell>
          <cell r="N253" t="str">
            <v>莫拉克颱風</v>
          </cell>
          <cell r="T253">
            <v>33</v>
          </cell>
          <cell r="U253">
            <v>1051.0999999999999</v>
          </cell>
        </row>
        <row r="254">
          <cell r="B254" t="str">
            <v>崩塌</v>
          </cell>
          <cell r="E254" t="str">
            <v>雲林縣</v>
          </cell>
          <cell r="F254" t="str">
            <v>古坑鄉</v>
          </cell>
          <cell r="N254" t="str">
            <v>莫拉克颱風</v>
          </cell>
          <cell r="T254">
            <v>30.5</v>
          </cell>
          <cell r="U254">
            <v>1443</v>
          </cell>
        </row>
        <row r="255">
          <cell r="B255" t="str">
            <v>崩塌</v>
          </cell>
          <cell r="E255" t="str">
            <v>雲林縣</v>
          </cell>
          <cell r="F255" t="str">
            <v>古坑鄉</v>
          </cell>
          <cell r="N255" t="str">
            <v>莫拉克颱風</v>
          </cell>
          <cell r="T255">
            <v>30.3</v>
          </cell>
          <cell r="U255">
            <v>1443</v>
          </cell>
        </row>
        <row r="256">
          <cell r="B256" t="str">
            <v>崩塌</v>
          </cell>
          <cell r="E256" t="str">
            <v>雲林縣</v>
          </cell>
          <cell r="F256" t="str">
            <v>古坑鄉</v>
          </cell>
          <cell r="N256" t="str">
            <v>莫拉克颱風</v>
          </cell>
          <cell r="T256">
            <v>45</v>
          </cell>
          <cell r="U256">
            <v>1422.6</v>
          </cell>
        </row>
        <row r="257">
          <cell r="B257" t="str">
            <v>崩塌</v>
          </cell>
          <cell r="E257" t="str">
            <v>雲林縣</v>
          </cell>
          <cell r="F257" t="str">
            <v>古坑鄉</v>
          </cell>
          <cell r="N257" t="str">
            <v>莫拉克颱風</v>
          </cell>
          <cell r="T257">
            <v>33</v>
          </cell>
          <cell r="U257">
            <v>1051.0999999999999</v>
          </cell>
        </row>
        <row r="258">
          <cell r="B258" t="str">
            <v>崩塌</v>
          </cell>
          <cell r="E258" t="str">
            <v>雲林縣</v>
          </cell>
          <cell r="F258" t="str">
            <v>古坑鄉</v>
          </cell>
          <cell r="N258" t="str">
            <v>莫拉克颱風</v>
          </cell>
          <cell r="T258">
            <v>30.5</v>
          </cell>
          <cell r="U258">
            <v>1443</v>
          </cell>
        </row>
        <row r="259">
          <cell r="B259" t="str">
            <v>崩塌</v>
          </cell>
          <cell r="E259" t="str">
            <v>嘉義縣</v>
          </cell>
          <cell r="F259" t="str">
            <v>梅山鄉</v>
          </cell>
          <cell r="N259" t="str">
            <v>莫拉克颱風</v>
          </cell>
          <cell r="T259">
            <v>2.5</v>
          </cell>
          <cell r="U259">
            <v>455.6</v>
          </cell>
        </row>
        <row r="260">
          <cell r="B260" t="str">
            <v>崩塌</v>
          </cell>
          <cell r="E260" t="str">
            <v>嘉義縣</v>
          </cell>
          <cell r="F260" t="str">
            <v>梅山鄉</v>
          </cell>
          <cell r="N260" t="str">
            <v>莫拉克颱風</v>
          </cell>
          <cell r="T260">
            <v>108</v>
          </cell>
          <cell r="U260">
            <v>1218.7</v>
          </cell>
        </row>
        <row r="261">
          <cell r="B261" t="str">
            <v>崩塌</v>
          </cell>
          <cell r="E261" t="str">
            <v>嘉義縣</v>
          </cell>
          <cell r="F261" t="str">
            <v>梅山鄉</v>
          </cell>
          <cell r="N261" t="str">
            <v>莫拉克颱風</v>
          </cell>
          <cell r="T261">
            <v>24</v>
          </cell>
          <cell r="U261">
            <v>1342.6</v>
          </cell>
        </row>
        <row r="262">
          <cell r="B262" t="str">
            <v>崩塌</v>
          </cell>
          <cell r="E262" t="str">
            <v>嘉義縣</v>
          </cell>
          <cell r="F262" t="str">
            <v>阿里山鄉</v>
          </cell>
          <cell r="N262" t="str">
            <v>莫拉克颱風</v>
          </cell>
          <cell r="T262">
            <v>33.5</v>
          </cell>
          <cell r="U262">
            <v>522.79999999999995</v>
          </cell>
        </row>
        <row r="263">
          <cell r="B263" t="str">
            <v>崩塌</v>
          </cell>
          <cell r="E263" t="str">
            <v>嘉義縣</v>
          </cell>
          <cell r="F263" t="str">
            <v>阿里山鄉</v>
          </cell>
          <cell r="N263" t="str">
            <v>莫拉克颱風</v>
          </cell>
          <cell r="T263">
            <v>36</v>
          </cell>
          <cell r="U263">
            <v>589.79999999999995</v>
          </cell>
        </row>
        <row r="264">
          <cell r="B264" t="str">
            <v>崩塌</v>
          </cell>
          <cell r="E264" t="str">
            <v>屏東縣</v>
          </cell>
          <cell r="F264" t="str">
            <v>三地門鄉</v>
          </cell>
          <cell r="N264" t="str">
            <v>莫拉克颱風</v>
          </cell>
          <cell r="T264">
            <v>60.5</v>
          </cell>
          <cell r="U264">
            <v>294.10000000000002</v>
          </cell>
        </row>
        <row r="265">
          <cell r="B265" t="str">
            <v>崩塌、土石流</v>
          </cell>
          <cell r="E265" t="str">
            <v>高雄市</v>
          </cell>
          <cell r="F265" t="str">
            <v>甲仙區</v>
          </cell>
          <cell r="N265" t="str">
            <v>莫拉克颱風</v>
          </cell>
          <cell r="T265">
            <v>42.5</v>
          </cell>
          <cell r="U265">
            <v>1257.0999999999999</v>
          </cell>
        </row>
        <row r="266">
          <cell r="B266" t="str">
            <v>崩塌、地滑</v>
          </cell>
          <cell r="E266" t="str">
            <v>屏東縣</v>
          </cell>
          <cell r="F266" t="str">
            <v>牡丹鄉</v>
          </cell>
          <cell r="N266" t="str">
            <v>莫拉克颱風</v>
          </cell>
          <cell r="T266">
            <v>3.5</v>
          </cell>
          <cell r="U266">
            <v>317.89999999999998</v>
          </cell>
        </row>
        <row r="267">
          <cell r="B267" t="str">
            <v>崩塌、地滑</v>
          </cell>
          <cell r="E267" t="str">
            <v>嘉義縣</v>
          </cell>
          <cell r="F267" t="str">
            <v>梅山鄉</v>
          </cell>
          <cell r="N267" t="str">
            <v>莫拉克颱風</v>
          </cell>
          <cell r="T267">
            <v>51.5</v>
          </cell>
          <cell r="U267">
            <v>972.5</v>
          </cell>
        </row>
        <row r="268">
          <cell r="B268" t="str">
            <v>崩塌、沖蝕</v>
          </cell>
          <cell r="E268" t="str">
            <v>嘉義縣</v>
          </cell>
          <cell r="F268" t="str">
            <v>阿里山鄉</v>
          </cell>
          <cell r="N268" t="str">
            <v>莫拉克颱風</v>
          </cell>
          <cell r="T268">
            <v>64</v>
          </cell>
          <cell r="U268">
            <v>1311.2</v>
          </cell>
        </row>
        <row r="269">
          <cell r="B269" t="str">
            <v>崩塌、洪水</v>
          </cell>
          <cell r="E269" t="str">
            <v>屏東縣</v>
          </cell>
          <cell r="F269" t="str">
            <v>三地門鄉</v>
          </cell>
          <cell r="N269" t="str">
            <v>莫拉克颱風</v>
          </cell>
          <cell r="T269">
            <v>60</v>
          </cell>
          <cell r="U269">
            <v>1169</v>
          </cell>
        </row>
        <row r="270">
          <cell r="B270" t="str">
            <v>崩塌、洪水</v>
          </cell>
          <cell r="E270" t="str">
            <v>高雄市</v>
          </cell>
          <cell r="F270" t="str">
            <v>甲仙區</v>
          </cell>
          <cell r="N270" t="str">
            <v>莫拉克颱風</v>
          </cell>
          <cell r="T270">
            <v>43</v>
          </cell>
          <cell r="U270">
            <v>1545.1</v>
          </cell>
        </row>
        <row r="271">
          <cell r="B271" t="str">
            <v>崩塌、洪水</v>
          </cell>
          <cell r="E271" t="str">
            <v>高雄市</v>
          </cell>
          <cell r="F271" t="str">
            <v>甲仙區</v>
          </cell>
          <cell r="N271" t="str">
            <v>莫拉克颱風</v>
          </cell>
          <cell r="T271">
            <v>22.5</v>
          </cell>
          <cell r="U271">
            <v>1506.9</v>
          </cell>
        </row>
        <row r="272">
          <cell r="B272" t="str">
            <v>崩塌、洪水</v>
          </cell>
          <cell r="E272" t="str">
            <v>高雄市</v>
          </cell>
          <cell r="F272" t="str">
            <v>甲仙區</v>
          </cell>
          <cell r="N272" t="str">
            <v>莫拉克颱風</v>
          </cell>
          <cell r="T272">
            <v>22.5</v>
          </cell>
          <cell r="U272">
            <v>1506.9</v>
          </cell>
        </row>
        <row r="273">
          <cell r="B273" t="str">
            <v>崩塌、洪水</v>
          </cell>
          <cell r="E273" t="str">
            <v>雲林縣</v>
          </cell>
          <cell r="F273" t="str">
            <v>古坑鄉</v>
          </cell>
          <cell r="N273" t="str">
            <v>莫拉克颱風</v>
          </cell>
          <cell r="T273">
            <v>30.5</v>
          </cell>
          <cell r="U273">
            <v>1443</v>
          </cell>
        </row>
        <row r="274">
          <cell r="B274" t="str">
            <v>崩塌</v>
          </cell>
          <cell r="E274" t="str">
            <v>臺南市</v>
          </cell>
          <cell r="F274" t="str">
            <v>東山區</v>
          </cell>
          <cell r="N274" t="str">
            <v>莫拉克颱風</v>
          </cell>
          <cell r="T274">
            <v>35</v>
          </cell>
          <cell r="U274">
            <v>1415</v>
          </cell>
        </row>
        <row r="275">
          <cell r="B275" t="str">
            <v>崩塌</v>
          </cell>
          <cell r="E275" t="str">
            <v>臺南市</v>
          </cell>
          <cell r="F275" t="str">
            <v>東山區</v>
          </cell>
          <cell r="N275" t="str">
            <v>莫拉克颱風</v>
          </cell>
          <cell r="T275">
            <v>41</v>
          </cell>
          <cell r="U275">
            <v>650.5</v>
          </cell>
        </row>
        <row r="276">
          <cell r="B276" t="str">
            <v>洪水</v>
          </cell>
          <cell r="E276" t="str">
            <v>臺南市</v>
          </cell>
          <cell r="F276" t="str">
            <v>東山區</v>
          </cell>
          <cell r="N276" t="str">
            <v>莫拉克颱風</v>
          </cell>
          <cell r="T276">
            <v>52.5</v>
          </cell>
          <cell r="U276">
            <v>701</v>
          </cell>
        </row>
        <row r="277">
          <cell r="B277" t="str">
            <v>洪水、崩塌</v>
          </cell>
          <cell r="E277" t="str">
            <v>高雄市</v>
          </cell>
          <cell r="F277" t="str">
            <v>甲仙區</v>
          </cell>
          <cell r="N277" t="str">
            <v>莫拉克颱風</v>
          </cell>
          <cell r="T277">
            <v>70</v>
          </cell>
          <cell r="U277">
            <v>1285.5</v>
          </cell>
        </row>
        <row r="278">
          <cell r="B278" t="str">
            <v>洪水</v>
          </cell>
          <cell r="E278" t="str">
            <v>高雄市</v>
          </cell>
          <cell r="F278" t="str">
            <v>甲仙區</v>
          </cell>
          <cell r="N278" t="str">
            <v>莫拉克颱風</v>
          </cell>
          <cell r="T278">
            <v>19.5</v>
          </cell>
          <cell r="U278">
            <v>497.2</v>
          </cell>
        </row>
        <row r="279">
          <cell r="B279" t="str">
            <v>洪水、崩塌</v>
          </cell>
          <cell r="E279" t="str">
            <v>高雄市</v>
          </cell>
          <cell r="F279" t="str">
            <v>甲仙區</v>
          </cell>
          <cell r="N279" t="str">
            <v>莫拉克颱風</v>
          </cell>
          <cell r="T279">
            <v>42.5</v>
          </cell>
          <cell r="U279">
            <v>625.9</v>
          </cell>
        </row>
        <row r="280">
          <cell r="B280" t="str">
            <v>崩塌</v>
          </cell>
          <cell r="E280" t="str">
            <v>高雄市</v>
          </cell>
          <cell r="F280" t="str">
            <v>甲仙區</v>
          </cell>
          <cell r="N280" t="str">
            <v>莫拉克颱風</v>
          </cell>
          <cell r="T280">
            <v>42.5</v>
          </cell>
          <cell r="U280">
            <v>1257.0999999999999</v>
          </cell>
        </row>
        <row r="281">
          <cell r="B281" t="str">
            <v>崩塌</v>
          </cell>
          <cell r="E281" t="str">
            <v>高雄市</v>
          </cell>
          <cell r="F281" t="str">
            <v>六龜區</v>
          </cell>
          <cell r="N281" t="str">
            <v>莫拉克颱風</v>
          </cell>
          <cell r="T281">
            <v>71</v>
          </cell>
          <cell r="U281">
            <v>1046</v>
          </cell>
        </row>
        <row r="282">
          <cell r="B282" t="str">
            <v>崩塌</v>
          </cell>
          <cell r="E282" t="str">
            <v>高雄市</v>
          </cell>
          <cell r="F282" t="str">
            <v>六龜區</v>
          </cell>
          <cell r="N282" t="str">
            <v>莫拉克颱風</v>
          </cell>
          <cell r="T282">
            <v>71</v>
          </cell>
          <cell r="U282">
            <v>1046.0999999999999</v>
          </cell>
        </row>
        <row r="283">
          <cell r="B283" t="str">
            <v>地滑</v>
          </cell>
          <cell r="E283" t="str">
            <v>高雄市</v>
          </cell>
          <cell r="F283" t="str">
            <v>桃源區</v>
          </cell>
          <cell r="N283" t="str">
            <v>莫拉克颱風</v>
          </cell>
          <cell r="T283">
            <v>88.5</v>
          </cell>
          <cell r="U283">
            <v>1048.7</v>
          </cell>
        </row>
        <row r="284">
          <cell r="B284" t="str">
            <v>地滑</v>
          </cell>
          <cell r="E284" t="str">
            <v>高雄市</v>
          </cell>
          <cell r="F284" t="str">
            <v>桃源區</v>
          </cell>
          <cell r="N284" t="str">
            <v>莫拉克颱風</v>
          </cell>
          <cell r="T284">
            <v>86.5</v>
          </cell>
          <cell r="U284">
            <v>732.6</v>
          </cell>
        </row>
        <row r="285">
          <cell r="B285" t="str">
            <v>崩塌</v>
          </cell>
          <cell r="E285" t="str">
            <v>高雄市</v>
          </cell>
          <cell r="F285" t="str">
            <v>桃源區</v>
          </cell>
          <cell r="N285" t="str">
            <v>莫拉克颱風</v>
          </cell>
          <cell r="T285">
            <v>74</v>
          </cell>
          <cell r="U285">
            <v>647.4</v>
          </cell>
        </row>
        <row r="286">
          <cell r="B286" t="str">
            <v>地滑</v>
          </cell>
          <cell r="E286" t="str">
            <v>高雄市</v>
          </cell>
          <cell r="F286" t="str">
            <v>桃源區</v>
          </cell>
          <cell r="N286" t="str">
            <v>莫拉克颱風</v>
          </cell>
          <cell r="T286">
            <v>88.5</v>
          </cell>
          <cell r="U286">
            <v>1048.7</v>
          </cell>
        </row>
        <row r="287">
          <cell r="B287" t="str">
            <v>地滑</v>
          </cell>
          <cell r="E287" t="str">
            <v>高雄市</v>
          </cell>
          <cell r="F287" t="str">
            <v>桃源區</v>
          </cell>
          <cell r="N287" t="str">
            <v>莫拉克颱風</v>
          </cell>
          <cell r="T287">
            <v>88.5</v>
          </cell>
          <cell r="U287">
            <v>1048.7</v>
          </cell>
        </row>
        <row r="288">
          <cell r="B288" t="str">
            <v>土石流</v>
          </cell>
          <cell r="E288" t="str">
            <v>高雄市</v>
          </cell>
          <cell r="F288" t="str">
            <v>六龜區</v>
          </cell>
          <cell r="N288" t="str">
            <v>莫拉克颱風</v>
          </cell>
          <cell r="T288">
            <v>15.5</v>
          </cell>
          <cell r="U288">
            <v>290.10000000000002</v>
          </cell>
        </row>
        <row r="289">
          <cell r="B289" t="str">
            <v>崩塌</v>
          </cell>
          <cell r="E289" t="str">
            <v>屏東縣</v>
          </cell>
          <cell r="F289" t="str">
            <v>瑪家鄉</v>
          </cell>
          <cell r="N289" t="str">
            <v>98年 其他</v>
          </cell>
          <cell r="T289">
            <v>5</v>
          </cell>
          <cell r="U289">
            <v>35.700000000000003</v>
          </cell>
        </row>
        <row r="290">
          <cell r="B290" t="str">
            <v>崩塌、沖蝕</v>
          </cell>
          <cell r="E290" t="str">
            <v>新北市</v>
          </cell>
          <cell r="F290" t="str">
            <v>金山區</v>
          </cell>
          <cell r="N290" t="str">
            <v>0924豪雨</v>
          </cell>
          <cell r="T290">
            <v>4.5</v>
          </cell>
          <cell r="U290">
            <v>79</v>
          </cell>
        </row>
        <row r="291">
          <cell r="B291" t="str">
            <v>洪水</v>
          </cell>
          <cell r="E291" t="str">
            <v>花蓮縣</v>
          </cell>
          <cell r="F291" t="str">
            <v>豐濱鄉</v>
          </cell>
          <cell r="N291" t="str">
            <v>1016豪雨</v>
          </cell>
          <cell r="T291">
            <v>9.5</v>
          </cell>
          <cell r="U291">
            <v>59</v>
          </cell>
        </row>
        <row r="292">
          <cell r="B292" t="str">
            <v>洪水</v>
          </cell>
          <cell r="E292" t="str">
            <v>花蓮縣</v>
          </cell>
          <cell r="F292" t="str">
            <v>光復鄉</v>
          </cell>
          <cell r="N292" t="str">
            <v>1016豪雨</v>
          </cell>
          <cell r="T292">
            <v>39</v>
          </cell>
          <cell r="U292">
            <v>65</v>
          </cell>
        </row>
        <row r="293">
          <cell r="B293" t="str">
            <v>洪水</v>
          </cell>
          <cell r="E293" t="str">
            <v>花蓮縣</v>
          </cell>
          <cell r="F293" t="str">
            <v>光復鄉</v>
          </cell>
          <cell r="N293" t="str">
            <v>1016豪雨</v>
          </cell>
          <cell r="T293">
            <v>78.5</v>
          </cell>
          <cell r="U293">
            <v>197.5</v>
          </cell>
        </row>
        <row r="294">
          <cell r="B294" t="str">
            <v>洪水、土石流</v>
          </cell>
          <cell r="E294" t="str">
            <v>花蓮縣</v>
          </cell>
          <cell r="F294" t="str">
            <v>豐濱鄉</v>
          </cell>
          <cell r="N294" t="str">
            <v>1016豪雨</v>
          </cell>
          <cell r="T294">
            <v>34</v>
          </cell>
          <cell r="U294">
            <v>98.5</v>
          </cell>
        </row>
        <row r="295">
          <cell r="B295" t="str">
            <v>土石流</v>
          </cell>
          <cell r="E295" t="str">
            <v>高雄市</v>
          </cell>
          <cell r="F295" t="str">
            <v>六龜區</v>
          </cell>
          <cell r="N295" t="str">
            <v>凡那比颱風</v>
          </cell>
          <cell r="T295">
            <v>45</v>
          </cell>
          <cell r="U295">
            <v>322</v>
          </cell>
        </row>
        <row r="296">
          <cell r="B296" t="str">
            <v>土石流</v>
          </cell>
          <cell r="E296" t="str">
            <v>高雄市</v>
          </cell>
          <cell r="F296" t="str">
            <v>六龜區</v>
          </cell>
          <cell r="N296" t="str">
            <v>凡那比颱風</v>
          </cell>
          <cell r="T296">
            <v>22</v>
          </cell>
          <cell r="U296">
            <v>482.5</v>
          </cell>
        </row>
        <row r="297">
          <cell r="B297" t="str">
            <v>土石流、洪水</v>
          </cell>
          <cell r="E297" t="str">
            <v>高雄市</v>
          </cell>
          <cell r="F297" t="str">
            <v>六龜區</v>
          </cell>
          <cell r="N297" t="str">
            <v>凡那比颱風</v>
          </cell>
          <cell r="T297">
            <v>26.5</v>
          </cell>
          <cell r="U297">
            <v>443</v>
          </cell>
        </row>
        <row r="298">
          <cell r="B298" t="str">
            <v>土石流、洪水</v>
          </cell>
          <cell r="E298" t="str">
            <v>高雄市</v>
          </cell>
          <cell r="F298" t="str">
            <v>六龜區</v>
          </cell>
          <cell r="N298" t="str">
            <v>凡那比颱風</v>
          </cell>
          <cell r="T298">
            <v>63</v>
          </cell>
          <cell r="U298">
            <v>460.5</v>
          </cell>
        </row>
        <row r="299">
          <cell r="B299" t="str">
            <v>洪水</v>
          </cell>
          <cell r="E299" t="str">
            <v>屏東縣</v>
          </cell>
          <cell r="F299" t="str">
            <v>來義鄉</v>
          </cell>
          <cell r="N299" t="str">
            <v>凡那比颱風</v>
          </cell>
          <cell r="T299">
            <v>52.5</v>
          </cell>
          <cell r="U299">
            <v>415</v>
          </cell>
        </row>
        <row r="300">
          <cell r="B300" t="str">
            <v>洪水、土石流</v>
          </cell>
          <cell r="E300" t="str">
            <v>屏東縣</v>
          </cell>
          <cell r="F300" t="str">
            <v>來義鄉</v>
          </cell>
          <cell r="N300" t="str">
            <v>凡那比颱風</v>
          </cell>
          <cell r="T300">
            <v>46.5</v>
          </cell>
          <cell r="U300">
            <v>507</v>
          </cell>
        </row>
        <row r="301">
          <cell r="B301" t="str">
            <v>洪水</v>
          </cell>
          <cell r="E301" t="str">
            <v>高雄市</v>
          </cell>
          <cell r="F301" t="str">
            <v>六龜區</v>
          </cell>
          <cell r="N301" t="str">
            <v>凡那比颱風</v>
          </cell>
          <cell r="T301">
            <v>26.5</v>
          </cell>
          <cell r="U301">
            <v>443</v>
          </cell>
        </row>
        <row r="302">
          <cell r="B302" t="str">
            <v>崩塌、洪水、土石流</v>
          </cell>
          <cell r="E302" t="str">
            <v>屏東縣</v>
          </cell>
          <cell r="F302" t="str">
            <v>來義鄉</v>
          </cell>
          <cell r="N302" t="str">
            <v>凡那比颱風</v>
          </cell>
          <cell r="T302">
            <v>46.5</v>
          </cell>
          <cell r="U302">
            <v>507</v>
          </cell>
        </row>
        <row r="303">
          <cell r="B303" t="str">
            <v>地滑</v>
          </cell>
          <cell r="E303" t="str">
            <v>基隆市</v>
          </cell>
          <cell r="F303" t="str">
            <v>七堵區</v>
          </cell>
          <cell r="N303" t="str">
            <v>其他</v>
          </cell>
          <cell r="T303">
            <v>0</v>
          </cell>
          <cell r="U303">
            <v>17.5</v>
          </cell>
        </row>
        <row r="304">
          <cell r="B304" t="str">
            <v>土石流、崩塌</v>
          </cell>
          <cell r="E304" t="str">
            <v>宜蘭縣</v>
          </cell>
          <cell r="F304" t="str">
            <v>蘇澳鎮</v>
          </cell>
          <cell r="N304" t="str">
            <v>梅姬颱風</v>
          </cell>
          <cell r="T304">
            <v>86</v>
          </cell>
          <cell r="U304">
            <v>623.5</v>
          </cell>
        </row>
        <row r="305">
          <cell r="B305" t="str">
            <v>洪水</v>
          </cell>
          <cell r="E305" t="str">
            <v>宜蘭縣</v>
          </cell>
          <cell r="F305" t="str">
            <v>三星鄉</v>
          </cell>
          <cell r="N305" t="str">
            <v>梅姬颱風</v>
          </cell>
          <cell r="T305">
            <v>22</v>
          </cell>
          <cell r="U305">
            <v>347</v>
          </cell>
        </row>
        <row r="306">
          <cell r="B306" t="str">
            <v>洪水</v>
          </cell>
          <cell r="E306" t="str">
            <v>宜蘭縣</v>
          </cell>
          <cell r="F306" t="str">
            <v>大同鄉</v>
          </cell>
          <cell r="N306" t="str">
            <v>梅姬颱風</v>
          </cell>
          <cell r="T306">
            <v>34</v>
          </cell>
          <cell r="U306">
            <v>581</v>
          </cell>
        </row>
        <row r="307">
          <cell r="B307" t="str">
            <v>洪水</v>
          </cell>
          <cell r="E307" t="str">
            <v>宜蘭縣</v>
          </cell>
          <cell r="F307" t="str">
            <v>冬山鄉</v>
          </cell>
          <cell r="N307" t="str">
            <v>梅姬颱風</v>
          </cell>
          <cell r="T307">
            <v>45.5</v>
          </cell>
          <cell r="U307">
            <v>438</v>
          </cell>
        </row>
        <row r="308">
          <cell r="B308" t="str">
            <v>洪水</v>
          </cell>
          <cell r="E308" t="str">
            <v>宜蘭縣</v>
          </cell>
          <cell r="F308" t="str">
            <v>冬山鄉</v>
          </cell>
          <cell r="N308" t="str">
            <v>梅姬颱風</v>
          </cell>
          <cell r="T308">
            <v>75.5</v>
          </cell>
          <cell r="U308">
            <v>513.5</v>
          </cell>
        </row>
        <row r="309">
          <cell r="B309" t="str">
            <v>洪水</v>
          </cell>
          <cell r="E309" t="str">
            <v>宜蘭縣</v>
          </cell>
          <cell r="F309" t="str">
            <v>蘇澳鎮</v>
          </cell>
          <cell r="N309" t="str">
            <v>梅姬颱風</v>
          </cell>
          <cell r="T309">
            <v>45.5</v>
          </cell>
          <cell r="U309">
            <v>438</v>
          </cell>
        </row>
        <row r="310">
          <cell r="B310" t="str">
            <v>洪水</v>
          </cell>
          <cell r="E310" t="str">
            <v>宜蘭縣</v>
          </cell>
          <cell r="F310" t="str">
            <v>蘇澳鎮</v>
          </cell>
          <cell r="N310" t="str">
            <v>梅姬颱風</v>
          </cell>
          <cell r="T310">
            <v>45.5</v>
          </cell>
          <cell r="U310">
            <v>438</v>
          </cell>
        </row>
        <row r="311">
          <cell r="B311" t="str">
            <v>洪水</v>
          </cell>
          <cell r="E311" t="str">
            <v>宜蘭縣</v>
          </cell>
          <cell r="F311" t="str">
            <v>蘇澳鎮</v>
          </cell>
          <cell r="N311" t="str">
            <v>梅姬颱風</v>
          </cell>
          <cell r="T311">
            <v>13</v>
          </cell>
          <cell r="U311">
            <v>338</v>
          </cell>
        </row>
        <row r="312">
          <cell r="B312" t="str">
            <v>洪水</v>
          </cell>
          <cell r="E312" t="str">
            <v>宜蘭縣</v>
          </cell>
          <cell r="F312" t="str">
            <v>蘇澳鎮</v>
          </cell>
          <cell r="N312" t="str">
            <v>梅姬颱風</v>
          </cell>
          <cell r="T312">
            <v>54.5</v>
          </cell>
          <cell r="U312">
            <v>392.5</v>
          </cell>
        </row>
        <row r="313">
          <cell r="B313" t="str">
            <v>洪水</v>
          </cell>
          <cell r="E313" t="str">
            <v>宜蘭縣</v>
          </cell>
          <cell r="F313" t="str">
            <v>蘇澳鎮</v>
          </cell>
          <cell r="N313" t="str">
            <v>梅姬颱風</v>
          </cell>
          <cell r="T313">
            <v>45.5</v>
          </cell>
          <cell r="U313">
            <v>438</v>
          </cell>
        </row>
        <row r="314">
          <cell r="B314" t="str">
            <v>洪水、沖蝕</v>
          </cell>
          <cell r="E314" t="str">
            <v>宜蘭縣</v>
          </cell>
          <cell r="F314" t="str">
            <v>蘇澳鎮</v>
          </cell>
          <cell r="N314" t="str">
            <v>梅姬颱風</v>
          </cell>
          <cell r="T314">
            <v>45.5</v>
          </cell>
          <cell r="U314">
            <v>438</v>
          </cell>
        </row>
        <row r="315">
          <cell r="B315" t="str">
            <v>崩塌</v>
          </cell>
          <cell r="E315" t="str">
            <v>宜蘭縣</v>
          </cell>
          <cell r="F315" t="str">
            <v>冬山鄉</v>
          </cell>
          <cell r="N315" t="str">
            <v>梅姬颱風</v>
          </cell>
          <cell r="T315">
            <v>34</v>
          </cell>
          <cell r="U315">
            <v>704</v>
          </cell>
        </row>
        <row r="316">
          <cell r="B316" t="str">
            <v>崩塌</v>
          </cell>
          <cell r="E316" t="str">
            <v>宜蘭縣</v>
          </cell>
          <cell r="F316" t="str">
            <v>冬山鄉</v>
          </cell>
          <cell r="N316" t="str">
            <v>梅姬颱風</v>
          </cell>
          <cell r="T316">
            <v>45.5</v>
          </cell>
          <cell r="U316">
            <v>438</v>
          </cell>
        </row>
        <row r="317">
          <cell r="B317" t="str">
            <v>崩塌</v>
          </cell>
          <cell r="E317" t="str">
            <v>宜蘭縣</v>
          </cell>
          <cell r="F317" t="str">
            <v>蘇澳鎮</v>
          </cell>
          <cell r="N317" t="str">
            <v>梅姬颱風</v>
          </cell>
          <cell r="T317">
            <v>45.5</v>
          </cell>
          <cell r="U317">
            <v>438</v>
          </cell>
        </row>
        <row r="318">
          <cell r="B318" t="str">
            <v>崩塌</v>
          </cell>
          <cell r="E318" t="str">
            <v>宜蘭縣</v>
          </cell>
          <cell r="F318" t="str">
            <v>蘇澳鎮</v>
          </cell>
          <cell r="N318" t="str">
            <v>梅姬颱風</v>
          </cell>
          <cell r="T318">
            <v>45.5</v>
          </cell>
          <cell r="U318">
            <v>438</v>
          </cell>
        </row>
        <row r="319">
          <cell r="B319" t="str">
            <v>崩塌</v>
          </cell>
          <cell r="E319" t="str">
            <v>宜蘭縣</v>
          </cell>
          <cell r="F319" t="str">
            <v>蘇澳鎮</v>
          </cell>
          <cell r="N319" t="str">
            <v>梅姬颱風</v>
          </cell>
          <cell r="T319">
            <v>45.5</v>
          </cell>
          <cell r="U319">
            <v>438</v>
          </cell>
        </row>
        <row r="320">
          <cell r="B320" t="str">
            <v>崩塌</v>
          </cell>
          <cell r="E320" t="str">
            <v>宜蘭縣</v>
          </cell>
          <cell r="F320" t="str">
            <v>蘇澳鎮</v>
          </cell>
          <cell r="N320" t="str">
            <v>梅姬颱風</v>
          </cell>
          <cell r="T320">
            <v>80</v>
          </cell>
          <cell r="U320">
            <v>593.5</v>
          </cell>
        </row>
        <row r="321">
          <cell r="B321" t="str">
            <v>崩塌</v>
          </cell>
          <cell r="E321" t="str">
            <v>宜蘭縣</v>
          </cell>
          <cell r="F321" t="str">
            <v>蘇澳鎮</v>
          </cell>
          <cell r="N321" t="str">
            <v>梅姬颱風</v>
          </cell>
          <cell r="T321">
            <v>80</v>
          </cell>
          <cell r="U321">
            <v>593.5</v>
          </cell>
        </row>
        <row r="322">
          <cell r="B322" t="str">
            <v>崩塌</v>
          </cell>
          <cell r="E322" t="str">
            <v>宜蘭縣</v>
          </cell>
          <cell r="F322" t="str">
            <v>蘇澳鎮</v>
          </cell>
          <cell r="N322" t="str">
            <v>梅姬颱風</v>
          </cell>
          <cell r="T322">
            <v>45.5</v>
          </cell>
          <cell r="U322">
            <v>438</v>
          </cell>
        </row>
        <row r="323">
          <cell r="B323" t="str">
            <v>崩塌</v>
          </cell>
          <cell r="E323" t="str">
            <v>宜蘭縣</v>
          </cell>
          <cell r="F323" t="str">
            <v>蘇澳鎮</v>
          </cell>
          <cell r="N323" t="str">
            <v>梅姬颱風</v>
          </cell>
          <cell r="T323">
            <v>87</v>
          </cell>
          <cell r="U323">
            <v>636</v>
          </cell>
        </row>
        <row r="324">
          <cell r="B324" t="str">
            <v>崩塌</v>
          </cell>
          <cell r="E324" t="str">
            <v>宜蘭縣</v>
          </cell>
          <cell r="F324" t="str">
            <v>蘇澳鎮</v>
          </cell>
          <cell r="N324" t="str">
            <v>梅姬颱風</v>
          </cell>
          <cell r="T324">
            <v>87</v>
          </cell>
          <cell r="U324">
            <v>636</v>
          </cell>
        </row>
        <row r="325">
          <cell r="B325" t="str">
            <v>崩塌</v>
          </cell>
          <cell r="E325" t="str">
            <v>宜蘭縣</v>
          </cell>
          <cell r="F325" t="str">
            <v>蘇澳鎮</v>
          </cell>
          <cell r="N325" t="str">
            <v>梅姬颱風</v>
          </cell>
          <cell r="T325">
            <v>45.5</v>
          </cell>
          <cell r="U325">
            <v>438</v>
          </cell>
        </row>
        <row r="326">
          <cell r="B326" t="str">
            <v>崩塌、土石流</v>
          </cell>
          <cell r="E326" t="str">
            <v>宜蘭縣</v>
          </cell>
          <cell r="F326" t="str">
            <v>蘇澳鎮</v>
          </cell>
          <cell r="N326" t="str">
            <v>梅姬颱風</v>
          </cell>
          <cell r="T326">
            <v>45.5</v>
          </cell>
          <cell r="U326">
            <v>438</v>
          </cell>
        </row>
        <row r="327">
          <cell r="B327" t="str">
            <v>崩塌、土石流</v>
          </cell>
          <cell r="E327" t="str">
            <v>宜蘭縣</v>
          </cell>
          <cell r="F327" t="str">
            <v>蘇澳鎮</v>
          </cell>
          <cell r="N327" t="str">
            <v>梅姬颱風</v>
          </cell>
          <cell r="T327">
            <v>87</v>
          </cell>
          <cell r="U327">
            <v>636</v>
          </cell>
        </row>
        <row r="328">
          <cell r="B328" t="str">
            <v>崩塌、洪水</v>
          </cell>
          <cell r="E328" t="str">
            <v>宜蘭縣</v>
          </cell>
          <cell r="F328" t="str">
            <v>蘇澳鎮</v>
          </cell>
          <cell r="N328" t="str">
            <v>梅姬颱風</v>
          </cell>
          <cell r="T328">
            <v>13</v>
          </cell>
          <cell r="U328">
            <v>338</v>
          </cell>
        </row>
        <row r="329">
          <cell r="B329" t="str">
            <v>崩塌、洪水</v>
          </cell>
          <cell r="E329" t="str">
            <v>宜蘭縣</v>
          </cell>
          <cell r="F329" t="str">
            <v>蘇澳鎮</v>
          </cell>
          <cell r="N329" t="str">
            <v>梅姬颱風</v>
          </cell>
          <cell r="T329">
            <v>80</v>
          </cell>
          <cell r="U329">
            <v>593.5</v>
          </cell>
        </row>
        <row r="330">
          <cell r="B330" t="str">
            <v>崩塌、洪水</v>
          </cell>
          <cell r="E330" t="str">
            <v>宜蘭縣</v>
          </cell>
          <cell r="F330" t="str">
            <v>蘇澳鎮</v>
          </cell>
          <cell r="N330" t="str">
            <v>梅姬颱風</v>
          </cell>
          <cell r="T330">
            <v>54.5</v>
          </cell>
          <cell r="U330">
            <v>392.5</v>
          </cell>
        </row>
        <row r="331">
          <cell r="B331" t="str">
            <v>崩塌、洪水</v>
          </cell>
          <cell r="E331" t="str">
            <v>宜蘭縣</v>
          </cell>
          <cell r="F331" t="str">
            <v>蘇澳鎮</v>
          </cell>
          <cell r="N331" t="str">
            <v>梅姬颱風</v>
          </cell>
          <cell r="T331">
            <v>80</v>
          </cell>
          <cell r="U331">
            <v>593.5</v>
          </cell>
        </row>
        <row r="332">
          <cell r="B332" t="str">
            <v>崩塌、洪水</v>
          </cell>
          <cell r="E332" t="str">
            <v>宜蘭縣</v>
          </cell>
          <cell r="F332" t="str">
            <v>蘇澳鎮</v>
          </cell>
          <cell r="N332" t="str">
            <v>梅姬颱風</v>
          </cell>
          <cell r="T332">
            <v>13</v>
          </cell>
          <cell r="U332">
            <v>338</v>
          </cell>
        </row>
        <row r="333">
          <cell r="B333" t="str">
            <v>崩塌、洪水</v>
          </cell>
          <cell r="E333" t="str">
            <v>宜蘭縣</v>
          </cell>
          <cell r="F333" t="str">
            <v>蘇澳鎮</v>
          </cell>
          <cell r="N333" t="str">
            <v>梅姬颱風</v>
          </cell>
          <cell r="T333">
            <v>45.5</v>
          </cell>
          <cell r="U333">
            <v>438</v>
          </cell>
        </row>
        <row r="334">
          <cell r="B334" t="str">
            <v>崩塌、洪水</v>
          </cell>
          <cell r="E334" t="str">
            <v>宜蘭縣</v>
          </cell>
          <cell r="F334" t="str">
            <v>蘇澳鎮</v>
          </cell>
          <cell r="N334" t="str">
            <v>梅姬颱風</v>
          </cell>
          <cell r="T334">
            <v>45.5</v>
          </cell>
          <cell r="U334">
            <v>438</v>
          </cell>
        </row>
        <row r="335">
          <cell r="B335" t="str">
            <v>崩塌、洪水</v>
          </cell>
          <cell r="E335" t="str">
            <v>宜蘭縣</v>
          </cell>
          <cell r="F335" t="str">
            <v>蘇澳鎮</v>
          </cell>
          <cell r="N335" t="str">
            <v>梅姬颱風</v>
          </cell>
          <cell r="T335">
            <v>45.5</v>
          </cell>
          <cell r="U335">
            <v>438</v>
          </cell>
        </row>
        <row r="336">
          <cell r="B336" t="str">
            <v>崩塌、洪水、土石流</v>
          </cell>
          <cell r="E336" t="str">
            <v>宜蘭縣</v>
          </cell>
          <cell r="F336" t="str">
            <v>蘇澳鎮</v>
          </cell>
          <cell r="N336" t="str">
            <v>梅姬颱風</v>
          </cell>
          <cell r="T336">
            <v>54.5</v>
          </cell>
          <cell r="U336">
            <v>392.5</v>
          </cell>
        </row>
        <row r="337">
          <cell r="B337" t="str">
            <v>崩塌、沖蝕</v>
          </cell>
          <cell r="E337" t="str">
            <v>臺東縣</v>
          </cell>
          <cell r="F337" t="str">
            <v>大武鄉</v>
          </cell>
          <cell r="N337" t="str">
            <v>萊羅克颱風</v>
          </cell>
          <cell r="T337">
            <v>7</v>
          </cell>
          <cell r="U337">
            <v>175</v>
          </cell>
        </row>
        <row r="338">
          <cell r="B338" t="str">
            <v>洪水</v>
          </cell>
          <cell r="E338" t="str">
            <v>宜蘭縣</v>
          </cell>
          <cell r="F338" t="str">
            <v>大同鄉</v>
          </cell>
          <cell r="N338" t="str">
            <v>梅姬颱風</v>
          </cell>
          <cell r="T338">
            <v>9</v>
          </cell>
          <cell r="U338">
            <v>318</v>
          </cell>
        </row>
        <row r="339">
          <cell r="B339" t="str">
            <v>土石流</v>
          </cell>
          <cell r="E339" t="str">
            <v>南投縣</v>
          </cell>
          <cell r="F339" t="str">
            <v>信義鄉</v>
          </cell>
          <cell r="N339" t="str">
            <v>0719豪雨</v>
          </cell>
          <cell r="T339">
            <v>14</v>
          </cell>
          <cell r="U339">
            <v>97.6</v>
          </cell>
        </row>
        <row r="340">
          <cell r="B340" t="str">
            <v>崩塌、土石流</v>
          </cell>
          <cell r="E340" t="str">
            <v>嘉義縣</v>
          </cell>
          <cell r="F340" t="str">
            <v>梅山鄉</v>
          </cell>
          <cell r="N340" t="str">
            <v>0719豪雨</v>
          </cell>
          <cell r="T340">
            <v>42</v>
          </cell>
          <cell r="U340">
            <v>156.19999999999999</v>
          </cell>
        </row>
        <row r="341">
          <cell r="B341" t="str">
            <v>土石流</v>
          </cell>
          <cell r="E341" t="str">
            <v>宜蘭縣</v>
          </cell>
          <cell r="F341" t="str">
            <v>大同鄉</v>
          </cell>
          <cell r="N341" t="str">
            <v>1001豪雨</v>
          </cell>
          <cell r="T341">
            <v>14.5</v>
          </cell>
          <cell r="U341">
            <v>422.8</v>
          </cell>
        </row>
        <row r="342">
          <cell r="B342" t="str">
            <v>土石流</v>
          </cell>
          <cell r="E342" t="str">
            <v>宜蘭縣</v>
          </cell>
          <cell r="F342" t="str">
            <v>三星鄉</v>
          </cell>
          <cell r="N342" t="str">
            <v>1001豪雨</v>
          </cell>
          <cell r="T342">
            <v>14.5</v>
          </cell>
          <cell r="U342">
            <v>422.8</v>
          </cell>
        </row>
        <row r="343">
          <cell r="B343" t="str">
            <v>土石流、洪水</v>
          </cell>
          <cell r="E343" t="str">
            <v>宜蘭縣</v>
          </cell>
          <cell r="F343" t="str">
            <v>大同鄉</v>
          </cell>
          <cell r="N343" t="str">
            <v>1001豪雨</v>
          </cell>
          <cell r="T343">
            <v>96.5</v>
          </cell>
          <cell r="U343">
            <v>1105</v>
          </cell>
        </row>
        <row r="344">
          <cell r="B344" t="str">
            <v>洪水</v>
          </cell>
          <cell r="E344" t="str">
            <v>宜蘭縣</v>
          </cell>
          <cell r="F344" t="str">
            <v>大同鄉</v>
          </cell>
          <cell r="N344" t="str">
            <v>1001豪雨</v>
          </cell>
          <cell r="T344">
            <v>30</v>
          </cell>
          <cell r="U344">
            <v>904.5</v>
          </cell>
        </row>
        <row r="345">
          <cell r="B345" t="str">
            <v>洪水</v>
          </cell>
          <cell r="E345" t="str">
            <v>宜蘭縣</v>
          </cell>
          <cell r="F345" t="str">
            <v>南澳鄉</v>
          </cell>
          <cell r="N345" t="str">
            <v>1001豪雨</v>
          </cell>
          <cell r="T345">
            <v>29.5</v>
          </cell>
          <cell r="U345">
            <v>451.6</v>
          </cell>
        </row>
        <row r="346">
          <cell r="B346" t="str">
            <v>洪水</v>
          </cell>
          <cell r="E346" t="str">
            <v>宜蘭縣</v>
          </cell>
          <cell r="F346" t="str">
            <v>南澳鄉</v>
          </cell>
          <cell r="N346" t="str">
            <v>1001豪雨</v>
          </cell>
          <cell r="T346">
            <v>29.5</v>
          </cell>
          <cell r="U346">
            <v>451.6</v>
          </cell>
        </row>
        <row r="347">
          <cell r="B347" t="str">
            <v>崩塌</v>
          </cell>
          <cell r="E347" t="str">
            <v>宜蘭縣</v>
          </cell>
          <cell r="F347" t="str">
            <v>大同鄉</v>
          </cell>
          <cell r="N347" t="str">
            <v>1001豪雨</v>
          </cell>
          <cell r="T347">
            <v>11</v>
          </cell>
          <cell r="U347">
            <v>415.1</v>
          </cell>
        </row>
        <row r="348">
          <cell r="B348" t="str">
            <v>崩塌</v>
          </cell>
          <cell r="E348" t="str">
            <v>宜蘭縣</v>
          </cell>
          <cell r="F348" t="str">
            <v>員山鄉</v>
          </cell>
          <cell r="N348" t="str">
            <v>1001豪雨</v>
          </cell>
          <cell r="T348">
            <v>0.5</v>
          </cell>
          <cell r="U348">
            <v>172.7</v>
          </cell>
        </row>
        <row r="349">
          <cell r="B349" t="str">
            <v>崩塌(陷落)、土石流</v>
          </cell>
          <cell r="E349" t="str">
            <v>宜蘭縣</v>
          </cell>
          <cell r="F349" t="str">
            <v>蘇澳鎮</v>
          </cell>
          <cell r="N349" t="str">
            <v>1001豪雨</v>
          </cell>
          <cell r="T349">
            <v>30.5</v>
          </cell>
          <cell r="U349">
            <v>418.9</v>
          </cell>
        </row>
        <row r="350">
          <cell r="B350" t="str">
            <v>崩塌、土石流</v>
          </cell>
          <cell r="E350" t="str">
            <v>宜蘭縣</v>
          </cell>
          <cell r="F350" t="str">
            <v>大同鄉</v>
          </cell>
          <cell r="N350" t="str">
            <v>1001豪雨</v>
          </cell>
          <cell r="T350">
            <v>28.5</v>
          </cell>
          <cell r="U350">
            <v>513.4</v>
          </cell>
        </row>
        <row r="351">
          <cell r="B351" t="str">
            <v>崩塌、土石流</v>
          </cell>
          <cell r="E351" t="str">
            <v>宜蘭縣</v>
          </cell>
          <cell r="F351" t="str">
            <v>大同鄉</v>
          </cell>
          <cell r="N351" t="str">
            <v>1001豪雨</v>
          </cell>
          <cell r="T351">
            <v>28.5</v>
          </cell>
          <cell r="U351">
            <v>513.4</v>
          </cell>
        </row>
        <row r="352">
          <cell r="B352" t="str">
            <v>崩塌、土石流</v>
          </cell>
          <cell r="E352" t="str">
            <v>花蓮縣</v>
          </cell>
          <cell r="F352" t="str">
            <v>富里鄉</v>
          </cell>
          <cell r="N352" t="str">
            <v>1001豪雨</v>
          </cell>
          <cell r="T352">
            <v>29</v>
          </cell>
          <cell r="U352">
            <v>323.5</v>
          </cell>
        </row>
        <row r="353">
          <cell r="B353" t="str">
            <v>崩塌、洪水</v>
          </cell>
          <cell r="E353" t="str">
            <v>宜蘭縣</v>
          </cell>
          <cell r="F353" t="str">
            <v>大同鄉</v>
          </cell>
          <cell r="N353" t="str">
            <v>1001豪雨</v>
          </cell>
          <cell r="T353">
            <v>65.5</v>
          </cell>
          <cell r="U353">
            <v>1471</v>
          </cell>
        </row>
        <row r="354">
          <cell r="B354" t="str">
            <v>土石流</v>
          </cell>
          <cell r="E354" t="str">
            <v>屏東縣</v>
          </cell>
          <cell r="F354" t="str">
            <v>滿洲鄉</v>
          </cell>
          <cell r="N354" t="str">
            <v>南瑪都颱風</v>
          </cell>
          <cell r="T354">
            <v>15.5</v>
          </cell>
          <cell r="U354">
            <v>518.9</v>
          </cell>
        </row>
        <row r="355">
          <cell r="B355" t="str">
            <v>地滑</v>
          </cell>
          <cell r="E355" t="str">
            <v>屏東縣</v>
          </cell>
          <cell r="F355" t="str">
            <v>牡丹鄉</v>
          </cell>
          <cell r="N355" t="str">
            <v>南瑪都颱風</v>
          </cell>
          <cell r="T355">
            <v>108.5</v>
          </cell>
          <cell r="U355">
            <v>450</v>
          </cell>
        </row>
        <row r="356">
          <cell r="B356" t="str">
            <v>地滑、洪水</v>
          </cell>
          <cell r="E356" t="str">
            <v>屏東縣</v>
          </cell>
          <cell r="F356" t="str">
            <v>牡丹鄉</v>
          </cell>
          <cell r="N356" t="str">
            <v>南瑪都颱風</v>
          </cell>
          <cell r="T356">
            <v>4.5</v>
          </cell>
          <cell r="U356">
            <v>268.5</v>
          </cell>
        </row>
        <row r="357">
          <cell r="B357" t="str">
            <v>洪水</v>
          </cell>
          <cell r="E357" t="str">
            <v>屏東縣</v>
          </cell>
          <cell r="F357" t="str">
            <v>來義鄉</v>
          </cell>
          <cell r="N357" t="str">
            <v>南瑪都颱風</v>
          </cell>
          <cell r="T357">
            <v>71.5</v>
          </cell>
          <cell r="U357">
            <v>227.2</v>
          </cell>
        </row>
        <row r="358">
          <cell r="B358" t="str">
            <v>洪水</v>
          </cell>
          <cell r="E358" t="str">
            <v>屏東縣</v>
          </cell>
          <cell r="F358" t="str">
            <v>來義鄉</v>
          </cell>
          <cell r="N358" t="str">
            <v>南瑪都颱風</v>
          </cell>
          <cell r="T358">
            <v>71.5</v>
          </cell>
          <cell r="U358">
            <v>227.2</v>
          </cell>
        </row>
        <row r="359">
          <cell r="B359" t="str">
            <v>崩塌、土石流</v>
          </cell>
          <cell r="E359" t="str">
            <v>屏東縣</v>
          </cell>
          <cell r="F359" t="str">
            <v>牡丹鄉</v>
          </cell>
          <cell r="N359" t="str">
            <v>南瑪都颱風</v>
          </cell>
          <cell r="T359">
            <v>20.5</v>
          </cell>
          <cell r="U359">
            <v>576.5</v>
          </cell>
        </row>
        <row r="360">
          <cell r="B360" t="str">
            <v>崩塌、洪水</v>
          </cell>
          <cell r="E360" t="str">
            <v>屏東縣</v>
          </cell>
          <cell r="F360" t="str">
            <v>恆春鎮</v>
          </cell>
          <cell r="N360" t="str">
            <v>南瑪都颱風</v>
          </cell>
          <cell r="T360">
            <v>41</v>
          </cell>
          <cell r="U360">
            <v>628.5</v>
          </cell>
        </row>
        <row r="361">
          <cell r="B361" t="str">
            <v>土石流</v>
          </cell>
          <cell r="E361" t="str">
            <v>南投縣</v>
          </cell>
          <cell r="F361" t="str">
            <v>信義鄉</v>
          </cell>
          <cell r="N361" t="str">
            <v>0504豪雨</v>
          </cell>
          <cell r="T361">
            <v>38.5</v>
          </cell>
          <cell r="U361">
            <v>121.4</v>
          </cell>
        </row>
        <row r="362">
          <cell r="B362" t="str">
            <v>土石流</v>
          </cell>
          <cell r="E362" t="str">
            <v>南投縣</v>
          </cell>
          <cell r="F362" t="str">
            <v>仁愛鄉</v>
          </cell>
          <cell r="N362" t="str">
            <v>0610豪雨</v>
          </cell>
          <cell r="T362">
            <v>44.5</v>
          </cell>
          <cell r="U362">
            <v>247.1</v>
          </cell>
        </row>
        <row r="363">
          <cell r="B363" t="str">
            <v>土石流</v>
          </cell>
          <cell r="E363" t="str">
            <v>高雄市</v>
          </cell>
          <cell r="F363" t="str">
            <v>六龜區</v>
          </cell>
          <cell r="N363" t="str">
            <v>0610豪雨</v>
          </cell>
          <cell r="T363">
            <v>13.6</v>
          </cell>
          <cell r="U363">
            <v>312.60000000000002</v>
          </cell>
        </row>
        <row r="364">
          <cell r="B364" t="str">
            <v>土石流、洪水</v>
          </cell>
          <cell r="E364" t="str">
            <v>嘉義縣</v>
          </cell>
          <cell r="F364" t="str">
            <v>阿里山鄉</v>
          </cell>
          <cell r="N364" t="str">
            <v>0610豪雨</v>
          </cell>
          <cell r="T364">
            <v>32.5</v>
          </cell>
          <cell r="U364">
            <v>607</v>
          </cell>
        </row>
        <row r="365">
          <cell r="B365" t="str">
            <v>土石流、洪水</v>
          </cell>
          <cell r="E365" t="str">
            <v>高雄市</v>
          </cell>
          <cell r="F365" t="str">
            <v>六龜區</v>
          </cell>
          <cell r="N365" t="str">
            <v>0610豪雨</v>
          </cell>
          <cell r="T365">
            <v>26</v>
          </cell>
          <cell r="U365">
            <v>358.6</v>
          </cell>
        </row>
        <row r="366">
          <cell r="B366" t="str">
            <v>土石流、洪水(土砂淤積)</v>
          </cell>
          <cell r="E366" t="str">
            <v>南投縣</v>
          </cell>
          <cell r="F366" t="str">
            <v>信義鄉</v>
          </cell>
          <cell r="N366" t="str">
            <v>0610豪雨</v>
          </cell>
          <cell r="T366">
            <v>18.5</v>
          </cell>
          <cell r="U366">
            <v>434.8</v>
          </cell>
        </row>
        <row r="367">
          <cell r="B367" t="str">
            <v>土石流、崩塌</v>
          </cell>
          <cell r="E367" t="str">
            <v>臺北市</v>
          </cell>
          <cell r="F367" t="str">
            <v>文山區</v>
          </cell>
          <cell r="N367" t="str">
            <v>0610豪雨</v>
          </cell>
          <cell r="T367">
            <v>52</v>
          </cell>
          <cell r="U367">
            <v>355.2</v>
          </cell>
        </row>
        <row r="368">
          <cell r="B368" t="str">
            <v>地滑</v>
          </cell>
          <cell r="E368" t="str">
            <v>雲林縣</v>
          </cell>
          <cell r="F368" t="str">
            <v>古坑鄉</v>
          </cell>
          <cell r="N368" t="str">
            <v>0610豪雨</v>
          </cell>
          <cell r="T368">
            <v>20.5</v>
          </cell>
          <cell r="U368">
            <v>442.6</v>
          </cell>
        </row>
        <row r="369">
          <cell r="B369" t="str">
            <v>地滑</v>
          </cell>
          <cell r="E369" t="str">
            <v>南投縣</v>
          </cell>
          <cell r="F369" t="str">
            <v>國姓鄉</v>
          </cell>
          <cell r="N369" t="str">
            <v>0610豪雨</v>
          </cell>
          <cell r="T369">
            <v>1</v>
          </cell>
          <cell r="U369">
            <v>359.3</v>
          </cell>
        </row>
        <row r="370">
          <cell r="B370" t="str">
            <v>洪水</v>
          </cell>
          <cell r="E370" t="str">
            <v>屏東縣</v>
          </cell>
          <cell r="F370" t="str">
            <v>來義鄉</v>
          </cell>
          <cell r="N370" t="str">
            <v>0610豪雨</v>
          </cell>
          <cell r="T370">
            <v>44</v>
          </cell>
          <cell r="U370">
            <v>633.1</v>
          </cell>
        </row>
        <row r="371">
          <cell r="B371" t="str">
            <v>洪水</v>
          </cell>
          <cell r="E371" t="str">
            <v>屏東縣</v>
          </cell>
          <cell r="F371" t="str">
            <v>來義鄉</v>
          </cell>
          <cell r="N371" t="str">
            <v>0610豪雨</v>
          </cell>
          <cell r="T371">
            <v>67</v>
          </cell>
          <cell r="U371">
            <v>385.36</v>
          </cell>
        </row>
        <row r="372">
          <cell r="B372" t="str">
            <v>洪水(沖刷)</v>
          </cell>
          <cell r="E372" t="str">
            <v>臺中市</v>
          </cell>
          <cell r="F372" t="str">
            <v>和平區</v>
          </cell>
          <cell r="N372" t="str">
            <v>0610豪雨</v>
          </cell>
          <cell r="T372">
            <v>0.5</v>
          </cell>
          <cell r="U372">
            <v>601.01</v>
          </cell>
        </row>
        <row r="373">
          <cell r="B373" t="str">
            <v>洪水(沖刷)</v>
          </cell>
          <cell r="E373" t="str">
            <v>臺中市</v>
          </cell>
          <cell r="F373" t="str">
            <v>太平區</v>
          </cell>
          <cell r="N373" t="str">
            <v>0610豪雨</v>
          </cell>
          <cell r="T373">
            <v>24.5</v>
          </cell>
          <cell r="U373">
            <v>175.7</v>
          </cell>
        </row>
        <row r="374">
          <cell r="B374" t="str">
            <v>洪水(沖刷)</v>
          </cell>
          <cell r="E374" t="str">
            <v>南投縣</v>
          </cell>
          <cell r="F374" t="str">
            <v>仁愛鄉</v>
          </cell>
          <cell r="N374" t="str">
            <v>0610豪雨</v>
          </cell>
          <cell r="T374">
            <v>42</v>
          </cell>
          <cell r="U374">
            <v>310.3</v>
          </cell>
        </row>
        <row r="375">
          <cell r="B375" t="str">
            <v>崩塌</v>
          </cell>
          <cell r="E375" t="str">
            <v>臺東縣</v>
          </cell>
          <cell r="F375" t="str">
            <v>大武鄉</v>
          </cell>
          <cell r="N375" t="str">
            <v>0610豪雨</v>
          </cell>
          <cell r="T375">
            <v>22</v>
          </cell>
          <cell r="U375">
            <v>399.5</v>
          </cell>
        </row>
        <row r="376">
          <cell r="B376" t="str">
            <v>崩塌</v>
          </cell>
          <cell r="E376" t="str">
            <v>南投縣</v>
          </cell>
          <cell r="F376" t="str">
            <v>國姓鄉</v>
          </cell>
          <cell r="N376" t="str">
            <v>0610豪雨</v>
          </cell>
          <cell r="T376">
            <v>69</v>
          </cell>
          <cell r="U376">
            <v>535.29999999999995</v>
          </cell>
        </row>
        <row r="377">
          <cell r="B377" t="str">
            <v>崩塌</v>
          </cell>
          <cell r="E377" t="str">
            <v>臺北市</v>
          </cell>
          <cell r="F377" t="str">
            <v>信義區</v>
          </cell>
          <cell r="N377" t="str">
            <v>0610豪雨</v>
          </cell>
          <cell r="T377">
            <v>26</v>
          </cell>
          <cell r="U377">
            <v>184</v>
          </cell>
        </row>
        <row r="378">
          <cell r="B378" t="str">
            <v>崩塌</v>
          </cell>
          <cell r="E378" t="str">
            <v>臺中市</v>
          </cell>
          <cell r="F378" t="str">
            <v>東勢區</v>
          </cell>
          <cell r="N378" t="str">
            <v>0610豪雨</v>
          </cell>
          <cell r="T378">
            <v>43.5</v>
          </cell>
          <cell r="U378">
            <v>300.60000000000002</v>
          </cell>
        </row>
        <row r="379">
          <cell r="B379" t="str">
            <v>崩塌</v>
          </cell>
          <cell r="E379" t="str">
            <v>臺北市</v>
          </cell>
          <cell r="F379" t="str">
            <v>大安區</v>
          </cell>
          <cell r="N379" t="str">
            <v>0610豪雨</v>
          </cell>
          <cell r="T379">
            <v>43.5</v>
          </cell>
          <cell r="U379">
            <v>70.2</v>
          </cell>
        </row>
        <row r="380">
          <cell r="B380" t="str">
            <v>崩塌</v>
          </cell>
          <cell r="E380" t="str">
            <v>臺中市</v>
          </cell>
          <cell r="F380" t="str">
            <v>和平區</v>
          </cell>
          <cell r="N380" t="str">
            <v>0610豪雨</v>
          </cell>
          <cell r="T380">
            <v>7.5</v>
          </cell>
          <cell r="U380">
            <v>317.5</v>
          </cell>
        </row>
        <row r="381">
          <cell r="B381" t="str">
            <v>崩塌</v>
          </cell>
          <cell r="E381" t="str">
            <v>南投縣</v>
          </cell>
          <cell r="F381" t="str">
            <v>仁愛鄉</v>
          </cell>
          <cell r="N381" t="str">
            <v>0610豪雨</v>
          </cell>
          <cell r="T381">
            <v>16.5</v>
          </cell>
          <cell r="U381">
            <v>259.39999999999998</v>
          </cell>
        </row>
        <row r="382">
          <cell r="B382" t="str">
            <v>崩塌</v>
          </cell>
          <cell r="E382" t="str">
            <v>臺中市</v>
          </cell>
          <cell r="F382" t="str">
            <v>新社區</v>
          </cell>
          <cell r="N382" t="str">
            <v>0610豪雨</v>
          </cell>
          <cell r="T382">
            <v>5</v>
          </cell>
          <cell r="U382">
            <v>299.10000000000002</v>
          </cell>
        </row>
        <row r="383">
          <cell r="B383" t="str">
            <v>土石流、洪水</v>
          </cell>
          <cell r="E383" t="str">
            <v>屏東縣</v>
          </cell>
          <cell r="F383" t="str">
            <v>滿洲鄉</v>
          </cell>
          <cell r="N383" t="str">
            <v>天秤颱風</v>
          </cell>
          <cell r="T383">
            <v>78.5</v>
          </cell>
          <cell r="U383">
            <v>220.5</v>
          </cell>
        </row>
        <row r="384">
          <cell r="B384" t="str">
            <v>土石流</v>
          </cell>
          <cell r="E384" t="str">
            <v>宜蘭縣</v>
          </cell>
          <cell r="F384" t="str">
            <v>南澳鄉</v>
          </cell>
          <cell r="N384" t="str">
            <v>蘇拉颱風</v>
          </cell>
          <cell r="T384">
            <v>74.5</v>
          </cell>
          <cell r="U384">
            <v>668.9</v>
          </cell>
        </row>
        <row r="385">
          <cell r="B385" t="str">
            <v>土石流</v>
          </cell>
          <cell r="E385" t="str">
            <v>新北市</v>
          </cell>
          <cell r="F385" t="str">
            <v>三峽區</v>
          </cell>
          <cell r="N385" t="str">
            <v>蘇拉颱風</v>
          </cell>
          <cell r="T385">
            <v>66</v>
          </cell>
          <cell r="U385">
            <v>595.6</v>
          </cell>
        </row>
        <row r="386">
          <cell r="B386" t="str">
            <v>土石流</v>
          </cell>
          <cell r="E386" t="str">
            <v>花蓮縣</v>
          </cell>
          <cell r="F386" t="str">
            <v>秀林鄉</v>
          </cell>
          <cell r="N386" t="str">
            <v>蘇拉颱風</v>
          </cell>
          <cell r="T386">
            <v>120</v>
          </cell>
          <cell r="U386">
            <v>717.6</v>
          </cell>
        </row>
        <row r="387">
          <cell r="B387" t="str">
            <v>土石流</v>
          </cell>
          <cell r="E387" t="str">
            <v>花蓮縣</v>
          </cell>
          <cell r="F387" t="str">
            <v>秀林鄉</v>
          </cell>
          <cell r="N387" t="str">
            <v>蘇拉颱風</v>
          </cell>
          <cell r="T387">
            <v>120</v>
          </cell>
          <cell r="U387">
            <v>717.6</v>
          </cell>
        </row>
        <row r="388">
          <cell r="B388" t="str">
            <v>土石流</v>
          </cell>
          <cell r="E388" t="str">
            <v>花蓮縣</v>
          </cell>
          <cell r="F388" t="str">
            <v>秀林鄉</v>
          </cell>
          <cell r="N388" t="str">
            <v>蘇拉颱風</v>
          </cell>
          <cell r="T388">
            <v>120</v>
          </cell>
          <cell r="U388">
            <v>717.6</v>
          </cell>
        </row>
        <row r="389">
          <cell r="B389" t="str">
            <v>洪水</v>
          </cell>
          <cell r="E389" t="str">
            <v>宜蘭縣</v>
          </cell>
          <cell r="F389" t="str">
            <v>大同鄉</v>
          </cell>
          <cell r="N389" t="str">
            <v>蘇拉颱風</v>
          </cell>
          <cell r="T389">
            <v>39.5</v>
          </cell>
          <cell r="U389">
            <v>602.6</v>
          </cell>
        </row>
        <row r="390">
          <cell r="B390" t="str">
            <v>洪水</v>
          </cell>
          <cell r="E390" t="str">
            <v>宜蘭縣</v>
          </cell>
          <cell r="F390" t="str">
            <v>大同鄉</v>
          </cell>
          <cell r="N390" t="str">
            <v>蘇拉颱風</v>
          </cell>
          <cell r="T390">
            <v>39.5</v>
          </cell>
          <cell r="U390">
            <v>602.6</v>
          </cell>
        </row>
        <row r="391">
          <cell r="B391" t="str">
            <v>洪水、崩塌</v>
          </cell>
          <cell r="E391" t="str">
            <v>宜蘭縣</v>
          </cell>
          <cell r="F391" t="str">
            <v>南澳鄉</v>
          </cell>
          <cell r="N391" t="str">
            <v>蘇拉颱風</v>
          </cell>
          <cell r="T391">
            <v>74.5</v>
          </cell>
          <cell r="U391">
            <v>668.9</v>
          </cell>
        </row>
        <row r="392">
          <cell r="B392" t="str">
            <v>崩塌</v>
          </cell>
          <cell r="E392" t="str">
            <v>苗栗縣</v>
          </cell>
          <cell r="F392" t="str">
            <v>南庄鄉</v>
          </cell>
          <cell r="N392" t="str">
            <v>蘇拉颱風</v>
          </cell>
          <cell r="T392">
            <v>9</v>
          </cell>
          <cell r="U392">
            <v>797.9</v>
          </cell>
        </row>
        <row r="393">
          <cell r="B393" t="str">
            <v>崩塌</v>
          </cell>
          <cell r="E393" t="str">
            <v>宜蘭縣</v>
          </cell>
          <cell r="F393" t="str">
            <v>大同鄉</v>
          </cell>
          <cell r="N393" t="str">
            <v>蘇拉颱風</v>
          </cell>
          <cell r="T393">
            <v>22.5</v>
          </cell>
          <cell r="U393">
            <v>733.02</v>
          </cell>
        </row>
        <row r="394">
          <cell r="B394" t="str">
            <v>崩塌</v>
          </cell>
          <cell r="E394" t="str">
            <v>苗栗縣</v>
          </cell>
          <cell r="F394" t="str">
            <v>大湖鄉</v>
          </cell>
          <cell r="N394" t="str">
            <v>蘇拉颱風</v>
          </cell>
          <cell r="T394">
            <v>53.5</v>
          </cell>
          <cell r="U394">
            <v>570.70000000000005</v>
          </cell>
        </row>
        <row r="395">
          <cell r="B395" t="str">
            <v>崩塌</v>
          </cell>
          <cell r="E395" t="str">
            <v>嘉義縣</v>
          </cell>
          <cell r="F395" t="str">
            <v>竹崎鄉</v>
          </cell>
          <cell r="N395" t="str">
            <v>其他</v>
          </cell>
          <cell r="T395">
            <v>22.5</v>
          </cell>
          <cell r="U395">
            <v>67.5</v>
          </cell>
        </row>
        <row r="396">
          <cell r="B396" t="str">
            <v>崩塌</v>
          </cell>
          <cell r="E396" t="str">
            <v>苗栗縣</v>
          </cell>
          <cell r="F396" t="str">
            <v>大湖鄉</v>
          </cell>
          <cell r="N396" t="str">
            <v>蘇力颱風</v>
          </cell>
          <cell r="T396">
            <v>0</v>
          </cell>
          <cell r="U396">
            <v>517.4</v>
          </cell>
        </row>
        <row r="397">
          <cell r="B397" t="str">
            <v>洪水</v>
          </cell>
          <cell r="E397" t="str">
            <v>高雄市</v>
          </cell>
          <cell r="F397" t="str">
            <v>六龜區</v>
          </cell>
          <cell r="N397" t="str">
            <v>蘇力颱風</v>
          </cell>
          <cell r="T397">
            <v>0.5</v>
          </cell>
          <cell r="U397">
            <v>344.2</v>
          </cell>
        </row>
        <row r="398">
          <cell r="B398" t="str">
            <v>土石流</v>
          </cell>
          <cell r="E398" t="str">
            <v>臺中市</v>
          </cell>
          <cell r="F398" t="str">
            <v>和平區</v>
          </cell>
          <cell r="N398" t="str">
            <v>蘇力颱風</v>
          </cell>
          <cell r="T398">
            <v>64</v>
          </cell>
          <cell r="U398">
            <v>320.23</v>
          </cell>
        </row>
        <row r="399">
          <cell r="B399" t="str">
            <v>土石流</v>
          </cell>
          <cell r="E399" t="str">
            <v>南投縣</v>
          </cell>
          <cell r="F399" t="str">
            <v>魚池鄉</v>
          </cell>
          <cell r="N399" t="str">
            <v>蘇力颱風</v>
          </cell>
          <cell r="T399">
            <v>73.5</v>
          </cell>
          <cell r="U399">
            <v>194</v>
          </cell>
        </row>
        <row r="400">
          <cell r="B400" t="str">
            <v>土石流</v>
          </cell>
          <cell r="E400" t="str">
            <v>嘉義縣</v>
          </cell>
          <cell r="F400" t="str">
            <v>阿里山鄉</v>
          </cell>
          <cell r="N400" t="str">
            <v>其他</v>
          </cell>
          <cell r="T400">
            <v>8.5</v>
          </cell>
          <cell r="U400">
            <v>55.5</v>
          </cell>
        </row>
        <row r="401">
          <cell r="B401" t="str">
            <v>崩塌</v>
          </cell>
          <cell r="E401" t="str">
            <v>南投縣</v>
          </cell>
          <cell r="F401" t="str">
            <v>信義鄉</v>
          </cell>
          <cell r="N401" t="str">
            <v>0602地震</v>
          </cell>
          <cell r="T401" t="str">
            <v>－</v>
          </cell>
          <cell r="U401" t="str">
            <v>－</v>
          </cell>
        </row>
        <row r="402">
          <cell r="B402" t="str">
            <v>崩塌</v>
          </cell>
          <cell r="E402" t="str">
            <v>南投縣</v>
          </cell>
          <cell r="F402" t="str">
            <v>鹿谷鄉</v>
          </cell>
          <cell r="N402" t="str">
            <v>0602地震</v>
          </cell>
          <cell r="T402" t="str">
            <v>－</v>
          </cell>
          <cell r="U402" t="str">
            <v>－</v>
          </cell>
        </row>
        <row r="403">
          <cell r="B403" t="str">
            <v>崩塌</v>
          </cell>
          <cell r="E403" t="str">
            <v>南投縣</v>
          </cell>
          <cell r="F403" t="str">
            <v>信義鄉</v>
          </cell>
          <cell r="N403" t="str">
            <v>0517豪雨</v>
          </cell>
          <cell r="T403">
            <v>0</v>
          </cell>
          <cell r="U403">
            <v>225.5</v>
          </cell>
        </row>
        <row r="404">
          <cell r="B404" t="str">
            <v>土石流</v>
          </cell>
          <cell r="E404" t="str">
            <v>臺東縣</v>
          </cell>
          <cell r="F404" t="str">
            <v>卑南鄉</v>
          </cell>
          <cell r="N404" t="str">
            <v>鳳凰颱風</v>
          </cell>
          <cell r="T404">
            <v>35</v>
          </cell>
          <cell r="U404">
            <v>280</v>
          </cell>
        </row>
        <row r="405">
          <cell r="B405" t="str">
            <v>土石流</v>
          </cell>
          <cell r="E405" t="str">
            <v>宜蘭縣</v>
          </cell>
          <cell r="F405" t="str">
            <v>南澳鄉</v>
          </cell>
          <cell r="N405" t="str">
            <v>麥德姆颱風</v>
          </cell>
          <cell r="T405">
            <v>30</v>
          </cell>
          <cell r="U405">
            <v>125.35</v>
          </cell>
        </row>
        <row r="406">
          <cell r="B406" t="str">
            <v>崩塌</v>
          </cell>
          <cell r="E406" t="str">
            <v>高雄市</v>
          </cell>
          <cell r="F406" t="str">
            <v>杉林區</v>
          </cell>
          <cell r="N406" t="str">
            <v>麥德姆颱風</v>
          </cell>
          <cell r="T406">
            <v>60</v>
          </cell>
          <cell r="U406">
            <v>225</v>
          </cell>
        </row>
        <row r="407">
          <cell r="B407" t="str">
            <v>土石流</v>
          </cell>
          <cell r="E407" t="str">
            <v>花蓮縣</v>
          </cell>
          <cell r="F407" t="str">
            <v>萬榮鄉</v>
          </cell>
          <cell r="N407" t="str">
            <v>麥德姆颱風</v>
          </cell>
          <cell r="T407">
            <v>74.5</v>
          </cell>
          <cell r="U407">
            <v>543.5</v>
          </cell>
        </row>
        <row r="408">
          <cell r="B408" t="str">
            <v>土石流</v>
          </cell>
          <cell r="E408" t="str">
            <v>臺東縣</v>
          </cell>
          <cell r="F408" t="str">
            <v>大武鄉</v>
          </cell>
          <cell r="N408" t="str">
            <v>哈吉貝颱風</v>
          </cell>
          <cell r="T408">
            <v>53</v>
          </cell>
          <cell r="U408">
            <v>96.3</v>
          </cell>
        </row>
        <row r="409">
          <cell r="B409" t="str">
            <v>崩塌</v>
          </cell>
          <cell r="E409" t="str">
            <v>臺北市</v>
          </cell>
          <cell r="F409" t="str">
            <v>文山區</v>
          </cell>
          <cell r="N409" t="str">
            <v>蘇迪勒颱風</v>
          </cell>
          <cell r="T409">
            <v>39.5</v>
          </cell>
          <cell r="U409">
            <v>112</v>
          </cell>
        </row>
        <row r="410">
          <cell r="B410" t="str">
            <v>土石流</v>
          </cell>
          <cell r="E410" t="str">
            <v>桃園市</v>
          </cell>
          <cell r="F410" t="str">
            <v>復興區</v>
          </cell>
          <cell r="N410" t="str">
            <v>蘇迪勒颱風</v>
          </cell>
          <cell r="T410">
            <v>22</v>
          </cell>
          <cell r="U410">
            <v>400</v>
          </cell>
        </row>
        <row r="411">
          <cell r="B411" t="str">
            <v>洪水</v>
          </cell>
          <cell r="E411" t="str">
            <v>新北市</v>
          </cell>
          <cell r="F411" t="str">
            <v>三峽區</v>
          </cell>
          <cell r="N411" t="str">
            <v>蘇迪勒颱風</v>
          </cell>
          <cell r="T411">
            <v>41</v>
          </cell>
          <cell r="U411">
            <v>475</v>
          </cell>
        </row>
        <row r="412">
          <cell r="B412" t="str">
            <v>土石流</v>
          </cell>
          <cell r="E412" t="str">
            <v>新北市</v>
          </cell>
          <cell r="F412" t="str">
            <v>三峽區</v>
          </cell>
          <cell r="N412" t="str">
            <v>蘇迪勒颱風</v>
          </cell>
          <cell r="T412">
            <v>100</v>
          </cell>
          <cell r="U412">
            <v>617</v>
          </cell>
        </row>
        <row r="413">
          <cell r="B413" t="str">
            <v>土石流</v>
          </cell>
          <cell r="E413" t="str">
            <v>新北市</v>
          </cell>
          <cell r="F413" t="str">
            <v>三峽區</v>
          </cell>
          <cell r="N413" t="str">
            <v>蘇迪勒颱風</v>
          </cell>
          <cell r="T413">
            <v>100</v>
          </cell>
          <cell r="U413">
            <v>617</v>
          </cell>
        </row>
        <row r="414">
          <cell r="B414" t="str">
            <v>崩塌</v>
          </cell>
          <cell r="E414" t="str">
            <v>新北市</v>
          </cell>
          <cell r="F414" t="str">
            <v>三峽區</v>
          </cell>
          <cell r="N414" t="str">
            <v>蘇迪勒颱風</v>
          </cell>
          <cell r="T414">
            <v>52</v>
          </cell>
          <cell r="U414">
            <v>364</v>
          </cell>
        </row>
        <row r="415">
          <cell r="B415" t="str">
            <v>土石流</v>
          </cell>
          <cell r="E415" t="str">
            <v>新北市</v>
          </cell>
          <cell r="F415" t="str">
            <v>新店區</v>
          </cell>
          <cell r="N415" t="str">
            <v>蘇迪勒颱風</v>
          </cell>
          <cell r="T415">
            <v>50</v>
          </cell>
          <cell r="U415">
            <v>440</v>
          </cell>
        </row>
        <row r="416">
          <cell r="B416" t="str">
            <v>洪水、崩塌</v>
          </cell>
          <cell r="E416" t="str">
            <v>新北市</v>
          </cell>
          <cell r="F416" t="str">
            <v>新店區</v>
          </cell>
          <cell r="N416" t="str">
            <v>蘇迪勒颱風</v>
          </cell>
          <cell r="T416">
            <v>50</v>
          </cell>
          <cell r="U416">
            <v>440</v>
          </cell>
        </row>
        <row r="417">
          <cell r="B417" t="str">
            <v>崩塌</v>
          </cell>
          <cell r="E417" t="str">
            <v>新北市</v>
          </cell>
          <cell r="F417" t="str">
            <v>新店區</v>
          </cell>
          <cell r="N417" t="str">
            <v>蘇迪勒颱風</v>
          </cell>
          <cell r="T417">
            <v>50</v>
          </cell>
          <cell r="U417">
            <v>440</v>
          </cell>
        </row>
        <row r="418">
          <cell r="B418" t="str">
            <v>洪水、崩塌</v>
          </cell>
          <cell r="E418" t="str">
            <v>新北市</v>
          </cell>
          <cell r="F418" t="str">
            <v>新店區</v>
          </cell>
          <cell r="N418" t="str">
            <v>蘇迪勒颱風</v>
          </cell>
          <cell r="T418">
            <v>50</v>
          </cell>
          <cell r="U418">
            <v>440</v>
          </cell>
        </row>
        <row r="419">
          <cell r="B419" t="str">
            <v>土石流</v>
          </cell>
          <cell r="E419" t="str">
            <v>新北市</v>
          </cell>
          <cell r="F419" t="str">
            <v>新店區</v>
          </cell>
          <cell r="N419" t="str">
            <v>蘇迪勒颱風</v>
          </cell>
          <cell r="T419">
            <v>51.5</v>
          </cell>
          <cell r="U419">
            <v>510</v>
          </cell>
        </row>
        <row r="420">
          <cell r="B420" t="str">
            <v>崩塌</v>
          </cell>
          <cell r="E420" t="str">
            <v>新北市</v>
          </cell>
          <cell r="F420" t="str">
            <v>新店區</v>
          </cell>
          <cell r="N420" t="str">
            <v>蘇迪勒颱風</v>
          </cell>
          <cell r="T420">
            <v>51.5</v>
          </cell>
          <cell r="U420">
            <v>510</v>
          </cell>
        </row>
        <row r="421">
          <cell r="B421" t="str">
            <v>土石流</v>
          </cell>
          <cell r="E421" t="str">
            <v>新北市</v>
          </cell>
          <cell r="F421" t="str">
            <v>烏來區</v>
          </cell>
          <cell r="N421" t="str">
            <v>蘇迪勒颱風</v>
          </cell>
          <cell r="T421">
            <v>38</v>
          </cell>
          <cell r="U421">
            <v>240</v>
          </cell>
        </row>
        <row r="422">
          <cell r="B422" t="str">
            <v>崩塌</v>
          </cell>
          <cell r="E422" t="str">
            <v>新北市</v>
          </cell>
          <cell r="F422" t="str">
            <v>烏來區</v>
          </cell>
          <cell r="N422" t="str">
            <v>蘇迪勒颱風</v>
          </cell>
          <cell r="T422">
            <v>32</v>
          </cell>
          <cell r="U422">
            <v>530</v>
          </cell>
        </row>
        <row r="423">
          <cell r="B423" t="str">
            <v>土石流</v>
          </cell>
          <cell r="E423" t="str">
            <v>新北市</v>
          </cell>
          <cell r="F423" t="str">
            <v>烏來區</v>
          </cell>
          <cell r="N423" t="str">
            <v>蘇迪勒颱風</v>
          </cell>
          <cell r="T423">
            <v>70</v>
          </cell>
          <cell r="U423">
            <v>350</v>
          </cell>
        </row>
        <row r="424">
          <cell r="B424" t="str">
            <v>土石流</v>
          </cell>
          <cell r="E424" t="str">
            <v>新北市</v>
          </cell>
          <cell r="F424" t="str">
            <v>烏來區</v>
          </cell>
          <cell r="N424" t="str">
            <v>蘇迪勒颱風</v>
          </cell>
          <cell r="T424">
            <v>70</v>
          </cell>
          <cell r="U424">
            <v>350</v>
          </cell>
        </row>
        <row r="425">
          <cell r="B425" t="str">
            <v>崩塌</v>
          </cell>
          <cell r="E425" t="str">
            <v>新北市</v>
          </cell>
          <cell r="F425" t="str">
            <v>烏來區</v>
          </cell>
          <cell r="N425" t="str">
            <v>蘇迪勒颱風</v>
          </cell>
          <cell r="T425">
            <v>70</v>
          </cell>
          <cell r="U425">
            <v>350</v>
          </cell>
        </row>
        <row r="426">
          <cell r="B426" t="str">
            <v>崩塌</v>
          </cell>
          <cell r="E426" t="str">
            <v>新北市</v>
          </cell>
          <cell r="F426" t="str">
            <v>烏來區</v>
          </cell>
          <cell r="N426" t="str">
            <v>蘇迪勒颱風</v>
          </cell>
          <cell r="T426">
            <v>70</v>
          </cell>
          <cell r="U426">
            <v>350</v>
          </cell>
        </row>
        <row r="427">
          <cell r="B427" t="str">
            <v>土石流</v>
          </cell>
          <cell r="E427" t="str">
            <v>新北市</v>
          </cell>
          <cell r="F427" t="str">
            <v>烏來區</v>
          </cell>
          <cell r="N427" t="str">
            <v>蘇迪勒颱風</v>
          </cell>
          <cell r="T427">
            <v>70</v>
          </cell>
          <cell r="U427">
            <v>350</v>
          </cell>
        </row>
        <row r="428">
          <cell r="B428" t="str">
            <v>崩塌</v>
          </cell>
          <cell r="E428" t="str">
            <v>新北市</v>
          </cell>
          <cell r="F428" t="str">
            <v>烏來區</v>
          </cell>
          <cell r="N428" t="str">
            <v>蘇迪勒颱風</v>
          </cell>
          <cell r="T428">
            <v>74</v>
          </cell>
          <cell r="U428">
            <v>487</v>
          </cell>
        </row>
        <row r="429">
          <cell r="B429" t="str">
            <v>土石流</v>
          </cell>
          <cell r="E429" t="str">
            <v>新北市</v>
          </cell>
          <cell r="F429" t="str">
            <v>烏來區</v>
          </cell>
          <cell r="N429" t="str">
            <v>蘇迪勒颱風</v>
          </cell>
          <cell r="T429">
            <v>95</v>
          </cell>
          <cell r="U429">
            <v>350</v>
          </cell>
        </row>
        <row r="430">
          <cell r="B430" t="str">
            <v>土石流</v>
          </cell>
          <cell r="E430" t="str">
            <v>宜蘭縣</v>
          </cell>
          <cell r="F430" t="str">
            <v>大同鄉</v>
          </cell>
          <cell r="N430" t="str">
            <v>蘇迪勒颱風</v>
          </cell>
          <cell r="T430">
            <v>4</v>
          </cell>
          <cell r="U430">
            <v>525</v>
          </cell>
        </row>
        <row r="431">
          <cell r="B431" t="str">
            <v>土石流</v>
          </cell>
          <cell r="E431" t="str">
            <v>桃園市</v>
          </cell>
          <cell r="F431" t="str">
            <v>復興區</v>
          </cell>
          <cell r="N431" t="str">
            <v>其他</v>
          </cell>
          <cell r="T431">
            <v>59</v>
          </cell>
          <cell r="U431">
            <v>64</v>
          </cell>
        </row>
        <row r="432">
          <cell r="B432" t="str">
            <v>崩塌</v>
          </cell>
          <cell r="E432" t="str">
            <v>南投縣</v>
          </cell>
          <cell r="F432" t="str">
            <v>仁愛鄉</v>
          </cell>
          <cell r="N432" t="str">
            <v>其他</v>
          </cell>
          <cell r="T432">
            <v>0</v>
          </cell>
          <cell r="U432">
            <v>0</v>
          </cell>
        </row>
        <row r="433">
          <cell r="B433" t="str">
            <v>崩塌</v>
          </cell>
          <cell r="E433" t="str">
            <v>新北市</v>
          </cell>
          <cell r="F433" t="str">
            <v>坪林區</v>
          </cell>
          <cell r="N433" t="str">
            <v>杜鵑颱風</v>
          </cell>
          <cell r="T433">
            <v>9</v>
          </cell>
          <cell r="U433">
            <v>366</v>
          </cell>
        </row>
        <row r="434">
          <cell r="B434" t="str">
            <v>土石流</v>
          </cell>
          <cell r="E434" t="str">
            <v>新北市</v>
          </cell>
          <cell r="F434" t="str">
            <v>坪林區</v>
          </cell>
          <cell r="N434" t="str">
            <v>杜鵑颱風</v>
          </cell>
          <cell r="T434">
            <v>25</v>
          </cell>
          <cell r="U434">
            <v>357</v>
          </cell>
        </row>
        <row r="435">
          <cell r="B435" t="str">
            <v>崩塌</v>
          </cell>
          <cell r="E435" t="str">
            <v>新北市</v>
          </cell>
          <cell r="F435" t="str">
            <v>烏來區</v>
          </cell>
          <cell r="N435" t="str">
            <v>杜鵑颱風</v>
          </cell>
          <cell r="T435">
            <v>31</v>
          </cell>
          <cell r="U435">
            <v>374</v>
          </cell>
        </row>
        <row r="436">
          <cell r="B436" t="str">
            <v>崩塌</v>
          </cell>
          <cell r="E436" t="str">
            <v>基隆市</v>
          </cell>
          <cell r="F436" t="str">
            <v>仁愛區</v>
          </cell>
          <cell r="N436" t="str">
            <v>其他</v>
          </cell>
          <cell r="T436">
            <v>7.5</v>
          </cell>
          <cell r="U436">
            <v>346</v>
          </cell>
        </row>
        <row r="437">
          <cell r="B437" t="str">
            <v>崩塌</v>
          </cell>
          <cell r="E437" t="str">
            <v>新北市</v>
          </cell>
          <cell r="F437" t="str">
            <v>汐止區</v>
          </cell>
          <cell r="N437" t="str">
            <v>其他</v>
          </cell>
          <cell r="T437">
            <v>7</v>
          </cell>
          <cell r="U437">
            <v>114.5</v>
          </cell>
        </row>
        <row r="438">
          <cell r="B438" t="str">
            <v>崩塌</v>
          </cell>
          <cell r="E438" t="str">
            <v>新竹縣</v>
          </cell>
          <cell r="F438" t="str">
            <v>尖石鄉</v>
          </cell>
          <cell r="N438" t="str">
            <v>其他</v>
          </cell>
          <cell r="T438">
            <v>0</v>
          </cell>
          <cell r="U438">
            <v>0</v>
          </cell>
        </row>
        <row r="439">
          <cell r="B439" t="str">
            <v>崩塌,沖蝕</v>
          </cell>
          <cell r="E439" t="str">
            <v>桃園市</v>
          </cell>
          <cell r="F439" t="str">
            <v>復興區</v>
          </cell>
          <cell r="N439" t="str">
            <v>梅姬颱風</v>
          </cell>
          <cell r="T439">
            <v>56</v>
          </cell>
          <cell r="U439">
            <v>329</v>
          </cell>
        </row>
        <row r="440">
          <cell r="B440" t="str">
            <v>崩塌,沖蝕</v>
          </cell>
          <cell r="E440" t="str">
            <v>高雄市</v>
          </cell>
          <cell r="F440" t="str">
            <v>燕巢區</v>
          </cell>
          <cell r="N440" t="str">
            <v>梅姬颱風</v>
          </cell>
          <cell r="T440">
            <v>0</v>
          </cell>
          <cell r="U440">
            <v>474</v>
          </cell>
        </row>
        <row r="441">
          <cell r="B441" t="str">
            <v>崩塌</v>
          </cell>
          <cell r="E441" t="str">
            <v>嘉義縣</v>
          </cell>
          <cell r="F441" t="str">
            <v>竹崎鄉</v>
          </cell>
          <cell r="N441" t="str">
            <v>梅姬颱風</v>
          </cell>
          <cell r="T441">
            <v>43</v>
          </cell>
          <cell r="U441">
            <v>314</v>
          </cell>
        </row>
        <row r="442">
          <cell r="B442" t="str">
            <v>崩塌、土石流</v>
          </cell>
          <cell r="E442" t="str">
            <v>高雄市</v>
          </cell>
          <cell r="F442" t="str">
            <v>旗山區</v>
          </cell>
          <cell r="N442" t="str">
            <v>梅姬颱風</v>
          </cell>
          <cell r="T442">
            <v>51.5</v>
          </cell>
          <cell r="U442">
            <v>368</v>
          </cell>
        </row>
        <row r="443">
          <cell r="B443" t="str">
            <v>土石流</v>
          </cell>
          <cell r="E443" t="str">
            <v>嘉義縣</v>
          </cell>
          <cell r="F443" t="str">
            <v>竹崎鄉</v>
          </cell>
          <cell r="N443" t="str">
            <v>梅姬颱風</v>
          </cell>
          <cell r="T443">
            <v>28.5</v>
          </cell>
          <cell r="U443">
            <v>325.5</v>
          </cell>
        </row>
        <row r="444">
          <cell r="B444" t="str">
            <v>土石流</v>
          </cell>
          <cell r="E444" t="str">
            <v>高雄市</v>
          </cell>
          <cell r="F444" t="str">
            <v>六龜區</v>
          </cell>
          <cell r="N444" t="str">
            <v>梅姬颱風</v>
          </cell>
          <cell r="T444">
            <v>73.5</v>
          </cell>
          <cell r="U444">
            <v>245.5</v>
          </cell>
        </row>
        <row r="445">
          <cell r="B445" t="str">
            <v>土石流</v>
          </cell>
          <cell r="E445" t="str">
            <v>新北市</v>
          </cell>
          <cell r="F445" t="str">
            <v>新店區</v>
          </cell>
          <cell r="N445" t="str">
            <v>梅姬颱風</v>
          </cell>
          <cell r="T445">
            <v>37</v>
          </cell>
          <cell r="U445">
            <v>293</v>
          </cell>
        </row>
        <row r="446">
          <cell r="B446" t="str">
            <v>崩塌、土石流</v>
          </cell>
          <cell r="E446" t="str">
            <v>臺東縣</v>
          </cell>
          <cell r="F446" t="str">
            <v>大武鄉</v>
          </cell>
          <cell r="N446" t="str">
            <v>莫蘭蒂颱風</v>
          </cell>
          <cell r="T446">
            <v>0.5</v>
          </cell>
          <cell r="U446">
            <v>156.5</v>
          </cell>
        </row>
        <row r="447">
          <cell r="B447" t="str">
            <v>崩塌、土石流</v>
          </cell>
          <cell r="E447" t="str">
            <v>臺東縣</v>
          </cell>
          <cell r="F447" t="str">
            <v>延平鄉</v>
          </cell>
          <cell r="N447" t="str">
            <v>莫蘭蒂颱風</v>
          </cell>
          <cell r="T447">
            <v>19</v>
          </cell>
          <cell r="U447">
            <v>513.5</v>
          </cell>
        </row>
        <row r="448">
          <cell r="B448" t="str">
            <v>崩塌,地滑</v>
          </cell>
          <cell r="E448" t="str">
            <v>嘉義縣</v>
          </cell>
          <cell r="F448" t="str">
            <v>中埔鄉</v>
          </cell>
          <cell r="N448" t="str">
            <v>其他</v>
          </cell>
          <cell r="T448">
            <v>0</v>
          </cell>
          <cell r="U448">
            <v>67</v>
          </cell>
        </row>
        <row r="449">
          <cell r="B449" t="str">
            <v>土石流</v>
          </cell>
          <cell r="E449" t="str">
            <v>臺南市</v>
          </cell>
          <cell r="F449" t="str">
            <v>楠西區</v>
          </cell>
          <cell r="N449" t="str">
            <v>其他</v>
          </cell>
          <cell r="T449">
            <v>31</v>
          </cell>
          <cell r="U449">
            <v>84</v>
          </cell>
        </row>
        <row r="450">
          <cell r="B450" t="str">
            <v>崩塌</v>
          </cell>
          <cell r="E450" t="str">
            <v>嘉義縣</v>
          </cell>
          <cell r="F450" t="str">
            <v>中埔鄉</v>
          </cell>
          <cell r="N450" t="str">
            <v>其他</v>
          </cell>
          <cell r="T450">
            <v>0</v>
          </cell>
          <cell r="U450">
            <v>72</v>
          </cell>
        </row>
        <row r="451">
          <cell r="B451" t="str">
            <v>崩塌</v>
          </cell>
          <cell r="E451" t="str">
            <v>桃園市</v>
          </cell>
          <cell r="F451" t="str">
            <v>復興區</v>
          </cell>
          <cell r="N451" t="str">
            <v>其他</v>
          </cell>
          <cell r="T451">
            <v>0</v>
          </cell>
          <cell r="U451">
            <v>5</v>
          </cell>
        </row>
        <row r="452">
          <cell r="B452" t="str">
            <v>崩塌</v>
          </cell>
          <cell r="E452" t="str">
            <v>臺東縣</v>
          </cell>
          <cell r="F452" t="str">
            <v>東河鄉</v>
          </cell>
          <cell r="N452" t="str">
            <v>尼伯特颱風</v>
          </cell>
          <cell r="T452">
            <v>0.5</v>
          </cell>
          <cell r="U452">
            <v>255.5</v>
          </cell>
        </row>
        <row r="453">
          <cell r="B453" t="str">
            <v>土石流</v>
          </cell>
          <cell r="E453" t="str">
            <v>屏東縣</v>
          </cell>
          <cell r="F453" t="str">
            <v>霧臺鄉</v>
          </cell>
          <cell r="N453" t="str">
            <v>0611豪雨</v>
          </cell>
          <cell r="T453">
            <v>2.5</v>
          </cell>
          <cell r="U453">
            <v>165</v>
          </cell>
        </row>
        <row r="454">
          <cell r="B454" t="str">
            <v>崩塌,地滑</v>
          </cell>
          <cell r="E454" t="str">
            <v>新竹縣</v>
          </cell>
          <cell r="F454" t="str">
            <v>寶山鄉</v>
          </cell>
          <cell r="N454" t="str">
            <v>其他</v>
          </cell>
          <cell r="T454">
            <v>0</v>
          </cell>
          <cell r="U454">
            <v>0</v>
          </cell>
        </row>
        <row r="455">
          <cell r="B455" t="str">
            <v>崩塌</v>
          </cell>
          <cell r="E455" t="str">
            <v>南投縣</v>
          </cell>
          <cell r="F455" t="str">
            <v>信義鄉</v>
          </cell>
          <cell r="N455" t="str">
            <v>0601豪雨</v>
          </cell>
          <cell r="T455">
            <v>17</v>
          </cell>
          <cell r="U455">
            <v>430</v>
          </cell>
        </row>
        <row r="456">
          <cell r="B456" t="str">
            <v>崩塌、土石流</v>
          </cell>
          <cell r="E456" t="str">
            <v>雲林縣</v>
          </cell>
          <cell r="F456" t="str">
            <v>古坑鄉</v>
          </cell>
          <cell r="N456" t="str">
            <v>0601豪雨</v>
          </cell>
          <cell r="T456">
            <v>54</v>
          </cell>
          <cell r="U456">
            <v>614</v>
          </cell>
        </row>
        <row r="457">
          <cell r="B457" t="str">
            <v>崩塌</v>
          </cell>
          <cell r="E457" t="str">
            <v>南投縣</v>
          </cell>
          <cell r="F457" t="str">
            <v>鹿谷鄉</v>
          </cell>
          <cell r="N457" t="str">
            <v>0601豪雨</v>
          </cell>
          <cell r="T457">
            <v>47</v>
          </cell>
          <cell r="U457">
            <v>605</v>
          </cell>
        </row>
        <row r="458">
          <cell r="B458" t="str">
            <v>洪水</v>
          </cell>
          <cell r="E458" t="str">
            <v>南投縣</v>
          </cell>
          <cell r="F458" t="str">
            <v>信義鄉</v>
          </cell>
          <cell r="N458" t="str">
            <v>0601豪雨</v>
          </cell>
          <cell r="T458">
            <v>10</v>
          </cell>
          <cell r="U458">
            <v>550</v>
          </cell>
        </row>
        <row r="459">
          <cell r="B459" t="str">
            <v>崩塌</v>
          </cell>
          <cell r="E459" t="str">
            <v>南投縣</v>
          </cell>
          <cell r="F459" t="str">
            <v>水里鄉</v>
          </cell>
          <cell r="N459" t="str">
            <v>0601豪雨</v>
          </cell>
          <cell r="T459">
            <v>43</v>
          </cell>
          <cell r="U459">
            <v>270</v>
          </cell>
        </row>
        <row r="460">
          <cell r="B460" t="str">
            <v>崩塌、土石流</v>
          </cell>
          <cell r="E460" t="str">
            <v>南投縣</v>
          </cell>
          <cell r="F460" t="str">
            <v>埔里鎮</v>
          </cell>
          <cell r="N460" t="str">
            <v>0601豪雨</v>
          </cell>
          <cell r="T460">
            <v>23</v>
          </cell>
          <cell r="U460">
            <v>318</v>
          </cell>
        </row>
        <row r="461">
          <cell r="B461" t="str">
            <v>崩塌</v>
          </cell>
          <cell r="E461" t="str">
            <v>南投縣</v>
          </cell>
          <cell r="F461" t="str">
            <v>仁愛鄉</v>
          </cell>
          <cell r="N461" t="str">
            <v>0601豪雨</v>
          </cell>
          <cell r="T461">
            <v>16</v>
          </cell>
          <cell r="U461">
            <v>300</v>
          </cell>
        </row>
        <row r="462">
          <cell r="B462" t="str">
            <v>崩塌</v>
          </cell>
          <cell r="E462" t="str">
            <v>南投縣</v>
          </cell>
          <cell r="F462" t="str">
            <v>仁愛鄉</v>
          </cell>
          <cell r="N462" t="str">
            <v>0601豪雨</v>
          </cell>
          <cell r="T462">
            <v>20</v>
          </cell>
          <cell r="U462">
            <v>240</v>
          </cell>
        </row>
        <row r="463">
          <cell r="B463" t="str">
            <v>崩塌、土石流</v>
          </cell>
          <cell r="E463" t="str">
            <v>新北市</v>
          </cell>
          <cell r="F463" t="str">
            <v>金山區</v>
          </cell>
          <cell r="N463" t="str">
            <v>0601豪雨</v>
          </cell>
          <cell r="T463">
            <v>29</v>
          </cell>
          <cell r="U463">
            <v>564</v>
          </cell>
        </row>
        <row r="464">
          <cell r="B464" t="str">
            <v>崩塌</v>
          </cell>
          <cell r="E464" t="str">
            <v>南投縣</v>
          </cell>
          <cell r="F464" t="str">
            <v>國姓鄉</v>
          </cell>
          <cell r="N464" t="str">
            <v>0613豪雨</v>
          </cell>
          <cell r="T464">
            <v>7.5</v>
          </cell>
          <cell r="U464">
            <v>275</v>
          </cell>
        </row>
        <row r="465">
          <cell r="B465" t="str">
            <v>崩塌</v>
          </cell>
          <cell r="E465" t="str">
            <v>苗栗縣</v>
          </cell>
          <cell r="F465" t="str">
            <v>泰安鄉</v>
          </cell>
          <cell r="N465" t="str">
            <v>0613豪雨</v>
          </cell>
          <cell r="T465">
            <v>5</v>
          </cell>
          <cell r="U465">
            <v>190</v>
          </cell>
        </row>
        <row r="466">
          <cell r="B466" t="str">
            <v>洪水</v>
          </cell>
          <cell r="E466" t="str">
            <v>宜蘭縣</v>
          </cell>
          <cell r="F466" t="str">
            <v>大同鄉</v>
          </cell>
          <cell r="N466" t="str">
            <v>尼莎暨海棠颱風</v>
          </cell>
          <cell r="T466">
            <v>41</v>
          </cell>
          <cell r="U466">
            <v>174</v>
          </cell>
        </row>
        <row r="467">
          <cell r="B467" t="str">
            <v>崩塌</v>
          </cell>
          <cell r="E467" t="str">
            <v>南投縣</v>
          </cell>
          <cell r="F467" t="str">
            <v>信義鄉</v>
          </cell>
          <cell r="N467" t="str">
            <v>尼莎暨海棠颱風</v>
          </cell>
          <cell r="T467">
            <v>0</v>
          </cell>
          <cell r="U467">
            <v>150</v>
          </cell>
        </row>
        <row r="468">
          <cell r="B468" t="str">
            <v>土石流</v>
          </cell>
          <cell r="E468" t="str">
            <v>屏東縣</v>
          </cell>
          <cell r="F468" t="str">
            <v>枋山鄉</v>
          </cell>
          <cell r="N468" t="str">
            <v>尼莎暨海棠颱風</v>
          </cell>
          <cell r="T468">
            <v>25</v>
          </cell>
          <cell r="U468">
            <v>327</v>
          </cell>
        </row>
        <row r="469">
          <cell r="B469" t="str">
            <v>洪水</v>
          </cell>
          <cell r="E469" t="str">
            <v>宜蘭縣</v>
          </cell>
          <cell r="F469" t="str">
            <v>大同鄉</v>
          </cell>
          <cell r="N469" t="str">
            <v>1011豪雨</v>
          </cell>
          <cell r="T469">
            <v>8</v>
          </cell>
          <cell r="U469">
            <v>148</v>
          </cell>
        </row>
        <row r="470">
          <cell r="B470" t="str">
            <v>崩塌</v>
          </cell>
          <cell r="E470" t="str">
            <v>新北市</v>
          </cell>
          <cell r="F470" t="str">
            <v>汐止區</v>
          </cell>
          <cell r="N470" t="str">
            <v>1011豪雨</v>
          </cell>
          <cell r="T470">
            <v>3</v>
          </cell>
          <cell r="U470">
            <v>441</v>
          </cell>
        </row>
        <row r="471">
          <cell r="B471" t="str">
            <v>崩塌</v>
          </cell>
          <cell r="E471" t="str">
            <v>新北市</v>
          </cell>
          <cell r="F471" t="str">
            <v>汐止區</v>
          </cell>
          <cell r="N471" t="str">
            <v>1011豪雨</v>
          </cell>
          <cell r="T471">
            <v>24</v>
          </cell>
          <cell r="U471">
            <v>354</v>
          </cell>
        </row>
        <row r="472">
          <cell r="B472" t="str">
            <v>崩塌、洪水</v>
          </cell>
          <cell r="E472" t="str">
            <v>臺東縣</v>
          </cell>
          <cell r="F472" t="str">
            <v>東河鄉</v>
          </cell>
          <cell r="N472" t="str">
            <v>1011豪雨</v>
          </cell>
          <cell r="T472">
            <v>58</v>
          </cell>
          <cell r="U472">
            <v>290</v>
          </cell>
        </row>
        <row r="473">
          <cell r="B473" t="str">
            <v>土石流</v>
          </cell>
          <cell r="E473" t="str">
            <v>臺東縣</v>
          </cell>
          <cell r="F473" t="str">
            <v>卑南鄉</v>
          </cell>
          <cell r="N473" t="str">
            <v>1011豪雨</v>
          </cell>
          <cell r="T473">
            <v>393</v>
          </cell>
          <cell r="U473">
            <v>78</v>
          </cell>
        </row>
        <row r="474">
          <cell r="B474" t="str">
            <v>崩塌、洪水</v>
          </cell>
          <cell r="E474" t="str">
            <v>臺東縣</v>
          </cell>
          <cell r="F474" t="str">
            <v>卑南鄉</v>
          </cell>
          <cell r="N474" t="str">
            <v>1011豪雨</v>
          </cell>
          <cell r="T474">
            <v>393</v>
          </cell>
          <cell r="U474">
            <v>78</v>
          </cell>
        </row>
        <row r="475">
          <cell r="B475" t="str">
            <v>崩塌、洪水</v>
          </cell>
          <cell r="E475" t="str">
            <v>臺東縣</v>
          </cell>
          <cell r="F475" t="str">
            <v>池上鄉</v>
          </cell>
          <cell r="N475" t="str">
            <v>1011豪雨</v>
          </cell>
          <cell r="T475">
            <v>5</v>
          </cell>
          <cell r="U475">
            <v>150</v>
          </cell>
        </row>
        <row r="476">
          <cell r="B476" t="str">
            <v>崩塌</v>
          </cell>
          <cell r="E476" t="str">
            <v>屏東縣</v>
          </cell>
          <cell r="F476" t="str">
            <v>獅子鄉</v>
          </cell>
          <cell r="N476" t="str">
            <v>0823豪雨</v>
          </cell>
          <cell r="T476">
            <v>35</v>
          </cell>
          <cell r="U476">
            <v>178</v>
          </cell>
        </row>
        <row r="477">
          <cell r="B477" t="str">
            <v>土石流、洪水</v>
          </cell>
          <cell r="E477" t="str">
            <v>屏東縣</v>
          </cell>
          <cell r="F477" t="str">
            <v>獅子鄉</v>
          </cell>
          <cell r="N477" t="str">
            <v>0823豪雨</v>
          </cell>
          <cell r="T477">
            <v>35</v>
          </cell>
          <cell r="U477">
            <v>178</v>
          </cell>
        </row>
        <row r="478">
          <cell r="B478" t="str">
            <v>崩塌</v>
          </cell>
          <cell r="E478" t="str">
            <v>臺南市</v>
          </cell>
          <cell r="F478" t="str">
            <v>左鎮區</v>
          </cell>
          <cell r="N478" t="str">
            <v>0823豪雨</v>
          </cell>
          <cell r="T478">
            <v>15</v>
          </cell>
          <cell r="U478">
            <v>475</v>
          </cell>
        </row>
        <row r="479">
          <cell r="B479" t="str">
            <v>崩塌</v>
          </cell>
          <cell r="E479" t="str">
            <v>高雄市</v>
          </cell>
          <cell r="F479" t="str">
            <v>桃源區</v>
          </cell>
          <cell r="N479" t="str">
            <v>0823豪雨</v>
          </cell>
          <cell r="T479">
            <v>5</v>
          </cell>
          <cell r="U479">
            <v>550</v>
          </cell>
        </row>
        <row r="480">
          <cell r="B480" t="str">
            <v>土石流</v>
          </cell>
          <cell r="E480" t="str">
            <v>臺中市</v>
          </cell>
          <cell r="F480" t="str">
            <v>和平區</v>
          </cell>
          <cell r="N480" t="str">
            <v>0520豪雨</v>
          </cell>
          <cell r="T480">
            <v>11</v>
          </cell>
          <cell r="U480">
            <v>491</v>
          </cell>
        </row>
        <row r="481">
          <cell r="B481" t="str">
            <v>崩塌、沖蝕</v>
          </cell>
          <cell r="E481" t="str">
            <v>臺中市</v>
          </cell>
          <cell r="F481" t="str">
            <v>太平區</v>
          </cell>
          <cell r="N481" t="str">
            <v>0611豪雨</v>
          </cell>
          <cell r="T481">
            <v>40</v>
          </cell>
          <cell r="U481">
            <v>133</v>
          </cell>
        </row>
        <row r="482">
          <cell r="B482" t="str">
            <v>沖蝕</v>
          </cell>
          <cell r="E482" t="str">
            <v>南投縣</v>
          </cell>
          <cell r="F482" t="str">
            <v>國姓鄉</v>
          </cell>
          <cell r="N482" t="str">
            <v>0611豪雨</v>
          </cell>
          <cell r="T482">
            <v>45</v>
          </cell>
          <cell r="U482">
            <v>114</v>
          </cell>
        </row>
        <row r="483">
          <cell r="B483" t="str">
            <v>沖蝕</v>
          </cell>
          <cell r="E483" t="str">
            <v>南投縣</v>
          </cell>
          <cell r="F483" t="str">
            <v>國姓鄉</v>
          </cell>
          <cell r="N483" t="str">
            <v>0611豪雨</v>
          </cell>
          <cell r="T483">
            <v>36</v>
          </cell>
          <cell r="U483">
            <v>60</v>
          </cell>
        </row>
        <row r="484">
          <cell r="B484" t="str">
            <v>地滑、山崩</v>
          </cell>
          <cell r="E484" t="str">
            <v>臺中市</v>
          </cell>
          <cell r="F484" t="str">
            <v>豐原區</v>
          </cell>
          <cell r="N484" t="str">
            <v>其他</v>
          </cell>
          <cell r="T484">
            <v>0</v>
          </cell>
          <cell r="U484">
            <v>120</v>
          </cell>
        </row>
        <row r="485">
          <cell r="B485" t="str">
            <v>崩塌、沖蝕</v>
          </cell>
          <cell r="E485" t="str">
            <v>苗栗縣</v>
          </cell>
          <cell r="F485" t="str">
            <v>泰安鄉</v>
          </cell>
          <cell r="N485" t="str">
            <v>其他</v>
          </cell>
          <cell r="T485">
            <v>3</v>
          </cell>
          <cell r="U485">
            <v>181</v>
          </cell>
        </row>
        <row r="486">
          <cell r="B486" t="str">
            <v>崩塌</v>
          </cell>
          <cell r="E486" t="str">
            <v>桃園市</v>
          </cell>
          <cell r="F486" t="str">
            <v>復興區</v>
          </cell>
          <cell r="N486" t="str">
            <v>其他</v>
          </cell>
          <cell r="T486">
            <v>0</v>
          </cell>
          <cell r="U486">
            <v>76</v>
          </cell>
        </row>
        <row r="487">
          <cell r="B487" t="str">
            <v>崩塌</v>
          </cell>
          <cell r="E487" t="str">
            <v>高雄市</v>
          </cell>
          <cell r="F487" t="str">
            <v>茂林區</v>
          </cell>
          <cell r="N487" t="str">
            <v>其他</v>
          </cell>
          <cell r="T487">
            <v>0</v>
          </cell>
          <cell r="U487">
            <v>63</v>
          </cell>
        </row>
        <row r="488">
          <cell r="B488" t="str">
            <v>崩塌</v>
          </cell>
          <cell r="E488" t="str">
            <v>苗栗縣</v>
          </cell>
          <cell r="F488" t="str">
            <v>泰安鄉</v>
          </cell>
          <cell r="N488" t="str">
            <v>其他</v>
          </cell>
          <cell r="T488">
            <v>0</v>
          </cell>
          <cell r="U488">
            <v>62</v>
          </cell>
        </row>
        <row r="489">
          <cell r="B489" t="str">
            <v>土石流</v>
          </cell>
          <cell r="E489" t="str">
            <v>嘉義縣</v>
          </cell>
          <cell r="F489" t="str">
            <v>中埔鄉</v>
          </cell>
          <cell r="N489" t="str">
            <v>利奇馬颱風</v>
          </cell>
          <cell r="T489">
            <v>6</v>
          </cell>
          <cell r="U489">
            <v>98</v>
          </cell>
        </row>
        <row r="490">
          <cell r="B490" t="str">
            <v>沖蝕</v>
          </cell>
          <cell r="E490" t="str">
            <v>高雄市</v>
          </cell>
          <cell r="F490" t="str">
            <v>那瑪夏區</v>
          </cell>
          <cell r="N490" t="str">
            <v>利奇馬颱風</v>
          </cell>
          <cell r="T490">
            <v>12</v>
          </cell>
          <cell r="U490">
            <v>337</v>
          </cell>
        </row>
        <row r="491">
          <cell r="B491" t="str">
            <v>崩塌、沖蝕</v>
          </cell>
          <cell r="E491" t="str">
            <v>雲林縣</v>
          </cell>
          <cell r="F491" t="str">
            <v>古坑鄉</v>
          </cell>
          <cell r="N491" t="str">
            <v>利奇馬颱風</v>
          </cell>
          <cell r="T491">
            <v>10</v>
          </cell>
          <cell r="U491">
            <v>210</v>
          </cell>
        </row>
        <row r="492">
          <cell r="B492" t="str">
            <v>沖蝕</v>
          </cell>
          <cell r="E492" t="str">
            <v>臺中市</v>
          </cell>
          <cell r="F492" t="str">
            <v>東勢區</v>
          </cell>
          <cell r="N492" t="str">
            <v>利奇馬颱風</v>
          </cell>
          <cell r="T492">
            <v>4</v>
          </cell>
          <cell r="U492">
            <v>49</v>
          </cell>
        </row>
        <row r="493">
          <cell r="B493" t="str">
            <v>沖蝕</v>
          </cell>
          <cell r="E493" t="str">
            <v>南投縣</v>
          </cell>
          <cell r="F493" t="str">
            <v>仁愛鄉</v>
          </cell>
          <cell r="N493" t="str">
            <v>0815豪雨</v>
          </cell>
          <cell r="T493">
            <v>9</v>
          </cell>
          <cell r="U493">
            <v>154</v>
          </cell>
        </row>
        <row r="494">
          <cell r="B494" t="str">
            <v>沖蝕</v>
          </cell>
          <cell r="E494" t="str">
            <v>屏東縣</v>
          </cell>
          <cell r="F494" t="str">
            <v>霧臺鄉</v>
          </cell>
          <cell r="N494" t="str">
            <v>0815豪雨</v>
          </cell>
          <cell r="T494">
            <v>18</v>
          </cell>
          <cell r="U494">
            <v>328</v>
          </cell>
        </row>
        <row r="495">
          <cell r="B495" t="str">
            <v>山崩、土石流</v>
          </cell>
          <cell r="E495" t="str">
            <v>南投縣</v>
          </cell>
          <cell r="F495" t="str">
            <v>名間鄉</v>
          </cell>
          <cell r="N495" t="str">
            <v>0815豪雨</v>
          </cell>
          <cell r="T495">
            <v>10</v>
          </cell>
          <cell r="U495">
            <v>225</v>
          </cell>
        </row>
        <row r="496">
          <cell r="B496" t="str">
            <v>地滑、山崩</v>
          </cell>
          <cell r="E496" t="str">
            <v>南投縣</v>
          </cell>
          <cell r="F496" t="str">
            <v>國姓鄉</v>
          </cell>
          <cell r="N496" t="str">
            <v>0815豪雨</v>
          </cell>
          <cell r="T496">
            <v>18</v>
          </cell>
          <cell r="U496">
            <v>258</v>
          </cell>
        </row>
        <row r="497">
          <cell r="B497" t="str">
            <v>土石流</v>
          </cell>
          <cell r="E497" t="str">
            <v>嘉義縣</v>
          </cell>
          <cell r="F497" t="str">
            <v>中埔鄉</v>
          </cell>
          <cell r="N497" t="str">
            <v>0815豪雨</v>
          </cell>
          <cell r="T497">
            <v>20</v>
          </cell>
          <cell r="U497">
            <v>173</v>
          </cell>
        </row>
        <row r="498">
          <cell r="B498" t="str">
            <v>崩塌、沖蝕</v>
          </cell>
          <cell r="E498" t="str">
            <v>高雄市</v>
          </cell>
          <cell r="F498" t="str">
            <v>六龜區</v>
          </cell>
          <cell r="N498" t="str">
            <v>0815豪雨</v>
          </cell>
          <cell r="T498">
            <v>23</v>
          </cell>
          <cell r="U498">
            <v>326</v>
          </cell>
        </row>
        <row r="499">
          <cell r="B499" t="str">
            <v>崩塌</v>
          </cell>
          <cell r="E499" t="str">
            <v>臺南市</v>
          </cell>
          <cell r="F499" t="str">
            <v>六甲區</v>
          </cell>
          <cell r="N499" t="str">
            <v>0815豪雨</v>
          </cell>
          <cell r="T499">
            <v>19</v>
          </cell>
          <cell r="U499">
            <v>120</v>
          </cell>
        </row>
        <row r="500">
          <cell r="B500" t="str">
            <v>崩塌</v>
          </cell>
          <cell r="E500" t="str">
            <v>南投縣</v>
          </cell>
          <cell r="F500" t="str">
            <v>仁愛鄉</v>
          </cell>
          <cell r="N500" t="str">
            <v>0522豪雨</v>
          </cell>
          <cell r="T500">
            <v>14</v>
          </cell>
          <cell r="U500">
            <v>112</v>
          </cell>
        </row>
        <row r="501">
          <cell r="B501" t="str">
            <v>崩塌(山崩)</v>
          </cell>
          <cell r="E501" t="str">
            <v>新北市</v>
          </cell>
          <cell r="F501" t="str">
            <v>瑞芳區</v>
          </cell>
          <cell r="N501" t="str">
            <v>其它</v>
          </cell>
          <cell r="T501">
            <v>11</v>
          </cell>
          <cell r="U501">
            <v>215</v>
          </cell>
        </row>
        <row r="502">
          <cell r="B502" t="str">
            <v>崩塌(山崩)</v>
          </cell>
          <cell r="E502" t="str">
            <v>臺中市</v>
          </cell>
          <cell r="F502" t="str">
            <v>和平區</v>
          </cell>
          <cell r="N502" t="str">
            <v>其它</v>
          </cell>
          <cell r="T502">
            <v>0</v>
          </cell>
          <cell r="U502">
            <v>22</v>
          </cell>
        </row>
        <row r="503">
          <cell r="B503" t="str">
            <v>崩塌(山崩)</v>
          </cell>
          <cell r="E503" t="str">
            <v>南投縣</v>
          </cell>
          <cell r="F503" t="str">
            <v>仁愛鄉</v>
          </cell>
          <cell r="N503" t="str">
            <v>彩雲颱風暨 0605 豪雨</v>
          </cell>
          <cell r="T503">
            <v>3</v>
          </cell>
          <cell r="U503">
            <v>144</v>
          </cell>
          <cell r="X503">
            <v>0.03</v>
          </cell>
        </row>
        <row r="504">
          <cell r="B504" t="str">
            <v>崩塌(山崩)</v>
          </cell>
          <cell r="E504" t="str">
            <v>南投縣</v>
          </cell>
          <cell r="F504" t="str">
            <v>仁愛鄉</v>
          </cell>
          <cell r="N504" t="str">
            <v>彩雲颱風暨 0605 豪雨</v>
          </cell>
          <cell r="T504">
            <v>11</v>
          </cell>
          <cell r="U504">
            <v>75</v>
          </cell>
          <cell r="X504">
            <v>0.3</v>
          </cell>
        </row>
        <row r="505">
          <cell r="B505" t="str">
            <v>崩塌(山崩)</v>
          </cell>
          <cell r="E505" t="str">
            <v>南投縣</v>
          </cell>
          <cell r="F505" t="str">
            <v>仁愛鄉</v>
          </cell>
          <cell r="N505" t="str">
            <v>彩雲颱風暨 0605 豪雨</v>
          </cell>
          <cell r="T505">
            <v>0</v>
          </cell>
          <cell r="U505">
            <v>134</v>
          </cell>
          <cell r="X505">
            <v>0.1</v>
          </cell>
        </row>
        <row r="506">
          <cell r="B506" t="str">
            <v>崩塌(山崩)</v>
          </cell>
          <cell r="E506" t="str">
            <v>苗栗縣</v>
          </cell>
          <cell r="F506" t="str">
            <v>南庄鄉</v>
          </cell>
          <cell r="N506" t="str">
            <v>其他</v>
          </cell>
          <cell r="T506">
            <v>0</v>
          </cell>
          <cell r="U506">
            <v>140</v>
          </cell>
          <cell r="X506">
            <v>0.1</v>
          </cell>
        </row>
        <row r="507">
          <cell r="B507" t="str">
            <v>崩塌(山崩)</v>
          </cell>
          <cell r="E507" t="str">
            <v>苗栗縣</v>
          </cell>
          <cell r="F507" t="str">
            <v>大湖鄉</v>
          </cell>
          <cell r="N507" t="str">
            <v>其他</v>
          </cell>
          <cell r="T507">
            <v>0</v>
          </cell>
          <cell r="U507">
            <v>56</v>
          </cell>
          <cell r="X507">
            <v>0.33</v>
          </cell>
        </row>
        <row r="508">
          <cell r="B508" t="str">
            <v>崩塌(山崩)</v>
          </cell>
          <cell r="E508" t="str">
            <v>高雄市</v>
          </cell>
          <cell r="F508" t="str">
            <v>旗山區</v>
          </cell>
          <cell r="N508" t="str">
            <v>其他</v>
          </cell>
          <cell r="T508">
            <v>24</v>
          </cell>
          <cell r="U508">
            <v>171.5</v>
          </cell>
          <cell r="X508">
            <v>0.21</v>
          </cell>
        </row>
        <row r="509">
          <cell r="B509" t="str">
            <v>崩塌(山崩)</v>
          </cell>
          <cell r="E509" t="str">
            <v>高雄市</v>
          </cell>
          <cell r="F509" t="str">
            <v>桃源區</v>
          </cell>
          <cell r="N509" t="str">
            <v>其他</v>
          </cell>
          <cell r="T509">
            <v>10</v>
          </cell>
          <cell r="U509">
            <v>169.4</v>
          </cell>
          <cell r="X509">
            <v>1.02</v>
          </cell>
        </row>
        <row r="510">
          <cell r="B510" t="str">
            <v>崩塌(山崩)</v>
          </cell>
          <cell r="E510" t="str">
            <v>南投縣</v>
          </cell>
          <cell r="F510" t="str">
            <v>集集鎮</v>
          </cell>
          <cell r="N510" t="str">
            <v>其他</v>
          </cell>
          <cell r="T510">
            <v>0</v>
          </cell>
          <cell r="U510">
            <v>9.4499999999999993</v>
          </cell>
          <cell r="X510">
            <v>1.04</v>
          </cell>
        </row>
        <row r="511">
          <cell r="B511" t="str">
            <v>崩塌(山崩)</v>
          </cell>
          <cell r="E511" t="str">
            <v>新竹縣</v>
          </cell>
          <cell r="F511" t="str">
            <v>尖石鄉</v>
          </cell>
          <cell r="N511" t="str">
            <v>其他</v>
          </cell>
          <cell r="T511">
            <v>0</v>
          </cell>
          <cell r="U511">
            <v>77</v>
          </cell>
          <cell r="X511">
            <v>4.2</v>
          </cell>
        </row>
        <row r="512">
          <cell r="B512" t="str">
            <v>崩塌(山崩)</v>
          </cell>
          <cell r="E512" t="str">
            <v>桃園市</v>
          </cell>
          <cell r="F512" t="str">
            <v>復興區</v>
          </cell>
          <cell r="N512" t="str">
            <v>0621豪雨</v>
          </cell>
          <cell r="T512">
            <v>0</v>
          </cell>
          <cell r="U512">
            <v>25</v>
          </cell>
          <cell r="X512">
            <v>0.4</v>
          </cell>
        </row>
        <row r="513">
          <cell r="B513" t="str">
            <v>崩塌(山崩)</v>
          </cell>
          <cell r="E513" t="str">
            <v>嘉義縣</v>
          </cell>
          <cell r="F513" t="str">
            <v>大埔鄉</v>
          </cell>
          <cell r="N513" t="str">
            <v>0621豪雨</v>
          </cell>
          <cell r="T513">
            <v>38</v>
          </cell>
          <cell r="U513">
            <v>148</v>
          </cell>
          <cell r="X513">
            <v>0.2</v>
          </cell>
        </row>
        <row r="514">
          <cell r="B514" t="str">
            <v>崩塌(山崩)</v>
          </cell>
          <cell r="E514" t="str">
            <v>嘉義縣</v>
          </cell>
          <cell r="F514" t="str">
            <v>竹崎鄉</v>
          </cell>
          <cell r="N514" t="str">
            <v>0731豪雨</v>
          </cell>
          <cell r="T514">
            <v>6</v>
          </cell>
          <cell r="U514">
            <v>267</v>
          </cell>
          <cell r="X514">
            <v>0.36</v>
          </cell>
        </row>
        <row r="515">
          <cell r="B515" t="str">
            <v>崩塌、土石流</v>
          </cell>
          <cell r="E515" t="str">
            <v>高雄市</v>
          </cell>
          <cell r="F515" t="str">
            <v>六龜區</v>
          </cell>
          <cell r="N515" t="str">
            <v>0731豪雨</v>
          </cell>
          <cell r="T515">
            <v>2</v>
          </cell>
          <cell r="U515">
            <v>484.8</v>
          </cell>
          <cell r="X515">
            <v>0.21</v>
          </cell>
        </row>
        <row r="516">
          <cell r="B516" t="str">
            <v>崩塌(山崩)</v>
          </cell>
          <cell r="E516" t="str">
            <v>臺南市</v>
          </cell>
          <cell r="F516" t="str">
            <v>龍崎區</v>
          </cell>
          <cell r="N516" t="str">
            <v>盧碧颱風暨 0806 水災</v>
          </cell>
          <cell r="T516">
            <v>12</v>
          </cell>
          <cell r="U516">
            <v>225</v>
          </cell>
          <cell r="X516">
            <v>0.15</v>
          </cell>
        </row>
        <row r="517">
          <cell r="B517" t="str">
            <v>崩塌(山崩)</v>
          </cell>
          <cell r="E517" t="str">
            <v>嘉義縣</v>
          </cell>
          <cell r="F517" t="str">
            <v>阿里山鄉</v>
          </cell>
          <cell r="N517" t="str">
            <v>盧碧颱風暨 0806 水災</v>
          </cell>
          <cell r="T517">
            <v>38</v>
          </cell>
          <cell r="U517">
            <v>348</v>
          </cell>
          <cell r="X517">
            <v>0.7</v>
          </cell>
        </row>
        <row r="518">
          <cell r="B518" t="str">
            <v>崩塌(山崩)</v>
          </cell>
          <cell r="E518" t="str">
            <v>高雄市</v>
          </cell>
          <cell r="F518" t="str">
            <v>六龜區</v>
          </cell>
          <cell r="N518" t="str">
            <v>盧碧颱風暨 0806 水災</v>
          </cell>
          <cell r="T518">
            <v>49</v>
          </cell>
          <cell r="U518">
            <v>543</v>
          </cell>
          <cell r="X518">
            <v>0.03</v>
          </cell>
        </row>
        <row r="519">
          <cell r="B519" t="str">
            <v>崩塌(山崩)</v>
          </cell>
          <cell r="E519" t="str">
            <v>南投縣</v>
          </cell>
          <cell r="F519" t="str">
            <v>國姓鄉</v>
          </cell>
          <cell r="N519" t="str">
            <v>盧碧颱風暨 0806 水災</v>
          </cell>
          <cell r="T519">
            <v>21</v>
          </cell>
          <cell r="U519">
            <v>126</v>
          </cell>
          <cell r="X519">
            <v>0.1</v>
          </cell>
        </row>
        <row r="520">
          <cell r="B520" t="str">
            <v>崩塌(山崩)</v>
          </cell>
          <cell r="E520" t="str">
            <v>高雄市</v>
          </cell>
          <cell r="F520" t="str">
            <v>桃源區</v>
          </cell>
          <cell r="N520" t="str">
            <v>盧碧颱風暨 0806 水災</v>
          </cell>
          <cell r="T520">
            <v>56</v>
          </cell>
          <cell r="U520">
            <v>369.6</v>
          </cell>
          <cell r="X520">
            <v>0.25</v>
          </cell>
        </row>
        <row r="521">
          <cell r="B521" t="str">
            <v>崩塌(山崩)</v>
          </cell>
          <cell r="E521" t="str">
            <v>臺南市</v>
          </cell>
          <cell r="F521" t="str">
            <v>龍崎區</v>
          </cell>
          <cell r="N521" t="str">
            <v>盧碧颱風暨 0806 水災</v>
          </cell>
          <cell r="T521">
            <v>8</v>
          </cell>
          <cell r="U521">
            <v>266</v>
          </cell>
          <cell r="X521">
            <v>3.2000000000000001E-2</v>
          </cell>
        </row>
        <row r="522">
          <cell r="B522" t="str">
            <v>崩塌(山崩)</v>
          </cell>
          <cell r="E522" t="str">
            <v>南投縣</v>
          </cell>
          <cell r="F522" t="str">
            <v>中寮鄉</v>
          </cell>
          <cell r="N522" t="str">
            <v>盧碧颱風暨 0806 水災</v>
          </cell>
          <cell r="T522">
            <v>14</v>
          </cell>
          <cell r="U522">
            <v>173.6</v>
          </cell>
          <cell r="X522">
            <v>0.27</v>
          </cell>
        </row>
        <row r="523">
          <cell r="B523" t="str">
            <v>崩塌(山崩)</v>
          </cell>
          <cell r="E523" t="str">
            <v>苗栗縣</v>
          </cell>
          <cell r="F523" t="str">
            <v>大湖鄉</v>
          </cell>
          <cell r="N523" t="str">
            <v>盧碧颱風暨 0806 水災</v>
          </cell>
          <cell r="T523">
            <v>31</v>
          </cell>
          <cell r="U523">
            <v>70</v>
          </cell>
          <cell r="X523">
            <v>0.3</v>
          </cell>
        </row>
        <row r="524">
          <cell r="B524" t="str">
            <v>崩塌(山崩)</v>
          </cell>
          <cell r="E524" t="str">
            <v>彰化縣</v>
          </cell>
          <cell r="F524" t="str">
            <v>彰化市</v>
          </cell>
          <cell r="N524" t="str">
            <v>盧碧颱風暨 0806 水災</v>
          </cell>
          <cell r="T524">
            <v>12</v>
          </cell>
          <cell r="U524">
            <v>268</v>
          </cell>
          <cell r="X524">
            <v>0.24</v>
          </cell>
        </row>
        <row r="525">
          <cell r="B525" t="str">
            <v>土石流</v>
          </cell>
          <cell r="E525" t="str">
            <v>高雄市</v>
          </cell>
          <cell r="F525" t="str">
            <v>六龜區</v>
          </cell>
          <cell r="N525" t="str">
            <v>盧碧颱風暨 0806 水災</v>
          </cell>
          <cell r="T525">
            <v>9</v>
          </cell>
          <cell r="U525">
            <v>889</v>
          </cell>
          <cell r="X525">
            <v>0.27</v>
          </cell>
        </row>
        <row r="526">
          <cell r="B526" t="str">
            <v>土石流</v>
          </cell>
          <cell r="E526" t="str">
            <v>高雄市</v>
          </cell>
          <cell r="F526" t="str">
            <v>六龜區</v>
          </cell>
          <cell r="N526" t="str">
            <v>盧碧颱風暨 0806 水災</v>
          </cell>
          <cell r="T526">
            <v>9</v>
          </cell>
          <cell r="U526">
            <v>889</v>
          </cell>
          <cell r="X526">
            <v>0.18</v>
          </cell>
        </row>
        <row r="527">
          <cell r="B527" t="str">
            <v>崩塌(山崩)</v>
          </cell>
          <cell r="E527" t="str">
            <v>新竹縣</v>
          </cell>
          <cell r="F527" t="str">
            <v>關西鎮</v>
          </cell>
          <cell r="N527" t="str">
            <v>盧碧颱風暨 0806 水災</v>
          </cell>
          <cell r="T527">
            <v>7</v>
          </cell>
          <cell r="U527">
            <v>101.9</v>
          </cell>
          <cell r="X527">
            <v>7.0000000000000007E-2</v>
          </cell>
        </row>
        <row r="528">
          <cell r="B528" t="str">
            <v>崩塌(山崩)、土石流</v>
          </cell>
          <cell r="E528" t="str">
            <v>高雄市</v>
          </cell>
          <cell r="F528" t="str">
            <v>桃源區</v>
          </cell>
          <cell r="N528" t="str">
            <v>盧碧颱風暨 0806 水災</v>
          </cell>
          <cell r="T528">
            <v>7</v>
          </cell>
          <cell r="U528">
            <v>571.9</v>
          </cell>
          <cell r="X528">
            <v>78</v>
          </cell>
        </row>
        <row r="529">
          <cell r="B529" t="str">
            <v>崩塌(山崩)</v>
          </cell>
          <cell r="E529" t="str">
            <v>南投縣</v>
          </cell>
          <cell r="F529" t="str">
            <v>仁愛鄉</v>
          </cell>
          <cell r="N529" t="str">
            <v>盧碧颱風暨 0806 水災</v>
          </cell>
          <cell r="T529">
            <v>3</v>
          </cell>
          <cell r="U529">
            <v>205.8</v>
          </cell>
          <cell r="X529">
            <v>3.08</v>
          </cell>
        </row>
        <row r="530">
          <cell r="B530" t="str">
            <v>崩塌(山崩)、土石流</v>
          </cell>
          <cell r="E530" t="str">
            <v>花蓮縣</v>
          </cell>
          <cell r="F530" t="str">
            <v>秀林鄉</v>
          </cell>
          <cell r="N530" t="str">
            <v>圓規颱風</v>
          </cell>
          <cell r="T530">
            <v>12.5</v>
          </cell>
          <cell r="U530">
            <v>203</v>
          </cell>
          <cell r="X530">
            <v>0.24</v>
          </cell>
        </row>
        <row r="531">
          <cell r="B531" t="str">
            <v>土石流</v>
          </cell>
          <cell r="E531" t="str">
            <v>臺東縣</v>
          </cell>
          <cell r="F531" t="str">
            <v>大武鄉</v>
          </cell>
          <cell r="N531" t="str">
            <v>圓規颱風</v>
          </cell>
          <cell r="T531">
            <v>11</v>
          </cell>
          <cell r="U531">
            <v>283.5</v>
          </cell>
          <cell r="X531" t="str">
            <v>-</v>
          </cell>
        </row>
        <row r="532">
          <cell r="B532" t="str">
            <v>崩塌(山崩)</v>
          </cell>
          <cell r="E532" t="str">
            <v>花蓮縣</v>
          </cell>
          <cell r="F532" t="str">
            <v>玉里鎮</v>
          </cell>
          <cell r="N532" t="str">
            <v>1013豪雨</v>
          </cell>
          <cell r="T532">
            <v>50</v>
          </cell>
          <cell r="U532">
            <v>340</v>
          </cell>
          <cell r="X532">
            <v>0.02</v>
          </cell>
        </row>
        <row r="533">
          <cell r="B533" t="str">
            <v>土石流</v>
          </cell>
          <cell r="E533" t="str">
            <v>花蓮縣</v>
          </cell>
          <cell r="F533" t="str">
            <v>玉里鎮</v>
          </cell>
          <cell r="N533" t="str">
            <v>1013豪雨</v>
          </cell>
          <cell r="T533">
            <v>76</v>
          </cell>
          <cell r="U533">
            <v>462.7</v>
          </cell>
          <cell r="X533" t="str">
            <v>-</v>
          </cell>
        </row>
        <row r="534">
          <cell r="B534" t="str">
            <v>土石流</v>
          </cell>
          <cell r="E534" t="str">
            <v>花蓮縣</v>
          </cell>
          <cell r="F534" t="str">
            <v>玉里鎮</v>
          </cell>
          <cell r="N534" t="str">
            <v>1013豪雨</v>
          </cell>
          <cell r="T534">
            <v>76</v>
          </cell>
          <cell r="U534">
            <v>462.7</v>
          </cell>
          <cell r="X534" t="str">
            <v>-</v>
          </cell>
        </row>
        <row r="535">
          <cell r="B535" t="str">
            <v>崩塌(山崩)</v>
          </cell>
          <cell r="E535" t="str">
            <v>花蓮縣</v>
          </cell>
          <cell r="F535" t="str">
            <v>瑞穗鄉</v>
          </cell>
          <cell r="N535" t="str">
            <v>1013豪雨</v>
          </cell>
          <cell r="T535">
            <v>15</v>
          </cell>
          <cell r="U535">
            <v>453</v>
          </cell>
          <cell r="X535">
            <v>0.12</v>
          </cell>
        </row>
        <row r="536">
          <cell r="B536" t="str">
            <v>崩塌(地滑)</v>
          </cell>
          <cell r="E536" t="str">
            <v>新北市</v>
          </cell>
          <cell r="F536" t="str">
            <v>汐止區</v>
          </cell>
          <cell r="N536" t="str">
            <v>1030豪雨</v>
          </cell>
          <cell r="T536">
            <v>0</v>
          </cell>
          <cell r="U536">
            <v>259</v>
          </cell>
          <cell r="X536">
            <v>0.5</v>
          </cell>
        </row>
        <row r="537">
          <cell r="B537" t="str">
            <v>崩塌(山崩)</v>
          </cell>
          <cell r="E537" t="str">
            <v>基隆市</v>
          </cell>
          <cell r="F537" t="str">
            <v>七堵區</v>
          </cell>
          <cell r="N537" t="str">
            <v>尼莎颱風</v>
          </cell>
          <cell r="T537">
            <v>34</v>
          </cell>
          <cell r="U537">
            <v>521</v>
          </cell>
          <cell r="X537">
            <v>0.3</v>
          </cell>
        </row>
        <row r="538">
          <cell r="B538" t="str">
            <v>崩塌(山崩)</v>
          </cell>
          <cell r="E538" t="str">
            <v>新北市</v>
          </cell>
          <cell r="F538" t="str">
            <v>汐止區</v>
          </cell>
          <cell r="N538" t="str">
            <v>尼莎颱風</v>
          </cell>
          <cell r="T538">
            <v>15</v>
          </cell>
          <cell r="U538">
            <v>649</v>
          </cell>
          <cell r="X538">
            <v>3.38</v>
          </cell>
        </row>
        <row r="539">
          <cell r="B539" t="str">
            <v>崩塌(山崩)</v>
          </cell>
          <cell r="E539" t="str">
            <v>宜蘭縣</v>
          </cell>
          <cell r="F539" t="str">
            <v>大同鄉</v>
          </cell>
          <cell r="N539" t="str">
            <v>尼莎颱風</v>
          </cell>
          <cell r="T539">
            <v>7</v>
          </cell>
          <cell r="U539">
            <v>685</v>
          </cell>
          <cell r="X539">
            <v>1.6</v>
          </cell>
        </row>
        <row r="540">
          <cell r="B540" t="str">
            <v>崩塌(山崩)</v>
          </cell>
          <cell r="E540" t="str">
            <v>基隆市</v>
          </cell>
          <cell r="F540" t="str">
            <v>暖暖區</v>
          </cell>
          <cell r="N540" t="str">
            <v>尼莎颱風</v>
          </cell>
          <cell r="T540">
            <v>41</v>
          </cell>
          <cell r="U540">
            <v>301</v>
          </cell>
          <cell r="X540">
            <v>0.15</v>
          </cell>
        </row>
        <row r="541">
          <cell r="B541" t="str">
            <v>崩塌(山崩)</v>
          </cell>
          <cell r="E541" t="str">
            <v>新北市</v>
          </cell>
          <cell r="F541" t="str">
            <v>汐止區</v>
          </cell>
          <cell r="N541" t="str">
            <v>尼莎颱風</v>
          </cell>
          <cell r="T541">
            <v>47</v>
          </cell>
          <cell r="U541">
            <v>425</v>
          </cell>
          <cell r="X541">
            <v>1.4999999999999999E-2</v>
          </cell>
        </row>
        <row r="542">
          <cell r="B542" t="str">
            <v>崩塌(山崩)</v>
          </cell>
          <cell r="E542" t="str">
            <v>宜蘭縣</v>
          </cell>
          <cell r="F542" t="str">
            <v>大同鄉</v>
          </cell>
          <cell r="N542" t="str">
            <v>尼莎颱風</v>
          </cell>
          <cell r="T542">
            <v>0</v>
          </cell>
          <cell r="U542">
            <v>805</v>
          </cell>
          <cell r="X542">
            <v>0.5</v>
          </cell>
        </row>
        <row r="543">
          <cell r="B543" t="str">
            <v>崩塌(山崩)</v>
          </cell>
          <cell r="E543" t="str">
            <v>宜蘭縣</v>
          </cell>
          <cell r="F543" t="str">
            <v>大同鄉</v>
          </cell>
          <cell r="N543" t="str">
            <v>尼莎颱風</v>
          </cell>
          <cell r="T543">
            <v>44</v>
          </cell>
          <cell r="U543">
            <v>459</v>
          </cell>
          <cell r="X543">
            <v>1.7</v>
          </cell>
        </row>
        <row r="544">
          <cell r="B544" t="str">
            <v>土石流</v>
          </cell>
          <cell r="E544" t="str">
            <v>臺北市</v>
          </cell>
          <cell r="F544" t="str">
            <v>北投區</v>
          </cell>
          <cell r="N544" t="str">
            <v>尼莎颱風</v>
          </cell>
          <cell r="T544">
            <v>2</v>
          </cell>
          <cell r="U544">
            <v>308</v>
          </cell>
          <cell r="X544" t="str">
            <v>-</v>
          </cell>
        </row>
        <row r="545">
          <cell r="B545" t="str">
            <v>崩塌(山崩)</v>
          </cell>
          <cell r="E545" t="str">
            <v>宜蘭縣</v>
          </cell>
          <cell r="F545" t="str">
            <v>南澳鄉</v>
          </cell>
          <cell r="N545" t="str">
            <v>1007豪雨</v>
          </cell>
          <cell r="T545">
            <v>31</v>
          </cell>
          <cell r="U545">
            <v>237</v>
          </cell>
          <cell r="X545">
            <v>0.04</v>
          </cell>
        </row>
        <row r="546">
          <cell r="B546" t="str">
            <v>崩塌(山崩)</v>
          </cell>
          <cell r="E546" t="str">
            <v>花蓮縣</v>
          </cell>
          <cell r="F546" t="str">
            <v>玉里鎮</v>
          </cell>
          <cell r="N546" t="str">
            <v>1007豪雨</v>
          </cell>
          <cell r="T546">
            <v>0</v>
          </cell>
          <cell r="U546">
            <v>30</v>
          </cell>
          <cell r="X546">
            <v>1.66</v>
          </cell>
        </row>
        <row r="547">
          <cell r="B547" t="str">
            <v>崩塌(山崩)</v>
          </cell>
          <cell r="E547" t="str">
            <v>臺中市</v>
          </cell>
          <cell r="F547" t="str">
            <v xml:space="preserve">和平區 </v>
          </cell>
          <cell r="N547" t="str">
            <v>其他</v>
          </cell>
          <cell r="T547">
            <v>0</v>
          </cell>
          <cell r="U547">
            <v>27</v>
          </cell>
          <cell r="X547">
            <v>0.23</v>
          </cell>
        </row>
        <row r="548">
          <cell r="B548" t="str">
            <v>崩塌(山崩)</v>
          </cell>
          <cell r="E548" t="str">
            <v>苗栗縣</v>
          </cell>
          <cell r="F548" t="str">
            <v>造橋鄉</v>
          </cell>
          <cell r="N548" t="str">
            <v>其他</v>
          </cell>
          <cell r="T548">
            <v>0</v>
          </cell>
          <cell r="U548">
            <v>157</v>
          </cell>
          <cell r="X548">
            <v>0.15</v>
          </cell>
        </row>
        <row r="549">
          <cell r="B549" t="str">
            <v>崩塌(山崩)</v>
          </cell>
          <cell r="E549" t="str">
            <v>新竹縣</v>
          </cell>
          <cell r="F549" t="str">
            <v>寶山鄉</v>
          </cell>
          <cell r="N549" t="str">
            <v>其他</v>
          </cell>
          <cell r="T549">
            <v>2</v>
          </cell>
          <cell r="U549">
            <v>137</v>
          </cell>
          <cell r="X549">
            <v>0.24</v>
          </cell>
        </row>
        <row r="550">
          <cell r="B550" t="str">
            <v>崩塌(山崩)</v>
          </cell>
          <cell r="E550" t="str">
            <v>花蓮縣</v>
          </cell>
          <cell r="F550" t="str">
            <v>秀林鄉</v>
          </cell>
          <cell r="N550" t="str">
            <v>其他</v>
          </cell>
          <cell r="T550">
            <v>0</v>
          </cell>
          <cell r="U550">
            <v>16</v>
          </cell>
          <cell r="X550">
            <v>3.52</v>
          </cell>
        </row>
        <row r="551">
          <cell r="B551" t="str">
            <v>崩塌(山崩、土石流)</v>
          </cell>
          <cell r="E551" t="str">
            <v>臺東縣</v>
          </cell>
          <cell r="F551" t="str">
            <v>太麻里鄉</v>
          </cell>
          <cell r="N551" t="str">
            <v>其他</v>
          </cell>
          <cell r="T551">
            <v>87</v>
          </cell>
          <cell r="U551">
            <v>148</v>
          </cell>
          <cell r="X551">
            <v>5.0000000000000001E-3</v>
          </cell>
        </row>
        <row r="552">
          <cell r="B552" t="str">
            <v>崩塌(山崩)</v>
          </cell>
          <cell r="E552" t="str">
            <v>苗栗縣</v>
          </cell>
          <cell r="F552" t="str">
            <v>頭屋鄉</v>
          </cell>
          <cell r="N552" t="str">
            <v>其他</v>
          </cell>
          <cell r="T552">
            <v>10</v>
          </cell>
          <cell r="U552">
            <v>144</v>
          </cell>
          <cell r="X552">
            <v>0.56000000000000005</v>
          </cell>
        </row>
        <row r="553">
          <cell r="B553" t="str">
            <v>崩塌(山崩)</v>
          </cell>
          <cell r="E553" t="str">
            <v>基隆市</v>
          </cell>
          <cell r="F553" t="str">
            <v>信義區</v>
          </cell>
          <cell r="N553" t="str">
            <v>其他</v>
          </cell>
          <cell r="T553">
            <v>3</v>
          </cell>
          <cell r="U553">
            <v>205</v>
          </cell>
          <cell r="X553">
            <v>0.9</v>
          </cell>
        </row>
        <row r="554">
          <cell r="B554" t="str">
            <v>土石流 、崩塌 (沖蝕 )</v>
          </cell>
          <cell r="E554" t="str">
            <v>南投縣</v>
          </cell>
          <cell r="F554" t="str">
            <v>仁愛鄉</v>
          </cell>
          <cell r="N554" t="str">
            <v>卡努颱風</v>
          </cell>
          <cell r="T554">
            <v>42</v>
          </cell>
          <cell r="U554">
            <v>221</v>
          </cell>
          <cell r="X554" t="str">
            <v>-</v>
          </cell>
        </row>
        <row r="555">
          <cell r="B555" t="str">
            <v>崩塌(山崩)</v>
          </cell>
          <cell r="E555" t="str">
            <v>南投縣</v>
          </cell>
          <cell r="F555" t="str">
            <v>仁愛鄉</v>
          </cell>
          <cell r="N555" t="str">
            <v>卡努颱風</v>
          </cell>
          <cell r="T555">
            <v>89</v>
          </cell>
          <cell r="U555">
            <v>457</v>
          </cell>
          <cell r="X555">
            <v>5.2499999999999998E-2</v>
          </cell>
        </row>
        <row r="556">
          <cell r="B556" t="str">
            <v>土石流</v>
          </cell>
          <cell r="E556" t="str">
            <v>南投縣</v>
          </cell>
          <cell r="F556" t="str">
            <v>仁愛鄉</v>
          </cell>
          <cell r="N556" t="str">
            <v>卡努颱風</v>
          </cell>
          <cell r="T556">
            <v>2</v>
          </cell>
          <cell r="U556">
            <v>431</v>
          </cell>
          <cell r="X556" t="str">
            <v>-</v>
          </cell>
        </row>
        <row r="557">
          <cell r="B557" t="str">
            <v>土石流</v>
          </cell>
          <cell r="E557" t="str">
            <v>南投縣</v>
          </cell>
          <cell r="F557" t="str">
            <v>仁愛鄉</v>
          </cell>
          <cell r="N557" t="str">
            <v>卡努颱風</v>
          </cell>
          <cell r="T557">
            <v>49</v>
          </cell>
          <cell r="U557">
            <v>648</v>
          </cell>
          <cell r="X557" t="str">
            <v>-</v>
          </cell>
        </row>
        <row r="558">
          <cell r="B558" t="str">
            <v>崩塌(山崩、沖蝕)</v>
          </cell>
          <cell r="E558" t="str">
            <v>南投縣</v>
          </cell>
          <cell r="F558" t="str">
            <v>仁愛鄉</v>
          </cell>
          <cell r="N558" t="str">
            <v>卡努颱風</v>
          </cell>
          <cell r="T558">
            <v>44</v>
          </cell>
          <cell r="U558">
            <v>695</v>
          </cell>
          <cell r="X558">
            <v>1.4999999999999999E-2</v>
          </cell>
        </row>
        <row r="559">
          <cell r="B559" t="str">
            <v>土石流</v>
          </cell>
          <cell r="E559" t="str">
            <v>南投縣</v>
          </cell>
          <cell r="F559" t="str">
            <v>仁愛鄉</v>
          </cell>
          <cell r="N559" t="str">
            <v>卡努颱風</v>
          </cell>
          <cell r="T559">
            <v>0</v>
          </cell>
          <cell r="U559">
            <v>934</v>
          </cell>
          <cell r="X559" t="str">
            <v>-</v>
          </cell>
        </row>
        <row r="560">
          <cell r="B560" t="str">
            <v>土石流 、崩塌 (山崩 )</v>
          </cell>
          <cell r="E560" t="str">
            <v>南投縣</v>
          </cell>
          <cell r="F560" t="str">
            <v>仁愛鄉</v>
          </cell>
          <cell r="N560" t="str">
            <v>卡努颱風</v>
          </cell>
          <cell r="T560">
            <v>6</v>
          </cell>
          <cell r="U560">
            <v>695</v>
          </cell>
          <cell r="X560">
            <v>0.12</v>
          </cell>
        </row>
        <row r="561">
          <cell r="B561" t="str">
            <v>土石流</v>
          </cell>
          <cell r="E561" t="str">
            <v>南投縣</v>
          </cell>
          <cell r="F561" t="str">
            <v>仁愛鄉</v>
          </cell>
          <cell r="N561" t="str">
            <v>卡努颱風</v>
          </cell>
          <cell r="T561">
            <v>49</v>
          </cell>
          <cell r="U561">
            <v>648</v>
          </cell>
          <cell r="X561" t="str">
            <v>-</v>
          </cell>
        </row>
        <row r="562">
          <cell r="B562" t="str">
            <v>土石流</v>
          </cell>
          <cell r="E562" t="str">
            <v>南投縣</v>
          </cell>
          <cell r="F562" t="str">
            <v>仁愛鄉</v>
          </cell>
          <cell r="N562" t="str">
            <v>卡努颱風</v>
          </cell>
          <cell r="T562">
            <v>112</v>
          </cell>
          <cell r="U562">
            <v>782</v>
          </cell>
          <cell r="X562">
            <v>0.3</v>
          </cell>
        </row>
        <row r="563">
          <cell r="B563" t="str">
            <v>崩塌(沖蝕)</v>
          </cell>
          <cell r="E563" t="str">
            <v>南投縣</v>
          </cell>
          <cell r="F563" t="str">
            <v>仁愛鄉</v>
          </cell>
          <cell r="N563" t="str">
            <v>卡努颱風</v>
          </cell>
          <cell r="T563">
            <v>60</v>
          </cell>
          <cell r="U563">
            <v>526</v>
          </cell>
          <cell r="X563">
            <v>0.37</v>
          </cell>
        </row>
        <row r="564">
          <cell r="B564" t="str">
            <v>崩塌(山崩)</v>
          </cell>
          <cell r="E564" t="str">
            <v>南投縣</v>
          </cell>
          <cell r="F564" t="str">
            <v>仁愛鄉</v>
          </cell>
          <cell r="N564" t="str">
            <v>卡努颱風</v>
          </cell>
          <cell r="T564">
            <v>106</v>
          </cell>
          <cell r="U564">
            <v>639</v>
          </cell>
          <cell r="X564">
            <v>6</v>
          </cell>
        </row>
        <row r="565">
          <cell r="B565" t="str">
            <v>崩塌(山崩)、土石流</v>
          </cell>
          <cell r="E565" t="str">
            <v>南投縣</v>
          </cell>
          <cell r="F565" t="str">
            <v>仁愛鄉</v>
          </cell>
          <cell r="N565" t="str">
            <v>卡努颱風</v>
          </cell>
          <cell r="T565">
            <v>89</v>
          </cell>
          <cell r="U565">
            <v>540</v>
          </cell>
          <cell r="X565">
            <v>0.18</v>
          </cell>
        </row>
        <row r="566">
          <cell r="B566" t="str">
            <v>崩塌(沖蝕)、土石流</v>
          </cell>
          <cell r="E566" t="str">
            <v>花蓮縣</v>
          </cell>
          <cell r="F566" t="str">
            <v>壽豐鄉</v>
          </cell>
          <cell r="N566" t="str">
            <v>海葵颱風</v>
          </cell>
          <cell r="T566">
            <v>3</v>
          </cell>
          <cell r="U566">
            <v>542</v>
          </cell>
          <cell r="X566" t="str">
            <v>-</v>
          </cell>
        </row>
        <row r="567">
          <cell r="B567" t="str">
            <v>土石流</v>
          </cell>
          <cell r="E567" t="str">
            <v>宜蘭縣</v>
          </cell>
          <cell r="F567" t="str">
            <v>南澳鄉</v>
          </cell>
          <cell r="N567" t="str">
            <v>海葵颱風</v>
          </cell>
          <cell r="T567">
            <v>45</v>
          </cell>
          <cell r="U567">
            <v>216</v>
          </cell>
          <cell r="X567">
            <v>0.64</v>
          </cell>
        </row>
        <row r="568">
          <cell r="B568" t="str">
            <v>崩塌(山崩)</v>
          </cell>
          <cell r="E568" t="str">
            <v>臺東縣</v>
          </cell>
          <cell r="F568" t="str">
            <v>海端鄉</v>
          </cell>
          <cell r="N568" t="str">
            <v>杜蘇芮颱風</v>
          </cell>
          <cell r="T568">
            <v>0</v>
          </cell>
          <cell r="U568">
            <v>279</v>
          </cell>
          <cell r="X568" t="str">
            <v>-</v>
          </cell>
        </row>
        <row r="569">
          <cell r="B569" t="str">
            <v>崩塌(山崩)</v>
          </cell>
          <cell r="E569" t="str">
            <v>花蓮縣</v>
          </cell>
          <cell r="F569" t="str">
            <v>秀林鄉</v>
          </cell>
          <cell r="N569" t="str">
            <v>杜蘇芮颱風</v>
          </cell>
          <cell r="T569">
            <v>17</v>
          </cell>
          <cell r="U569">
            <v>534</v>
          </cell>
          <cell r="X569">
            <v>0.75</v>
          </cell>
        </row>
        <row r="570">
          <cell r="B570" t="str">
            <v>崩塌(山崩)、土石流</v>
          </cell>
          <cell r="E570" t="str">
            <v>嘉義縣</v>
          </cell>
          <cell r="F570" t="str">
            <v>中埔鄉</v>
          </cell>
          <cell r="N570" t="str">
            <v>小犬颱風</v>
          </cell>
          <cell r="T570">
            <v>25</v>
          </cell>
          <cell r="U570">
            <v>391</v>
          </cell>
          <cell r="X570">
            <v>1.08</v>
          </cell>
        </row>
        <row r="571">
          <cell r="B571" t="str">
            <v>崩塌(山崩)、土石流</v>
          </cell>
          <cell r="E571" t="str">
            <v>嘉義縣</v>
          </cell>
          <cell r="F571" t="str">
            <v>中埔鄉</v>
          </cell>
          <cell r="N571" t="str">
            <v>小犬颱風</v>
          </cell>
          <cell r="T571">
            <v>0</v>
          </cell>
          <cell r="U571">
            <v>323</v>
          </cell>
          <cell r="X571">
            <v>1.08</v>
          </cell>
        </row>
        <row r="572">
          <cell r="B572" t="str">
            <v>崩塌(山崩)、土石流</v>
          </cell>
          <cell r="E572" t="str">
            <v>嘉義縣</v>
          </cell>
          <cell r="F572" t="str">
            <v>竹崎鄉</v>
          </cell>
          <cell r="N572" t="str">
            <v>小犬颱風</v>
          </cell>
          <cell r="T572">
            <v>43</v>
          </cell>
          <cell r="U572">
            <v>192</v>
          </cell>
          <cell r="X572">
            <v>0.52</v>
          </cell>
        </row>
        <row r="573">
          <cell r="B573" t="str">
            <v>土石流</v>
          </cell>
          <cell r="E573" t="str">
            <v>南投縣</v>
          </cell>
          <cell r="F573" t="str">
            <v>信義鄉</v>
          </cell>
          <cell r="N573" t="str">
            <v>小犬颱風</v>
          </cell>
          <cell r="T573">
            <v>0</v>
          </cell>
          <cell r="U573">
            <v>6</v>
          </cell>
          <cell r="X573">
            <v>0.75</v>
          </cell>
        </row>
        <row r="574">
          <cell r="B574" t="str">
            <v>土石流</v>
          </cell>
          <cell r="E574" t="str">
            <v>南投縣</v>
          </cell>
          <cell r="F574" t="str">
            <v>信義鄉</v>
          </cell>
          <cell r="N574" t="str">
            <v>小犬颱風</v>
          </cell>
          <cell r="T574">
            <v>24</v>
          </cell>
          <cell r="U574">
            <v>46</v>
          </cell>
          <cell r="X574">
            <v>0.75</v>
          </cell>
        </row>
        <row r="575">
          <cell r="B575" t="str">
            <v>土石流</v>
          </cell>
          <cell r="E575" t="str">
            <v>高雄市</v>
          </cell>
          <cell r="F575" t="str">
            <v>桃源區</v>
          </cell>
          <cell r="N575" t="str">
            <v>小犬颱風</v>
          </cell>
          <cell r="T575">
            <v>7</v>
          </cell>
          <cell r="U575">
            <v>38</v>
          </cell>
          <cell r="X575" t="str">
            <v>-</v>
          </cell>
        </row>
        <row r="576">
          <cell r="B576" t="str">
            <v>土石流</v>
          </cell>
          <cell r="E576" t="str">
            <v>高雄市</v>
          </cell>
          <cell r="F576" t="str">
            <v>桃源區</v>
          </cell>
          <cell r="N576" t="str">
            <v>小犬颱風</v>
          </cell>
          <cell r="T576">
            <v>2</v>
          </cell>
          <cell r="U576">
            <v>65</v>
          </cell>
          <cell r="X576" t="str">
            <v>-</v>
          </cell>
        </row>
        <row r="577">
          <cell r="B577" t="str">
            <v>崩塌(山崩)</v>
          </cell>
          <cell r="E577" t="str">
            <v>南投縣</v>
          </cell>
          <cell r="F577" t="str">
            <v>仁愛鄉</v>
          </cell>
          <cell r="N577" t="str">
            <v>小犬颱風</v>
          </cell>
          <cell r="T577">
            <v>0</v>
          </cell>
          <cell r="U577">
            <v>36</v>
          </cell>
          <cell r="X577">
            <v>0.1</v>
          </cell>
        </row>
        <row r="578">
          <cell r="B578" t="str">
            <v>崩塌(山崩)</v>
          </cell>
          <cell r="E578" t="str">
            <v>新北市</v>
          </cell>
          <cell r="F578" t="str">
            <v>金山區</v>
          </cell>
          <cell r="N578" t="str">
            <v>小犬颱風</v>
          </cell>
          <cell r="T578">
            <v>7</v>
          </cell>
          <cell r="U578">
            <v>63</v>
          </cell>
          <cell r="X578">
            <v>0.3</v>
          </cell>
        </row>
        <row r="579">
          <cell r="B579" t="str">
            <v>土石流</v>
          </cell>
          <cell r="E579" t="str">
            <v>花蓮縣</v>
          </cell>
          <cell r="F579" t="str">
            <v>秀林鄉</v>
          </cell>
          <cell r="N579" t="str">
            <v>其他(0422)</v>
          </cell>
          <cell r="T579">
            <v>20.5</v>
          </cell>
          <cell r="U579">
            <v>49</v>
          </cell>
          <cell r="X579">
            <v>0.8</v>
          </cell>
        </row>
        <row r="580">
          <cell r="B580" t="str">
            <v>土石流</v>
          </cell>
          <cell r="E580" t="str">
            <v>花蓮縣</v>
          </cell>
          <cell r="F580" t="str">
            <v>秀林鄉</v>
          </cell>
          <cell r="N580" t="str">
            <v>其他(0429)</v>
          </cell>
          <cell r="T580">
            <v>15.5</v>
          </cell>
          <cell r="U580">
            <v>221.2</v>
          </cell>
        </row>
        <row r="581">
          <cell r="B581" t="str">
            <v>土石流</v>
          </cell>
          <cell r="E581" t="str">
            <v>花蓮縣</v>
          </cell>
          <cell r="F581" t="str">
            <v>秀林鄉</v>
          </cell>
          <cell r="N581" t="str">
            <v>其他</v>
          </cell>
          <cell r="T581">
            <v>2</v>
          </cell>
          <cell r="U581">
            <v>48.2</v>
          </cell>
        </row>
        <row r="582">
          <cell r="B582" t="str">
            <v>土石流</v>
          </cell>
          <cell r="E582" t="str">
            <v>花蓮縣</v>
          </cell>
          <cell r="F582" t="str">
            <v>秀林鄉</v>
          </cell>
          <cell r="N582" t="str">
            <v>其他</v>
          </cell>
          <cell r="T582">
            <v>4.5</v>
          </cell>
          <cell r="U582">
            <v>45.3</v>
          </cell>
        </row>
        <row r="583">
          <cell r="B583" t="str">
            <v>土石流</v>
          </cell>
          <cell r="E583" t="str">
            <v>嘉義縣</v>
          </cell>
          <cell r="F583" t="str">
            <v>中埔鄉</v>
          </cell>
          <cell r="N583" t="str">
            <v>其他</v>
          </cell>
          <cell r="T583">
            <v>3.5</v>
          </cell>
          <cell r="U583">
            <v>15</v>
          </cell>
        </row>
        <row r="584">
          <cell r="B584" t="str">
            <v>土石流</v>
          </cell>
          <cell r="E584" t="str">
            <v>基隆市</v>
          </cell>
          <cell r="F584" t="str">
            <v>中正區</v>
          </cell>
          <cell r="N584" t="str">
            <v>其他</v>
          </cell>
          <cell r="T584">
            <v>0</v>
          </cell>
          <cell r="U584">
            <v>48.7</v>
          </cell>
        </row>
        <row r="585">
          <cell r="B585" t="str">
            <v>土石流</v>
          </cell>
          <cell r="E585" t="str">
            <v>南投縣</v>
          </cell>
          <cell r="F585" t="str">
            <v>信義鄉</v>
          </cell>
          <cell r="N585" t="str">
            <v>其他</v>
          </cell>
          <cell r="T585">
            <v>17.5</v>
          </cell>
          <cell r="U585">
            <v>102</v>
          </cell>
        </row>
        <row r="586">
          <cell r="B586" t="str">
            <v>土石流</v>
          </cell>
          <cell r="E586" t="str">
            <v>花蓮縣</v>
          </cell>
          <cell r="F586" t="str">
            <v>秀林鄉</v>
          </cell>
          <cell r="N586" t="str">
            <v>其他</v>
          </cell>
          <cell r="T586">
            <v>75</v>
          </cell>
          <cell r="U586">
            <v>90</v>
          </cell>
          <cell r="X586">
            <v>2</v>
          </cell>
        </row>
        <row r="587">
          <cell r="B587" t="str">
            <v>土石流</v>
          </cell>
          <cell r="E587" t="str">
            <v>南投縣</v>
          </cell>
          <cell r="F587" t="str">
            <v>信義鄉</v>
          </cell>
          <cell r="N587" t="str">
            <v>凱米颱風</v>
          </cell>
          <cell r="T587">
            <v>6.5</v>
          </cell>
          <cell r="U587">
            <v>519.20000000000005</v>
          </cell>
        </row>
        <row r="588">
          <cell r="B588" t="str">
            <v>土石流</v>
          </cell>
          <cell r="E588" t="str">
            <v>高雄市</v>
          </cell>
          <cell r="F588" t="str">
            <v>桃源區</v>
          </cell>
          <cell r="N588" t="str">
            <v>凱米颱風</v>
          </cell>
          <cell r="T588">
            <v>32</v>
          </cell>
          <cell r="U588">
            <v>1103.7</v>
          </cell>
          <cell r="X588">
            <v>0.2</v>
          </cell>
        </row>
        <row r="589">
          <cell r="B589" t="str">
            <v>土石流</v>
          </cell>
          <cell r="E589" t="str">
            <v>高雄市</v>
          </cell>
          <cell r="F589" t="str">
            <v>桃源區</v>
          </cell>
          <cell r="N589" t="str">
            <v>凱米颱風</v>
          </cell>
          <cell r="T589">
            <v>4</v>
          </cell>
          <cell r="U589">
            <v>1162.7</v>
          </cell>
        </row>
        <row r="590">
          <cell r="B590" t="str">
            <v>土石流</v>
          </cell>
          <cell r="E590" t="str">
            <v>高雄市</v>
          </cell>
          <cell r="F590" t="str">
            <v>六龜區</v>
          </cell>
          <cell r="N590" t="str">
            <v>凱米颱風</v>
          </cell>
          <cell r="T590">
            <v>89.5</v>
          </cell>
          <cell r="U590">
            <v>796.8</v>
          </cell>
          <cell r="X590">
            <v>0.75</v>
          </cell>
        </row>
        <row r="591">
          <cell r="B591" t="str">
            <v>土石流</v>
          </cell>
          <cell r="E591" t="str">
            <v>高雄市</v>
          </cell>
          <cell r="F591" t="str">
            <v>六龜區</v>
          </cell>
          <cell r="N591" t="str">
            <v>凱米颱風</v>
          </cell>
          <cell r="T591">
            <v>105.5</v>
          </cell>
          <cell r="U591">
            <v>861.5</v>
          </cell>
        </row>
        <row r="592">
          <cell r="B592" t="str">
            <v>土石流 、崩塌 (沖蝕 )</v>
          </cell>
          <cell r="E592" t="str">
            <v>宜蘭縣</v>
          </cell>
          <cell r="F592" t="str">
            <v>蘇澳鎮</v>
          </cell>
          <cell r="N592" t="str">
            <v>凱米颱風</v>
          </cell>
          <cell r="T592">
            <v>5</v>
          </cell>
          <cell r="U592">
            <v>446</v>
          </cell>
        </row>
        <row r="593">
          <cell r="B593" t="str">
            <v xml:space="preserve">土石流 </v>
          </cell>
          <cell r="E593" t="str">
            <v>高雄市</v>
          </cell>
          <cell r="F593" t="str">
            <v>六龜區</v>
          </cell>
          <cell r="N593" t="str">
            <v>凱米颱風</v>
          </cell>
          <cell r="T593">
            <v>53.5</v>
          </cell>
          <cell r="U593">
            <v>559.5</v>
          </cell>
        </row>
        <row r="594">
          <cell r="B594" t="str">
            <v>崩塌 (山崩 )</v>
          </cell>
          <cell r="E594" t="str">
            <v>高雄市</v>
          </cell>
          <cell r="F594" t="str">
            <v>六龜區</v>
          </cell>
          <cell r="N594" t="str">
            <v>凱米颱風</v>
          </cell>
          <cell r="T594">
            <v>35.5</v>
          </cell>
          <cell r="U594">
            <v>1066.0999999999999</v>
          </cell>
          <cell r="X594">
            <v>0.14000000000000001</v>
          </cell>
        </row>
        <row r="595">
          <cell r="B595" t="str">
            <v xml:space="preserve">土石流 </v>
          </cell>
          <cell r="E595" t="str">
            <v>花蓮縣</v>
          </cell>
          <cell r="F595" t="str">
            <v>秀林鄉</v>
          </cell>
          <cell r="N595" t="str">
            <v>凱米颱風</v>
          </cell>
          <cell r="T595">
            <v>27</v>
          </cell>
          <cell r="U595">
            <v>403.7</v>
          </cell>
        </row>
        <row r="596">
          <cell r="B596" t="str">
            <v xml:space="preserve">土石流 </v>
          </cell>
          <cell r="E596" t="str">
            <v>花蓮縣</v>
          </cell>
          <cell r="F596" t="str">
            <v>秀林鄉</v>
          </cell>
          <cell r="N596" t="str">
            <v>凱米颱風</v>
          </cell>
          <cell r="T596">
            <v>23</v>
          </cell>
          <cell r="U596">
            <v>504</v>
          </cell>
        </row>
        <row r="597">
          <cell r="B597" t="str">
            <v xml:space="preserve">土石流 </v>
          </cell>
          <cell r="E597" t="str">
            <v>雲林縣</v>
          </cell>
          <cell r="F597" t="str">
            <v>古坑鄉</v>
          </cell>
          <cell r="N597" t="str">
            <v>凱米颱風</v>
          </cell>
          <cell r="T597">
            <v>33.5</v>
          </cell>
          <cell r="U597">
            <v>371.5</v>
          </cell>
          <cell r="X597">
            <v>1.5</v>
          </cell>
        </row>
        <row r="598">
          <cell r="B598" t="str">
            <v>土石流 、崩塌 (沖蝕 )</v>
          </cell>
          <cell r="E598" t="str">
            <v>嘉義縣</v>
          </cell>
          <cell r="F598" t="str">
            <v>竹崎鄉</v>
          </cell>
          <cell r="N598" t="str">
            <v>凱米颱風</v>
          </cell>
          <cell r="T598">
            <v>54</v>
          </cell>
          <cell r="U598">
            <v>394.8</v>
          </cell>
        </row>
        <row r="599">
          <cell r="B599" t="str">
            <v>土石流</v>
          </cell>
          <cell r="E599" t="str">
            <v>南投縣</v>
          </cell>
          <cell r="F599" t="str">
            <v>信義鄉</v>
          </cell>
          <cell r="N599" t="str">
            <v>凱米颱風</v>
          </cell>
          <cell r="T599">
            <v>52.5</v>
          </cell>
          <cell r="U599">
            <v>336.5</v>
          </cell>
          <cell r="X599">
            <v>0</v>
          </cell>
        </row>
        <row r="600">
          <cell r="B600" t="str">
            <v>土石流</v>
          </cell>
          <cell r="E600" t="str">
            <v>南投縣</v>
          </cell>
          <cell r="F600" t="str">
            <v>信義鄉</v>
          </cell>
          <cell r="N600" t="str">
            <v>凱米颱風</v>
          </cell>
          <cell r="T600">
            <v>11</v>
          </cell>
          <cell r="U600">
            <v>93</v>
          </cell>
        </row>
        <row r="601">
          <cell r="B601" t="str">
            <v>土石流</v>
          </cell>
          <cell r="E601" t="str">
            <v>宜蘭縣</v>
          </cell>
          <cell r="F601" t="str">
            <v>南澳鄉</v>
          </cell>
          <cell r="N601" t="str">
            <v>凱米颱風</v>
          </cell>
          <cell r="T601">
            <v>53.5</v>
          </cell>
          <cell r="U601">
            <v>742.2</v>
          </cell>
        </row>
        <row r="602">
          <cell r="B602" t="str">
            <v>土石流</v>
          </cell>
          <cell r="E602" t="str">
            <v>花蓮縣</v>
          </cell>
          <cell r="F602" t="str">
            <v>秀林鄉</v>
          </cell>
          <cell r="N602" t="str">
            <v>凱米颱風</v>
          </cell>
          <cell r="T602">
            <v>31</v>
          </cell>
          <cell r="U602">
            <v>170.7</v>
          </cell>
        </row>
        <row r="603">
          <cell r="B603" t="str">
            <v>土石流</v>
          </cell>
          <cell r="E603" t="str">
            <v>新北市</v>
          </cell>
          <cell r="F603" t="str">
            <v>金山區</v>
          </cell>
          <cell r="N603" t="str">
            <v>山陀兒</v>
          </cell>
          <cell r="T603">
            <v>78.5</v>
          </cell>
          <cell r="U603">
            <v>284.8</v>
          </cell>
        </row>
        <row r="604">
          <cell r="B604" t="str">
            <v>土石流</v>
          </cell>
          <cell r="E604" t="str">
            <v>臺東縣</v>
          </cell>
          <cell r="F604" t="str">
            <v>太麻里鄉</v>
          </cell>
          <cell r="N604" t="str">
            <v>山陀兒</v>
          </cell>
          <cell r="T604">
            <v>57</v>
          </cell>
          <cell r="U604">
            <v>552.6</v>
          </cell>
        </row>
        <row r="605">
          <cell r="B605" t="str">
            <v>土石流</v>
          </cell>
          <cell r="E605" t="str">
            <v>臺東縣</v>
          </cell>
          <cell r="F605" t="str">
            <v>太麻里鄉</v>
          </cell>
          <cell r="N605" t="str">
            <v>山陀兒</v>
          </cell>
          <cell r="T605">
            <v>57</v>
          </cell>
          <cell r="U605">
            <v>552.6</v>
          </cell>
        </row>
        <row r="606">
          <cell r="B606" t="str">
            <v>土石流 、崩塌 (山崩)</v>
          </cell>
          <cell r="E606" t="str">
            <v>臺東縣</v>
          </cell>
          <cell r="F606" t="str">
            <v>卑南鄉</v>
          </cell>
          <cell r="N606" t="str">
            <v>山陀兒</v>
          </cell>
          <cell r="T606">
            <v>16.5</v>
          </cell>
          <cell r="U606">
            <v>593.6</v>
          </cell>
          <cell r="X606">
            <v>4.4000000000000004</v>
          </cell>
        </row>
        <row r="607">
          <cell r="B607" t="str">
            <v>土石流</v>
          </cell>
          <cell r="E607" t="str">
            <v>臺東縣</v>
          </cell>
          <cell r="F607" t="str">
            <v>太麻里鄉</v>
          </cell>
          <cell r="N607" t="str">
            <v>山陀兒</v>
          </cell>
          <cell r="T607">
            <v>12.5</v>
          </cell>
          <cell r="U607">
            <v>376</v>
          </cell>
        </row>
        <row r="608">
          <cell r="B608" t="str">
            <v>土石流</v>
          </cell>
          <cell r="E608" t="str">
            <v>臺東縣</v>
          </cell>
          <cell r="F608" t="str">
            <v>太麻里鄉</v>
          </cell>
          <cell r="N608" t="str">
            <v>山陀兒</v>
          </cell>
          <cell r="T608">
            <v>78</v>
          </cell>
          <cell r="U608">
            <v>619</v>
          </cell>
        </row>
        <row r="609">
          <cell r="B609" t="str">
            <v>土石流 、崩塌 (山崩)</v>
          </cell>
          <cell r="E609" t="str">
            <v>高雄市</v>
          </cell>
          <cell r="F609" t="str">
            <v>六龜區</v>
          </cell>
          <cell r="N609" t="str">
            <v>其他(0922)</v>
          </cell>
          <cell r="T609">
            <v>21</v>
          </cell>
          <cell r="U609">
            <v>238</v>
          </cell>
          <cell r="X609">
            <v>1.875</v>
          </cell>
        </row>
        <row r="610">
          <cell r="B610" t="str">
            <v>土石流 、崩塌 (山崩)</v>
          </cell>
          <cell r="E610" t="str">
            <v>苗栗縣</v>
          </cell>
          <cell r="F610" t="str">
            <v>苑裡鎮</v>
          </cell>
          <cell r="N610" t="str">
            <v>其他(0920)</v>
          </cell>
          <cell r="T610">
            <v>97</v>
          </cell>
          <cell r="U610">
            <v>120</v>
          </cell>
          <cell r="X610">
            <v>0.1</v>
          </cell>
        </row>
        <row r="611">
          <cell r="B611" t="str">
            <v>崩塌(沖蝕)、土石流</v>
          </cell>
          <cell r="E611" t="str">
            <v>宜蘭縣</v>
          </cell>
          <cell r="F611" t="str">
            <v>頭城鎮</v>
          </cell>
          <cell r="N611" t="str">
            <v>康芮颱風</v>
          </cell>
          <cell r="T611">
            <v>21</v>
          </cell>
          <cell r="U611">
            <v>143.9</v>
          </cell>
          <cell r="X611" t="str">
            <v>null</v>
          </cell>
        </row>
        <row r="612">
          <cell r="B612" t="str">
            <v>土石流</v>
          </cell>
          <cell r="E612" t="str">
            <v>花蓮縣</v>
          </cell>
          <cell r="F612" t="str">
            <v>玉里鎮</v>
          </cell>
          <cell r="N612" t="str">
            <v>康芮颱風</v>
          </cell>
          <cell r="T612">
            <v>31</v>
          </cell>
          <cell r="U612">
            <v>300.2</v>
          </cell>
          <cell r="X612" t="str">
            <v>null</v>
          </cell>
        </row>
        <row r="613">
          <cell r="B613" t="str">
            <v>土石流</v>
          </cell>
          <cell r="E613" t="str">
            <v>花蓮縣</v>
          </cell>
          <cell r="F613" t="str">
            <v>卓溪鄉</v>
          </cell>
          <cell r="N613" t="str">
            <v>康芮颱風</v>
          </cell>
          <cell r="T613">
            <v>74</v>
          </cell>
          <cell r="U613">
            <v>237</v>
          </cell>
          <cell r="X613" t="str">
            <v>null</v>
          </cell>
        </row>
        <row r="614">
          <cell r="B614" t="str">
            <v>土石流</v>
          </cell>
          <cell r="E614" t="str">
            <v>花蓮縣</v>
          </cell>
          <cell r="F614" t="str">
            <v>秀林鄉</v>
          </cell>
          <cell r="N614" t="str">
            <v>午後雷陣雨</v>
          </cell>
          <cell r="T614">
            <v>18.5</v>
          </cell>
          <cell r="U614">
            <v>67.17</v>
          </cell>
        </row>
        <row r="615">
          <cell r="B615" t="str">
            <v>土石流</v>
          </cell>
          <cell r="E615" t="str">
            <v>宜蘭縣</v>
          </cell>
          <cell r="F615" t="str">
            <v>頭城鎮</v>
          </cell>
          <cell r="N615" t="str">
            <v>午後雷陣雨</v>
          </cell>
          <cell r="T615">
            <v>42</v>
          </cell>
          <cell r="U615">
            <v>54.02</v>
          </cell>
          <cell r="X615">
            <v>5.0000000000000001E-3</v>
          </cell>
        </row>
        <row r="616">
          <cell r="B616" t="str">
            <v>洪水、崩塌(沖蝕)</v>
          </cell>
          <cell r="E616" t="str">
            <v>花蓮縣</v>
          </cell>
          <cell r="F616" t="str">
            <v>秀林鄉</v>
          </cell>
          <cell r="N616" t="str">
            <v>午後雷陣雨</v>
          </cell>
          <cell r="T616" t="str">
            <v>29.5/35.5</v>
          </cell>
          <cell r="U616" t="str">
            <v>43.2 / 98.4</v>
          </cell>
        </row>
        <row r="617">
          <cell r="B617" t="str">
            <v>崩塌(沖蝕)</v>
          </cell>
          <cell r="E617" t="str">
            <v>花蓮縣</v>
          </cell>
          <cell r="F617" t="str">
            <v>秀林鄉</v>
          </cell>
          <cell r="N617" t="str">
            <v>午後雷陣雨</v>
          </cell>
          <cell r="T617">
            <v>30.5</v>
          </cell>
          <cell r="U617">
            <v>82.04</v>
          </cell>
          <cell r="X617">
            <v>0.24</v>
          </cell>
        </row>
        <row r="618">
          <cell r="B618" t="str">
            <v>崩塌(山崩、沖蝕)</v>
          </cell>
          <cell r="E618" t="str">
            <v>高雄市</v>
          </cell>
          <cell r="F618" t="str">
            <v>六龜區</v>
          </cell>
          <cell r="N618" t="str">
            <v>午後雷陣雨</v>
          </cell>
          <cell r="T618">
            <v>6</v>
          </cell>
          <cell r="U618">
            <v>35.1</v>
          </cell>
          <cell r="X618">
            <v>0.3</v>
          </cell>
        </row>
        <row r="619">
          <cell r="B619" t="str">
            <v>土石流</v>
          </cell>
          <cell r="E619" t="str">
            <v>南投縣</v>
          </cell>
          <cell r="F619" t="str">
            <v>信義鄉</v>
          </cell>
          <cell r="N619" t="str">
            <v>午後雷陣雨</v>
          </cell>
          <cell r="T619">
            <v>16.5</v>
          </cell>
          <cell r="U619">
            <v>28.96</v>
          </cell>
          <cell r="X619">
            <v>0.17499999999999999</v>
          </cell>
        </row>
        <row r="620">
          <cell r="B620" t="str">
            <v>崩塌、堰塞湖</v>
          </cell>
          <cell r="E620" t="str">
            <v>雲林縣</v>
          </cell>
          <cell r="F620" t="str">
            <v>古坑鄉</v>
          </cell>
          <cell r="N620" t="str">
            <v>丹娜絲颱風</v>
          </cell>
          <cell r="T620">
            <v>12</v>
          </cell>
          <cell r="U620">
            <v>211.2</v>
          </cell>
          <cell r="X620">
            <v>30.1</v>
          </cell>
        </row>
        <row r="621">
          <cell r="B621" t="str">
            <v>土石流</v>
          </cell>
          <cell r="E621" t="str">
            <v>南投縣</v>
          </cell>
          <cell r="F621" t="str">
            <v>信義鄉</v>
          </cell>
          <cell r="N621" t="str">
            <v>丹娜絲颱風</v>
          </cell>
          <cell r="T621">
            <v>9.5</v>
          </cell>
          <cell r="U621">
            <v>139.9</v>
          </cell>
          <cell r="X621">
            <v>0.48</v>
          </cell>
        </row>
        <row r="622">
          <cell r="B622" t="str">
            <v>洪水</v>
          </cell>
          <cell r="E622" t="str">
            <v>屏東縣</v>
          </cell>
          <cell r="F622" t="str">
            <v>高樹鄉</v>
          </cell>
          <cell r="N622" t="str">
            <v>丹娜絲颱風</v>
          </cell>
          <cell r="T622">
            <v>5</v>
          </cell>
          <cell r="U622">
            <v>405.1</v>
          </cell>
          <cell r="X622">
            <v>0.04</v>
          </cell>
        </row>
        <row r="623">
          <cell r="B623" t="str">
            <v>崩塌(沖蝕)、土砂溢淹</v>
          </cell>
          <cell r="E623" t="str">
            <v>南投縣</v>
          </cell>
          <cell r="F623" t="str">
            <v>埔里鎮</v>
          </cell>
          <cell r="N623" t="str">
            <v>0721豪雨</v>
          </cell>
          <cell r="T623">
            <v>36</v>
          </cell>
          <cell r="U623">
            <v>164.5</v>
          </cell>
        </row>
        <row r="624">
          <cell r="B624" t="str">
            <v>崩塌、堰塞湖</v>
          </cell>
          <cell r="E624" t="str">
            <v>花蓮縣</v>
          </cell>
          <cell r="F624" t="str">
            <v>萬榮鄉</v>
          </cell>
          <cell r="N624" t="str">
            <v>薇帕颱風</v>
          </cell>
          <cell r="T624">
            <v>0.5</v>
          </cell>
          <cell r="U624">
            <v>286.10000000000002</v>
          </cell>
          <cell r="X624">
            <v>500</v>
          </cell>
        </row>
        <row r="625">
          <cell r="B625" t="str">
            <v>土石流</v>
          </cell>
          <cell r="E625" t="str">
            <v>高雄市</v>
          </cell>
          <cell r="F625" t="str">
            <v>六龜區</v>
          </cell>
          <cell r="N625" t="str">
            <v>0728豪雨</v>
          </cell>
          <cell r="T625">
            <v>29</v>
          </cell>
          <cell r="U625">
            <v>239.1</v>
          </cell>
          <cell r="X625">
            <v>15</v>
          </cell>
        </row>
        <row r="626">
          <cell r="B626" t="str">
            <v>土石流</v>
          </cell>
          <cell r="E626" t="str">
            <v>高雄市</v>
          </cell>
          <cell r="F626" t="str">
            <v>六龜區</v>
          </cell>
          <cell r="N626" t="str">
            <v>0728豪雨</v>
          </cell>
          <cell r="T626">
            <v>29</v>
          </cell>
          <cell r="U626">
            <v>239.1</v>
          </cell>
          <cell r="X626">
            <v>0.3</v>
          </cell>
        </row>
        <row r="627">
          <cell r="B627" t="str">
            <v>土石流</v>
          </cell>
          <cell r="E627" t="str">
            <v>南投縣</v>
          </cell>
          <cell r="F627" t="str">
            <v>信義鄉</v>
          </cell>
          <cell r="N627" t="str">
            <v>0728豪雨</v>
          </cell>
          <cell r="T627">
            <v>1.5</v>
          </cell>
          <cell r="U627">
            <v>165.3</v>
          </cell>
          <cell r="X627">
            <v>7.0000000000000007E-2</v>
          </cell>
        </row>
        <row r="628">
          <cell r="B628" t="str">
            <v>崩塌(山崩)</v>
          </cell>
          <cell r="E628" t="str">
            <v>高雄市</v>
          </cell>
          <cell r="F628" t="str">
            <v>桃源區</v>
          </cell>
          <cell r="N628" t="str">
            <v>0728豪雨</v>
          </cell>
          <cell r="T628">
            <v>34</v>
          </cell>
          <cell r="U628">
            <v>546.1</v>
          </cell>
          <cell r="X628">
            <v>4</v>
          </cell>
        </row>
        <row r="629">
          <cell r="B629" t="str">
            <v>土石流、崩塌(山崩)</v>
          </cell>
          <cell r="E629" t="str">
            <v>高雄市</v>
          </cell>
          <cell r="F629" t="str">
            <v>桃源區</v>
          </cell>
          <cell r="N629" t="str">
            <v>0728豪雨</v>
          </cell>
          <cell r="T629">
            <v>81</v>
          </cell>
          <cell r="U629">
            <v>744.1</v>
          </cell>
          <cell r="X629">
            <v>0.6</v>
          </cell>
        </row>
        <row r="630">
          <cell r="B630" t="str">
            <v>土石流</v>
          </cell>
          <cell r="E630" t="str">
            <v>高雄市</v>
          </cell>
          <cell r="F630" t="str">
            <v>六龜區</v>
          </cell>
          <cell r="N630" t="str">
            <v>0728豪雨</v>
          </cell>
          <cell r="T630">
            <v>6</v>
          </cell>
          <cell r="U630">
            <v>570.29999999999995</v>
          </cell>
          <cell r="X630">
            <v>0.105</v>
          </cell>
        </row>
        <row r="631">
          <cell r="B631" t="str">
            <v>土石流</v>
          </cell>
          <cell r="E631" t="str">
            <v>南投縣</v>
          </cell>
          <cell r="F631" t="str">
            <v>信義鄉</v>
          </cell>
          <cell r="N631" t="str">
            <v>0728豪雨</v>
          </cell>
          <cell r="T631">
            <v>0.5</v>
          </cell>
          <cell r="U631">
            <v>511.7</v>
          </cell>
          <cell r="X631">
            <v>0.1</v>
          </cell>
        </row>
        <row r="632">
          <cell r="B632" t="str">
            <v>土石流、崩塌(山崩)</v>
          </cell>
          <cell r="E632" t="str">
            <v>高雄市</v>
          </cell>
          <cell r="F632" t="str">
            <v>桃源區</v>
          </cell>
          <cell r="N632" t="str">
            <v>0728豪雨</v>
          </cell>
          <cell r="T632">
            <v>6.5</v>
          </cell>
          <cell r="U632">
            <v>1023.9</v>
          </cell>
        </row>
        <row r="633">
          <cell r="B633" t="str">
            <v>崩塌(山崩)</v>
          </cell>
          <cell r="E633" t="str">
            <v>臺中市</v>
          </cell>
          <cell r="F633" t="str">
            <v>北屯區</v>
          </cell>
          <cell r="N633" t="str">
            <v>0728豪雨</v>
          </cell>
          <cell r="T633">
            <v>10</v>
          </cell>
          <cell r="U633">
            <v>467.8</v>
          </cell>
          <cell r="X633">
            <v>0.03</v>
          </cell>
        </row>
        <row r="634">
          <cell r="B634" t="str">
            <v>崩塌(山崩)</v>
          </cell>
          <cell r="E634" t="str">
            <v>彰化縣</v>
          </cell>
          <cell r="F634" t="str">
            <v>芬園鄉</v>
          </cell>
          <cell r="N634" t="str">
            <v>0728豪雨</v>
          </cell>
          <cell r="T634">
            <v>2.5</v>
          </cell>
          <cell r="U634">
            <v>330.4</v>
          </cell>
          <cell r="X634">
            <v>0.08</v>
          </cell>
        </row>
        <row r="635">
          <cell r="B635" t="str">
            <v>崩塌(沖蝕)</v>
          </cell>
          <cell r="E635" t="str">
            <v>彰化縣</v>
          </cell>
          <cell r="F635" t="str">
            <v>二水鄉</v>
          </cell>
          <cell r="N635" t="str">
            <v>0728豪雨</v>
          </cell>
          <cell r="T635">
            <v>37</v>
          </cell>
          <cell r="U635">
            <v>292.3</v>
          </cell>
          <cell r="X635">
            <v>0.06</v>
          </cell>
        </row>
        <row r="636">
          <cell r="B636" t="str">
            <v>崩塌(沖蝕)</v>
          </cell>
          <cell r="E636" t="str">
            <v>彰化縣</v>
          </cell>
          <cell r="F636" t="str">
            <v>二水鄉</v>
          </cell>
          <cell r="N636" t="str">
            <v>0728豪雨</v>
          </cell>
          <cell r="T636">
            <v>37</v>
          </cell>
          <cell r="U636">
            <v>292.3</v>
          </cell>
          <cell r="X636">
            <v>0.06</v>
          </cell>
        </row>
        <row r="637">
          <cell r="B637" t="str">
            <v>崩塌(山崩)</v>
          </cell>
          <cell r="E637" t="str">
            <v>臺南市</v>
          </cell>
          <cell r="F637" t="str">
            <v>南化區</v>
          </cell>
          <cell r="N637" t="str">
            <v>0728豪雨</v>
          </cell>
          <cell r="T637">
            <v>54</v>
          </cell>
          <cell r="U637">
            <v>331.4</v>
          </cell>
          <cell r="X637">
            <v>0.5</v>
          </cell>
        </row>
        <row r="638">
          <cell r="B638" t="str">
            <v>崩塌(山崩)、土石流</v>
          </cell>
          <cell r="E638" t="str">
            <v>高雄市</v>
          </cell>
          <cell r="F638" t="str">
            <v>六龜區</v>
          </cell>
          <cell r="N638" t="str">
            <v>0728豪雨</v>
          </cell>
          <cell r="T638">
            <v>10.5</v>
          </cell>
          <cell r="U638">
            <v>753.4</v>
          </cell>
          <cell r="X638">
            <v>7.4999999999999997E-2</v>
          </cell>
        </row>
        <row r="639">
          <cell r="B639" t="str">
            <v>崩塌(山崩)</v>
          </cell>
          <cell r="E639" t="str">
            <v>臺南市</v>
          </cell>
          <cell r="F639" t="str">
            <v>柳營區</v>
          </cell>
          <cell r="N639" t="str">
            <v>0728豪雨</v>
          </cell>
          <cell r="T639">
            <v>0</v>
          </cell>
          <cell r="U639">
            <v>262.39999999999998</v>
          </cell>
          <cell r="X639">
            <v>0.03</v>
          </cell>
        </row>
        <row r="640">
          <cell r="B640" t="str">
            <v>土石流、崩塌(山崩)</v>
          </cell>
          <cell r="E640" t="str">
            <v>高雄市</v>
          </cell>
          <cell r="F640" t="str">
            <v>六龜區</v>
          </cell>
          <cell r="N640" t="str">
            <v>0728豪雨</v>
          </cell>
          <cell r="T640">
            <v>13</v>
          </cell>
          <cell r="U640">
            <v>643.5</v>
          </cell>
          <cell r="X640">
            <v>0.15</v>
          </cell>
        </row>
        <row r="641">
          <cell r="B641" t="str">
            <v>土石流、崩塌(山崩)</v>
          </cell>
          <cell r="E641" t="str">
            <v>高雄市</v>
          </cell>
          <cell r="F641" t="str">
            <v>六龜區</v>
          </cell>
          <cell r="N641" t="str">
            <v>0728豪雨</v>
          </cell>
          <cell r="T641">
            <v>13</v>
          </cell>
          <cell r="U641">
            <v>643.5</v>
          </cell>
          <cell r="X641">
            <v>0.15</v>
          </cell>
        </row>
        <row r="642">
          <cell r="B642" t="str">
            <v>土石流</v>
          </cell>
          <cell r="E642" t="str">
            <v>高雄市</v>
          </cell>
          <cell r="F642" t="str">
            <v>六龜區</v>
          </cell>
          <cell r="N642" t="str">
            <v>0728豪雨</v>
          </cell>
          <cell r="T642">
            <v>45</v>
          </cell>
          <cell r="U642">
            <v>661.2</v>
          </cell>
          <cell r="X642">
            <v>0.2</v>
          </cell>
        </row>
        <row r="643">
          <cell r="B643" t="str">
            <v>土石流、崩塌(山崩)</v>
          </cell>
          <cell r="E643" t="str">
            <v>高雄市</v>
          </cell>
          <cell r="F643" t="str">
            <v>六龜區</v>
          </cell>
          <cell r="N643" t="str">
            <v>0728豪雨</v>
          </cell>
          <cell r="T643">
            <v>10</v>
          </cell>
          <cell r="U643">
            <v>1058.9000000000001</v>
          </cell>
          <cell r="X643">
            <v>0.1</v>
          </cell>
        </row>
        <row r="644">
          <cell r="B644" t="str">
            <v>崩塌(山崩)</v>
          </cell>
          <cell r="E644" t="str">
            <v>彰化縣</v>
          </cell>
          <cell r="F644" t="str">
            <v>員林市</v>
          </cell>
          <cell r="N644" t="str">
            <v>0728豪雨</v>
          </cell>
          <cell r="T644">
            <v>7</v>
          </cell>
          <cell r="U644">
            <v>258.39999999999998</v>
          </cell>
          <cell r="X644">
            <v>1.4999999999999999E-2</v>
          </cell>
        </row>
        <row r="645">
          <cell r="B645" t="str">
            <v>崩塌</v>
          </cell>
          <cell r="E645" t="str">
            <v>臺北市</v>
          </cell>
          <cell r="F645" t="str">
            <v>文山區</v>
          </cell>
          <cell r="N645" t="str">
            <v>1020豪雨</v>
          </cell>
          <cell r="T645">
            <v>9</v>
          </cell>
          <cell r="U645">
            <v>225.9</v>
          </cell>
          <cell r="X645">
            <v>0.03</v>
          </cell>
        </row>
        <row r="646">
          <cell r="B646" t="str">
            <v>崩塌</v>
          </cell>
          <cell r="E646" t="str">
            <v>新北市</v>
          </cell>
          <cell r="F646" t="str">
            <v>三峽區</v>
          </cell>
          <cell r="N646" t="str">
            <v>1020豪雨</v>
          </cell>
          <cell r="T646">
            <v>8.5</v>
          </cell>
          <cell r="U646">
            <v>311.89999999999998</v>
          </cell>
          <cell r="X646">
            <v>2.5000000000000001E-3</v>
          </cell>
        </row>
        <row r="647">
          <cell r="B647" t="str">
            <v>崩塌</v>
          </cell>
          <cell r="E647" t="str">
            <v>新北市</v>
          </cell>
          <cell r="F647" t="str">
            <v>汐止區</v>
          </cell>
          <cell r="N647" t="str">
            <v>1020豪雨</v>
          </cell>
          <cell r="T647">
            <v>27.5</v>
          </cell>
          <cell r="U647">
            <v>838</v>
          </cell>
          <cell r="X647">
            <v>0.08</v>
          </cell>
        </row>
        <row r="648">
          <cell r="B648" t="str">
            <v>崩塌(山崩)</v>
          </cell>
          <cell r="E648" t="str">
            <v>新北市</v>
          </cell>
          <cell r="F648" t="str">
            <v>新店區</v>
          </cell>
          <cell r="N648" t="str">
            <v>1020豪雨</v>
          </cell>
          <cell r="T648">
            <v>10.5</v>
          </cell>
          <cell r="U648">
            <v>145.19999999999999</v>
          </cell>
          <cell r="X648">
            <v>0.05</v>
          </cell>
        </row>
        <row r="649">
          <cell r="B649" t="str">
            <v>崩塌(沖蝕)</v>
          </cell>
          <cell r="E649" t="str">
            <v>新北市</v>
          </cell>
          <cell r="F649" t="str">
            <v>雙溪區</v>
          </cell>
          <cell r="N649" t="str">
            <v>1020豪雨</v>
          </cell>
          <cell r="T649">
            <v>3</v>
          </cell>
          <cell r="U649">
            <v>409.3</v>
          </cell>
          <cell r="X649">
            <v>2.266</v>
          </cell>
        </row>
        <row r="650">
          <cell r="B650" t="str">
            <v>崩塌(沖蝕)</v>
          </cell>
          <cell r="E650" t="str">
            <v>宜蘭縣</v>
          </cell>
          <cell r="F650" t="str">
            <v>蘇澳鎮</v>
          </cell>
          <cell r="N650" t="str">
            <v>鳳凰颱風</v>
          </cell>
          <cell r="T650">
            <v>55.5</v>
          </cell>
          <cell r="U650">
            <v>323.8</v>
          </cell>
          <cell r="X650">
            <v>1.2800000000000001E-2</v>
          </cell>
        </row>
        <row r="651">
          <cell r="B651" t="str">
            <v>崩塌(沖蝕)</v>
          </cell>
          <cell r="E651" t="str">
            <v>宜蘭縣</v>
          </cell>
          <cell r="F651" t="str">
            <v>蘇澳鎮</v>
          </cell>
          <cell r="N651" t="str">
            <v>鳳凰颱風</v>
          </cell>
          <cell r="T651">
            <v>80</v>
          </cell>
          <cell r="U651">
            <v>671.3</v>
          </cell>
          <cell r="X651">
            <v>0.16200000000000001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980C-C753-4BBE-97C2-90FCD1ECC884}">
  <dimension ref="A1:CH6"/>
  <sheetViews>
    <sheetView tabSelected="1" topLeftCell="O1" workbookViewId="0">
      <selection activeCell="A7" sqref="A7"/>
    </sheetView>
  </sheetViews>
  <sheetFormatPr defaultRowHeight="16.5" x14ac:dyDescent="0.25"/>
  <cols>
    <col min="1" max="1" width="16.375" bestFit="1" customWidth="1"/>
    <col min="2" max="2" width="24.75" bestFit="1" customWidth="1"/>
    <col min="3" max="3" width="11.625" bestFit="1" customWidth="1"/>
    <col min="4" max="4" width="9.5" bestFit="1" customWidth="1"/>
    <col min="5" max="6" width="13.875" bestFit="1" customWidth="1"/>
    <col min="7" max="7" width="17.5" bestFit="1" customWidth="1"/>
    <col min="8" max="8" width="9.5" bestFit="1" customWidth="1"/>
    <col min="9" max="9" width="20.5" bestFit="1" customWidth="1"/>
    <col min="10" max="10" width="12.625" bestFit="1" customWidth="1"/>
    <col min="11" max="12" width="17.25" bestFit="1" customWidth="1"/>
    <col min="13" max="15" width="18.375" bestFit="1" customWidth="1"/>
    <col min="16" max="17" width="18" bestFit="1" customWidth="1"/>
    <col min="18" max="18" width="19.75" bestFit="1" customWidth="1"/>
    <col min="19" max="19" width="26.375" bestFit="1" customWidth="1"/>
    <col min="20" max="20" width="16.875" bestFit="1" customWidth="1"/>
    <col min="21" max="22" width="16.125" bestFit="1" customWidth="1"/>
    <col min="23" max="23" width="11.625" bestFit="1" customWidth="1"/>
    <col min="24" max="25" width="13.875" bestFit="1" customWidth="1"/>
    <col min="26" max="27" width="10.5" bestFit="1" customWidth="1"/>
    <col min="28" max="29" width="11.625" bestFit="1" customWidth="1"/>
    <col min="30" max="32" width="18.125" bestFit="1" customWidth="1"/>
    <col min="33" max="34" width="19.25" bestFit="1" customWidth="1"/>
    <col min="35" max="37" width="15" bestFit="1" customWidth="1"/>
    <col min="38" max="38" width="18.375" bestFit="1" customWidth="1"/>
    <col min="39" max="39" width="16.125" bestFit="1" customWidth="1"/>
    <col min="40" max="42" width="18.125" bestFit="1" customWidth="1"/>
    <col min="43" max="44" width="19.25" bestFit="1" customWidth="1"/>
    <col min="45" max="45" width="13.875" bestFit="1" customWidth="1"/>
    <col min="46" max="47" width="9.5" bestFit="1" customWidth="1"/>
    <col min="48" max="48" width="11.625" bestFit="1" customWidth="1"/>
    <col min="49" max="49" width="7.5" bestFit="1" customWidth="1"/>
  </cols>
  <sheetData>
    <row r="1" spans="1:86" x14ac:dyDescent="0.25">
      <c r="A1" t="s">
        <v>89</v>
      </c>
      <c r="B1" t="s">
        <v>62</v>
      </c>
    </row>
    <row r="2" spans="1:8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s="1" t="s">
        <v>21</v>
      </c>
      <c r="X2" s="2" t="s">
        <v>22</v>
      </c>
      <c r="Y2" s="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s="2" t="s">
        <v>43</v>
      </c>
      <c r="AT2" t="s">
        <v>44</v>
      </c>
      <c r="AU2" t="s">
        <v>45</v>
      </c>
      <c r="AV2" t="s">
        <v>46</v>
      </c>
      <c r="AW2" t="s">
        <v>47</v>
      </c>
    </row>
    <row r="3" spans="1:86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G3" t="s">
        <v>52</v>
      </c>
      <c r="H3">
        <v>101</v>
      </c>
      <c r="I3" t="s">
        <v>53</v>
      </c>
      <c r="J3" s="4">
        <v>41123.083333333336</v>
      </c>
      <c r="K3">
        <v>1</v>
      </c>
      <c r="M3">
        <v>0.56499999999999995</v>
      </c>
      <c r="N3" t="str">
        <f>IF(SUMIFS([1]水保局全省災害資料!$X:$X, [1]水保局全省災害資料!$E:$E, B3, [1]水保局全省災害資料!$F:$F, C3, [1]水保局全省災害資料!$N:$N, I3)=0, "", SUMIFS([1]水保局全省災害資料!$X:$X, [1]水保局全省災害資料!$E:$E, B3, [1]水保局全省災害資料!$F:$F, C3, [1]水保局全省災害資料!$N:$N, I3))</f>
        <v/>
      </c>
      <c r="O3">
        <v>0.30146195710169671</v>
      </c>
      <c r="P3">
        <v>3.0599722548287271</v>
      </c>
      <c r="Q3" t="s">
        <v>54</v>
      </c>
      <c r="R3">
        <v>1</v>
      </c>
      <c r="T3">
        <v>450</v>
      </c>
      <c r="U3" t="s">
        <v>55</v>
      </c>
      <c r="V3" t="s">
        <v>56</v>
      </c>
      <c r="W3">
        <v>878.5</v>
      </c>
      <c r="X3">
        <v>74.5</v>
      </c>
      <c r="Y3">
        <v>668.9</v>
      </c>
      <c r="Z3">
        <v>158</v>
      </c>
      <c r="AA3">
        <v>259</v>
      </c>
      <c r="AB3">
        <v>333</v>
      </c>
      <c r="AC3">
        <v>442.5</v>
      </c>
      <c r="AD3" t="s">
        <v>57</v>
      </c>
      <c r="AE3" t="s">
        <v>58</v>
      </c>
      <c r="AF3" t="s">
        <v>59</v>
      </c>
      <c r="AG3" t="s">
        <v>58</v>
      </c>
      <c r="AH3" t="s">
        <v>58</v>
      </c>
      <c r="AI3">
        <v>74.5</v>
      </c>
      <c r="AJ3">
        <v>178</v>
      </c>
      <c r="AK3">
        <v>300</v>
      </c>
      <c r="AL3">
        <v>433</v>
      </c>
      <c r="AM3">
        <v>582.5</v>
      </c>
      <c r="AN3" t="s">
        <v>57</v>
      </c>
      <c r="AO3" t="s">
        <v>59</v>
      </c>
      <c r="AP3" t="s">
        <v>60</v>
      </c>
      <c r="AQ3" t="s">
        <v>61</v>
      </c>
      <c r="AR3" t="s">
        <v>61</v>
      </c>
      <c r="AS3">
        <v>59</v>
      </c>
      <c r="AT3">
        <f>IFERROR(INDEX([1]水保局全省災害資料!$X$2:$X$2000, MATCH(1, INDEX(([1]水保局全省災害資料!$T$2:$T$2000=X3)*([1]水保局全省災害資料!$U$2:$U$2000=Y3), 0, 1), 0)), "")</f>
        <v>0</v>
      </c>
      <c r="AU3">
        <f>IFERROR(INDEX([1]水保局全省災害資料!$T$2:$T$2000, MATCH(1, INDEX(([1]水保局全省災害資料!$T$2:$T$2000=X3)*([1]水保局全省災害資料!$U$2:$U$2000=Y3), 0, 1), 0)), "")</f>
        <v>74.5</v>
      </c>
      <c r="AV3">
        <f>IFERROR(INDEX([1]水保局全省災害資料!$U$2:$U$2000, MATCH(1, INDEX(([1]水保局全省災害資料!$T$2:$T$2000=X3)*([1]水保局全省災害資料!$U$2:$U$2000=Y3), 0, 1), 0)), "")</f>
        <v>668.9</v>
      </c>
      <c r="AW3" t="str">
        <f>IFERROR(INDEX([1]水保局全省災害資料!$B$2:$B$2000, MATCH(1, INDEX(([1]水保局全省災害資料!$T$2:$T$2000=X3)*([1]水保局全省災害資料!$U$2:$U$2000=Y3), 0, 1), 0)), "")</f>
        <v>土石流</v>
      </c>
    </row>
    <row r="4" spans="1:86" x14ac:dyDescent="0.25">
      <c r="B4" t="s">
        <v>63</v>
      </c>
    </row>
    <row r="5" spans="1:86" x14ac:dyDescent="0.25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s="1" t="s">
        <v>70</v>
      </c>
      <c r="I5" t="s">
        <v>71</v>
      </c>
      <c r="J5" s="2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</row>
    <row r="6" spans="1:86" s="2" customFormat="1" x14ac:dyDescent="0.25">
      <c r="A6" s="2">
        <v>215282</v>
      </c>
      <c r="B6" s="2" t="s">
        <v>55</v>
      </c>
      <c r="C6" s="2" t="s">
        <v>56</v>
      </c>
      <c r="D6" s="2">
        <v>322</v>
      </c>
      <c r="E6" s="2" t="s">
        <v>86</v>
      </c>
      <c r="F6" s="2" t="s">
        <v>87</v>
      </c>
      <c r="G6" s="2">
        <v>64</v>
      </c>
      <c r="H6" s="5">
        <v>878.5</v>
      </c>
      <c r="I6" s="2" t="s">
        <v>88</v>
      </c>
      <c r="J6" s="5">
        <v>74.5</v>
      </c>
      <c r="K6" s="2">
        <v>178</v>
      </c>
      <c r="L6" s="2">
        <v>300</v>
      </c>
      <c r="M6" s="2">
        <v>433</v>
      </c>
      <c r="N6" s="2">
        <v>582.5</v>
      </c>
      <c r="O6" s="2">
        <v>739</v>
      </c>
      <c r="P6" s="2">
        <v>6</v>
      </c>
      <c r="Q6" s="2">
        <v>10.3</v>
      </c>
      <c r="R6" s="2">
        <v>17.8</v>
      </c>
      <c r="S6" s="2">
        <v>737.5</v>
      </c>
      <c r="T6" s="2">
        <v>743.5</v>
      </c>
      <c r="U6" s="2">
        <v>747.8</v>
      </c>
      <c r="V6" s="2">
        <v>755.3</v>
      </c>
      <c r="W6" s="2">
        <v>6.5</v>
      </c>
      <c r="X6" s="2">
        <v>3.5</v>
      </c>
      <c r="Y6" s="2">
        <v>0.5</v>
      </c>
      <c r="Z6" s="2">
        <v>4</v>
      </c>
      <c r="AA6" s="2">
        <v>2</v>
      </c>
      <c r="AB6" s="2">
        <v>3</v>
      </c>
      <c r="AC6" s="2">
        <v>7.5</v>
      </c>
      <c r="AD6" s="2">
        <v>35.5</v>
      </c>
      <c r="AE6" s="2">
        <v>6</v>
      </c>
      <c r="AF6" s="2">
        <v>4</v>
      </c>
      <c r="AG6" s="2">
        <v>14</v>
      </c>
      <c r="AH6" s="2">
        <v>8</v>
      </c>
      <c r="AI6" s="2">
        <v>5</v>
      </c>
      <c r="AJ6" s="2">
        <v>20</v>
      </c>
      <c r="AK6" s="2">
        <v>14</v>
      </c>
      <c r="AL6" s="2">
        <v>6</v>
      </c>
      <c r="AM6" s="2">
        <v>0.5</v>
      </c>
      <c r="AN6" s="2">
        <v>9.5</v>
      </c>
      <c r="AO6" s="2">
        <v>2</v>
      </c>
      <c r="AP6" s="2">
        <v>0</v>
      </c>
      <c r="AQ6" s="2">
        <v>1.5</v>
      </c>
      <c r="AR6" s="2">
        <v>13.5</v>
      </c>
      <c r="AS6" s="2">
        <v>7</v>
      </c>
      <c r="AT6" s="2">
        <v>8.5</v>
      </c>
      <c r="AU6" s="2">
        <v>10.5</v>
      </c>
      <c r="AV6" s="2">
        <v>14</v>
      </c>
      <c r="AW6" s="2">
        <v>16.5</v>
      </c>
      <c r="AX6" s="2">
        <v>12.5</v>
      </c>
      <c r="AY6" s="2">
        <v>7.5</v>
      </c>
      <c r="AZ6" s="2">
        <v>2.5</v>
      </c>
      <c r="BA6" s="2">
        <v>8</v>
      </c>
      <c r="BB6" s="2">
        <v>24.5</v>
      </c>
      <c r="BC6" s="2">
        <v>0.5</v>
      </c>
      <c r="BD6" s="2">
        <v>4.5</v>
      </c>
      <c r="BE6" s="2">
        <v>0.5</v>
      </c>
      <c r="BF6" s="2">
        <v>1.5</v>
      </c>
      <c r="BG6" s="2">
        <v>9</v>
      </c>
      <c r="BH6" s="2">
        <v>0.5</v>
      </c>
      <c r="BI6" s="2">
        <v>0.5</v>
      </c>
      <c r="BJ6" s="2">
        <v>1</v>
      </c>
      <c r="BK6" s="2">
        <v>8</v>
      </c>
      <c r="BL6" s="2">
        <v>7</v>
      </c>
      <c r="BM6" s="2">
        <v>8</v>
      </c>
      <c r="BN6" s="2">
        <v>12</v>
      </c>
      <c r="BO6" s="2">
        <v>31</v>
      </c>
      <c r="BP6" s="2">
        <v>7</v>
      </c>
      <c r="BQ6" s="2">
        <v>24</v>
      </c>
      <c r="BR6" s="2">
        <v>6.5</v>
      </c>
      <c r="BS6" s="2">
        <v>7</v>
      </c>
      <c r="BT6" s="2">
        <v>18.5</v>
      </c>
      <c r="BU6" s="2">
        <v>17.5</v>
      </c>
      <c r="BV6" s="2">
        <v>9</v>
      </c>
      <c r="BW6" s="2">
        <v>15.5</v>
      </c>
      <c r="BX6" s="2">
        <v>24.5</v>
      </c>
      <c r="BY6" s="2">
        <v>36.5</v>
      </c>
      <c r="BZ6" s="2">
        <v>40</v>
      </c>
      <c r="CA6" s="2">
        <v>35</v>
      </c>
      <c r="CB6" s="2">
        <v>48.5</v>
      </c>
      <c r="CC6" s="2">
        <v>74.5</v>
      </c>
      <c r="CD6" s="2">
        <v>55</v>
      </c>
      <c r="CE6" s="2">
        <v>47</v>
      </c>
      <c r="CF6" s="2">
        <v>30</v>
      </c>
      <c r="CG6" s="2">
        <v>13</v>
      </c>
      <c r="CH6" s="2">
        <v>7.5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dcterms:created xsi:type="dcterms:W3CDTF">2026-05-14T09:38:56Z</dcterms:created>
  <dcterms:modified xsi:type="dcterms:W3CDTF">2026-05-15T03:09:19Z</dcterms:modified>
</cp:coreProperties>
</file>