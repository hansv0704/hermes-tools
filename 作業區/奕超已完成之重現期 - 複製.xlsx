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ans\Desktop\Alice_Brain_Arch_20260506_031953\作業區\"/>
    </mc:Choice>
  </mc:AlternateContent>
  <xr:revisionPtr revIDLastSave="0" documentId="13_ncr:1_{555AA498-663E-4A67-9454-3DA57EA0366D}" xr6:coauthVersionLast="36" xr6:coauthVersionMax="36" xr10:uidLastSave="{00000000-0000-0000-0000-000000000000}"/>
  <bookViews>
    <workbookView xWindow="0" yWindow="0" windowWidth="28800" windowHeight="11730" activeTab="2" xr2:uid="{00000000-000D-0000-FFFF-FFFF00000000}"/>
  </bookViews>
  <sheets>
    <sheet name="工作表1" sheetId="1" r:id="rId1"/>
    <sheet name="水保局全省災害資料" sheetId="3" r:id="rId2"/>
    <sheet name="作業區" sheetId="2" r:id="rId3"/>
  </sheets>
  <definedNames>
    <definedName name="_xlnm._FilterDatabase" localSheetId="0" hidden="1">工作表1!$A$1:$AR$272</definedName>
    <definedName name="_xlnm._FilterDatabase" localSheetId="1" hidden="1">水保局全省災害資料!$A$1:$AC$651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150" i="2" l="1"/>
  <c r="AU150" i="2"/>
  <c r="AT150" i="2"/>
  <c r="AS150" i="2"/>
  <c r="AV149" i="2"/>
  <c r="AU149" i="2"/>
  <c r="AT149" i="2"/>
  <c r="AS149" i="2"/>
  <c r="AV148" i="2"/>
  <c r="AU148" i="2"/>
  <c r="AT148" i="2"/>
  <c r="AS148" i="2"/>
  <c r="AV147" i="2"/>
  <c r="AU147" i="2"/>
  <c r="AT147" i="2"/>
  <c r="AS147" i="2"/>
  <c r="AV146" i="2"/>
  <c r="AU146" i="2"/>
  <c r="AT146" i="2"/>
  <c r="AS146" i="2"/>
  <c r="AV145" i="2"/>
  <c r="AU145" i="2"/>
  <c r="AT145" i="2"/>
  <c r="AS145" i="2"/>
  <c r="AV144" i="2"/>
  <c r="AU144" i="2"/>
  <c r="AT144" i="2"/>
  <c r="AS144" i="2"/>
  <c r="AV143" i="2"/>
  <c r="AU143" i="2"/>
  <c r="AT143" i="2"/>
  <c r="AS143" i="2"/>
  <c r="AV142" i="2"/>
  <c r="AU142" i="2"/>
  <c r="AT142" i="2"/>
  <c r="AS142" i="2"/>
  <c r="AV141" i="2"/>
  <c r="AU141" i="2"/>
  <c r="AT141" i="2"/>
  <c r="AS141" i="2"/>
  <c r="AV140" i="2"/>
  <c r="AU140" i="2"/>
  <c r="AT140" i="2"/>
  <c r="AS140" i="2"/>
  <c r="AV139" i="2"/>
  <c r="AU139" i="2"/>
  <c r="AT139" i="2"/>
  <c r="AS139" i="2"/>
  <c r="AV138" i="2"/>
  <c r="AU138" i="2"/>
  <c r="AT138" i="2"/>
  <c r="AS138" i="2"/>
  <c r="AV137" i="2"/>
  <c r="AU137" i="2"/>
  <c r="AT137" i="2"/>
  <c r="AS137" i="2"/>
  <c r="AV136" i="2"/>
  <c r="AU136" i="2"/>
  <c r="AT136" i="2"/>
  <c r="AS136" i="2"/>
  <c r="AV135" i="2"/>
  <c r="AU135" i="2"/>
  <c r="AT135" i="2"/>
  <c r="AS135" i="2"/>
  <c r="AV134" i="2"/>
  <c r="AU134" i="2"/>
  <c r="AT134" i="2"/>
  <c r="AS134" i="2"/>
  <c r="AV133" i="2"/>
  <c r="AU133" i="2"/>
  <c r="AT133" i="2"/>
  <c r="AS133" i="2"/>
  <c r="AV132" i="2"/>
  <c r="AU132" i="2"/>
  <c r="AT132" i="2"/>
  <c r="AS132" i="2"/>
  <c r="AV131" i="2"/>
  <c r="AU131" i="2"/>
  <c r="AT131" i="2"/>
  <c r="AS131" i="2"/>
  <c r="AV130" i="2"/>
  <c r="AU130" i="2"/>
  <c r="AT130" i="2"/>
  <c r="AS130" i="2"/>
  <c r="AV129" i="2"/>
  <c r="AU129" i="2"/>
  <c r="AT129" i="2"/>
  <c r="AS129" i="2"/>
  <c r="AV128" i="2"/>
  <c r="AU128" i="2"/>
  <c r="AT128" i="2"/>
  <c r="AS128" i="2"/>
  <c r="AV127" i="2"/>
  <c r="AU127" i="2"/>
  <c r="AT127" i="2"/>
  <c r="AS127" i="2"/>
  <c r="AV126" i="2"/>
  <c r="AU126" i="2"/>
  <c r="AT126" i="2"/>
  <c r="AS126" i="2"/>
  <c r="AV125" i="2"/>
  <c r="AU125" i="2"/>
  <c r="AT125" i="2"/>
  <c r="AS125" i="2"/>
  <c r="AV124" i="2"/>
  <c r="AU124" i="2"/>
  <c r="AT124" i="2"/>
  <c r="AS124" i="2"/>
  <c r="AV123" i="2"/>
  <c r="AU123" i="2"/>
  <c r="AT123" i="2"/>
  <c r="AS123" i="2"/>
  <c r="AV122" i="2"/>
  <c r="AU122" i="2"/>
  <c r="AT122" i="2"/>
  <c r="AS122" i="2"/>
  <c r="AV121" i="2"/>
  <c r="AU121" i="2"/>
  <c r="AT121" i="2"/>
  <c r="AS121" i="2"/>
  <c r="AV120" i="2"/>
  <c r="AU120" i="2"/>
  <c r="AT120" i="2"/>
  <c r="AS120" i="2"/>
  <c r="AV119" i="2"/>
  <c r="AU119" i="2"/>
  <c r="AT119" i="2"/>
  <c r="AS119" i="2"/>
  <c r="AV118" i="2"/>
  <c r="AU118" i="2"/>
  <c r="AT118" i="2"/>
  <c r="AS118" i="2"/>
  <c r="AV117" i="2"/>
  <c r="AU117" i="2"/>
  <c r="AT117" i="2"/>
  <c r="AS117" i="2"/>
  <c r="AV116" i="2"/>
  <c r="AU116" i="2"/>
  <c r="AT116" i="2"/>
  <c r="AS116" i="2"/>
  <c r="AV115" i="2"/>
  <c r="AU115" i="2"/>
  <c r="AT115" i="2"/>
  <c r="AS115" i="2"/>
  <c r="AV114" i="2"/>
  <c r="AU114" i="2"/>
  <c r="AT114" i="2"/>
  <c r="AS114" i="2"/>
  <c r="AV113" i="2"/>
  <c r="AU113" i="2"/>
  <c r="AT113" i="2"/>
  <c r="AS113" i="2"/>
  <c r="AV112" i="2"/>
  <c r="AU112" i="2"/>
  <c r="AT112" i="2"/>
  <c r="AS112" i="2"/>
  <c r="AV111" i="2"/>
  <c r="AU111" i="2"/>
  <c r="AT111" i="2"/>
  <c r="AS111" i="2"/>
  <c r="AV110" i="2"/>
  <c r="AU110" i="2"/>
  <c r="AT110" i="2"/>
  <c r="AS110" i="2"/>
  <c r="AV109" i="2"/>
  <c r="AU109" i="2"/>
  <c r="AT109" i="2"/>
  <c r="AS109" i="2"/>
  <c r="AV108" i="2"/>
  <c r="AU108" i="2"/>
  <c r="AT108" i="2"/>
  <c r="AS108" i="2"/>
  <c r="AV107" i="2"/>
  <c r="AU107" i="2"/>
  <c r="AT107" i="2"/>
  <c r="AS107" i="2"/>
  <c r="AV106" i="2"/>
  <c r="AU106" i="2"/>
  <c r="AT106" i="2"/>
  <c r="AS106" i="2"/>
  <c r="AV105" i="2"/>
  <c r="AU105" i="2"/>
  <c r="AT105" i="2"/>
  <c r="AS105" i="2"/>
  <c r="AV104" i="2"/>
  <c r="AU104" i="2"/>
  <c r="AT104" i="2"/>
  <c r="AS104" i="2"/>
  <c r="AV103" i="2"/>
  <c r="AU103" i="2"/>
  <c r="AT103" i="2"/>
  <c r="AS103" i="2"/>
  <c r="AV102" i="2"/>
  <c r="AU102" i="2"/>
  <c r="AT102" i="2"/>
  <c r="AS102" i="2"/>
  <c r="AV101" i="2"/>
  <c r="AU101" i="2"/>
  <c r="AT101" i="2"/>
  <c r="AS101" i="2"/>
  <c r="AV100" i="2"/>
  <c r="AU100" i="2"/>
  <c r="AT100" i="2"/>
  <c r="AS100" i="2"/>
  <c r="AV99" i="2"/>
  <c r="AU99" i="2"/>
  <c r="AT99" i="2"/>
  <c r="AS99" i="2"/>
  <c r="AV98" i="2"/>
  <c r="AU98" i="2"/>
  <c r="AT98" i="2"/>
  <c r="AS98" i="2"/>
  <c r="AV97" i="2"/>
  <c r="AU97" i="2"/>
  <c r="AT97" i="2"/>
  <c r="AS97" i="2"/>
  <c r="AV96" i="2"/>
  <c r="AU96" i="2"/>
  <c r="AT96" i="2"/>
  <c r="AS96" i="2"/>
  <c r="AV95" i="2"/>
  <c r="AU95" i="2"/>
  <c r="AT95" i="2"/>
  <c r="AS95" i="2"/>
  <c r="AV94" i="2"/>
  <c r="AU94" i="2"/>
  <c r="AT94" i="2"/>
  <c r="AS94" i="2"/>
  <c r="AV93" i="2"/>
  <c r="AU93" i="2"/>
  <c r="AT93" i="2"/>
  <c r="AS93" i="2"/>
  <c r="AV92" i="2"/>
  <c r="AU92" i="2"/>
  <c r="AT92" i="2"/>
  <c r="AS92" i="2"/>
  <c r="AV91" i="2"/>
  <c r="AU91" i="2"/>
  <c r="AT91" i="2"/>
  <c r="AS91" i="2"/>
  <c r="AV90" i="2"/>
  <c r="AU90" i="2"/>
  <c r="AT90" i="2"/>
  <c r="AS90" i="2"/>
  <c r="AV89" i="2"/>
  <c r="AU89" i="2"/>
  <c r="AT89" i="2"/>
  <c r="AS89" i="2"/>
  <c r="AV88" i="2"/>
  <c r="AU88" i="2"/>
  <c r="AT88" i="2"/>
  <c r="AS88" i="2"/>
  <c r="AV87" i="2"/>
  <c r="AU87" i="2"/>
  <c r="AT87" i="2"/>
  <c r="AS87" i="2"/>
  <c r="AV86" i="2"/>
  <c r="AU86" i="2"/>
  <c r="AT86" i="2"/>
  <c r="AS86" i="2"/>
  <c r="AV85" i="2"/>
  <c r="AU85" i="2"/>
  <c r="AT85" i="2"/>
  <c r="AS85" i="2"/>
  <c r="AV84" i="2"/>
  <c r="AU84" i="2"/>
  <c r="AT84" i="2"/>
  <c r="AS84" i="2"/>
  <c r="AV83" i="2"/>
  <c r="AU83" i="2"/>
  <c r="AT83" i="2"/>
  <c r="AS83" i="2"/>
  <c r="AV82" i="2"/>
  <c r="AU82" i="2"/>
  <c r="AT82" i="2"/>
  <c r="AS82" i="2"/>
  <c r="AV81" i="2"/>
  <c r="AU81" i="2"/>
  <c r="AT81" i="2"/>
  <c r="AS81" i="2"/>
  <c r="AV80" i="2"/>
  <c r="AU80" i="2"/>
  <c r="AT80" i="2"/>
  <c r="AS80" i="2"/>
  <c r="AV79" i="2"/>
  <c r="AU79" i="2"/>
  <c r="AT79" i="2"/>
  <c r="AS79" i="2"/>
  <c r="AV78" i="2"/>
  <c r="AU78" i="2"/>
  <c r="AT78" i="2"/>
  <c r="AS78" i="2"/>
  <c r="AV77" i="2"/>
  <c r="AU77" i="2"/>
  <c r="AT77" i="2"/>
  <c r="AS77" i="2"/>
  <c r="AV76" i="2"/>
  <c r="AU76" i="2"/>
  <c r="AT76" i="2"/>
  <c r="AS76" i="2"/>
  <c r="AV75" i="2"/>
  <c r="AU75" i="2"/>
  <c r="AT75" i="2"/>
  <c r="AS75" i="2"/>
  <c r="AV74" i="2"/>
  <c r="AU74" i="2"/>
  <c r="AT74" i="2"/>
  <c r="AS74" i="2"/>
  <c r="AV73" i="2"/>
  <c r="AU73" i="2"/>
  <c r="AT73" i="2"/>
  <c r="AS73" i="2"/>
  <c r="AV72" i="2"/>
  <c r="AU72" i="2"/>
  <c r="AT72" i="2"/>
  <c r="AS72" i="2"/>
  <c r="AV71" i="2"/>
  <c r="AU71" i="2"/>
  <c r="AT71" i="2"/>
  <c r="AS71" i="2"/>
  <c r="AV70" i="2"/>
  <c r="AU70" i="2"/>
  <c r="AT70" i="2"/>
  <c r="AS70" i="2"/>
  <c r="AV69" i="2"/>
  <c r="AU69" i="2"/>
  <c r="AT69" i="2"/>
  <c r="AS69" i="2"/>
  <c r="AV68" i="2"/>
  <c r="AU68" i="2"/>
  <c r="AT68" i="2"/>
  <c r="AS68" i="2"/>
  <c r="AV67" i="2"/>
  <c r="AU67" i="2"/>
  <c r="AT67" i="2"/>
  <c r="AS67" i="2"/>
  <c r="AV66" i="2"/>
  <c r="AU66" i="2"/>
  <c r="AT66" i="2"/>
  <c r="AS66" i="2"/>
  <c r="AV65" i="2"/>
  <c r="AU65" i="2"/>
  <c r="AT65" i="2"/>
  <c r="AS65" i="2"/>
  <c r="AV64" i="2"/>
  <c r="AU64" i="2"/>
  <c r="AT64" i="2"/>
  <c r="AS64" i="2"/>
  <c r="AV63" i="2"/>
  <c r="AU63" i="2"/>
  <c r="AT63" i="2"/>
  <c r="AS63" i="2"/>
  <c r="AV62" i="2"/>
  <c r="AU62" i="2"/>
  <c r="AT62" i="2"/>
  <c r="AS62" i="2"/>
  <c r="AV61" i="2"/>
  <c r="AU61" i="2"/>
  <c r="AT61" i="2"/>
  <c r="AS61" i="2"/>
  <c r="AV60" i="2"/>
  <c r="AU60" i="2"/>
  <c r="AT60" i="2"/>
  <c r="AS60" i="2"/>
  <c r="AV59" i="2"/>
  <c r="AU59" i="2"/>
  <c r="AT59" i="2"/>
  <c r="AS59" i="2"/>
  <c r="AV58" i="2"/>
  <c r="AU58" i="2"/>
  <c r="AT58" i="2"/>
  <c r="AS58" i="2"/>
  <c r="AV57" i="2"/>
  <c r="AU57" i="2"/>
  <c r="AT57" i="2"/>
  <c r="AS57" i="2"/>
  <c r="AV56" i="2"/>
  <c r="AU56" i="2"/>
  <c r="AT56" i="2"/>
  <c r="AS56" i="2"/>
  <c r="AV55" i="2"/>
  <c r="AU55" i="2"/>
  <c r="AT55" i="2"/>
  <c r="AS55" i="2"/>
  <c r="AV54" i="2"/>
  <c r="AU54" i="2"/>
  <c r="AT54" i="2"/>
  <c r="AS54" i="2"/>
  <c r="AV53" i="2"/>
  <c r="AU53" i="2"/>
  <c r="AT53" i="2"/>
  <c r="AS53" i="2"/>
  <c r="AV52" i="2"/>
  <c r="AU52" i="2"/>
  <c r="AT52" i="2"/>
  <c r="AS52" i="2"/>
  <c r="AV51" i="2"/>
  <c r="AU51" i="2"/>
  <c r="AT51" i="2"/>
  <c r="AS51" i="2"/>
  <c r="AV50" i="2"/>
  <c r="AU50" i="2"/>
  <c r="AT50" i="2"/>
  <c r="AS50" i="2"/>
  <c r="AV49" i="2"/>
  <c r="AU49" i="2"/>
  <c r="AT49" i="2"/>
  <c r="AS49" i="2"/>
  <c r="AV48" i="2"/>
  <c r="AU48" i="2"/>
  <c r="AT48" i="2"/>
  <c r="AS48" i="2"/>
  <c r="AV47" i="2"/>
  <c r="AU47" i="2"/>
  <c r="AT47" i="2"/>
  <c r="AS47" i="2"/>
  <c r="AV46" i="2"/>
  <c r="AU46" i="2"/>
  <c r="AT46" i="2"/>
  <c r="AS46" i="2"/>
  <c r="AV45" i="2"/>
  <c r="AU45" i="2"/>
  <c r="AT45" i="2"/>
  <c r="AS45" i="2"/>
  <c r="AV44" i="2"/>
  <c r="AU44" i="2"/>
  <c r="AT44" i="2"/>
  <c r="AS44" i="2"/>
  <c r="AV43" i="2"/>
  <c r="AU43" i="2"/>
  <c r="AT43" i="2"/>
  <c r="AS43" i="2"/>
  <c r="AV42" i="2"/>
  <c r="AU42" i="2"/>
  <c r="AT42" i="2"/>
  <c r="AS42" i="2"/>
  <c r="AV41" i="2"/>
  <c r="AU41" i="2"/>
  <c r="AT41" i="2"/>
  <c r="AS41" i="2"/>
  <c r="AV40" i="2"/>
  <c r="AU40" i="2"/>
  <c r="AT40" i="2"/>
  <c r="AS40" i="2"/>
  <c r="AV39" i="2"/>
  <c r="AU39" i="2"/>
  <c r="AT39" i="2"/>
  <c r="AS39" i="2"/>
  <c r="AV38" i="2"/>
  <c r="AU38" i="2"/>
  <c r="AT38" i="2"/>
  <c r="AS38" i="2"/>
  <c r="AV37" i="2"/>
  <c r="AU37" i="2"/>
  <c r="AT37" i="2"/>
  <c r="AS37" i="2"/>
  <c r="AV36" i="2"/>
  <c r="AU36" i="2"/>
  <c r="AT36" i="2"/>
  <c r="AS36" i="2"/>
  <c r="AV35" i="2"/>
  <c r="AU35" i="2"/>
  <c r="AT35" i="2"/>
  <c r="AS35" i="2"/>
  <c r="AV34" i="2"/>
  <c r="AU34" i="2"/>
  <c r="AT34" i="2"/>
  <c r="AS34" i="2"/>
  <c r="AV33" i="2"/>
  <c r="AU33" i="2"/>
  <c r="AT33" i="2"/>
  <c r="AS33" i="2"/>
  <c r="AV32" i="2"/>
  <c r="AU32" i="2"/>
  <c r="AT32" i="2"/>
  <c r="AS32" i="2"/>
  <c r="AV31" i="2"/>
  <c r="AU31" i="2"/>
  <c r="AT31" i="2"/>
  <c r="AS31" i="2"/>
  <c r="AV30" i="2"/>
  <c r="AU30" i="2"/>
  <c r="AT30" i="2"/>
  <c r="AS30" i="2"/>
  <c r="AV29" i="2"/>
  <c r="AU29" i="2"/>
  <c r="AT29" i="2"/>
  <c r="AS29" i="2"/>
  <c r="AV28" i="2"/>
  <c r="AU28" i="2"/>
  <c r="AT28" i="2"/>
  <c r="AS28" i="2"/>
  <c r="AV27" i="2"/>
  <c r="AU27" i="2"/>
  <c r="AT27" i="2"/>
  <c r="AS27" i="2"/>
  <c r="AV26" i="2"/>
  <c r="AU26" i="2"/>
  <c r="AT26" i="2"/>
  <c r="AS26" i="2"/>
  <c r="AV25" i="2"/>
  <c r="AU25" i="2"/>
  <c r="AT25" i="2"/>
  <c r="AS25" i="2"/>
  <c r="AV24" i="2"/>
  <c r="AU24" i="2"/>
  <c r="AT24" i="2"/>
  <c r="AS24" i="2"/>
  <c r="AV23" i="2"/>
  <c r="AU23" i="2"/>
  <c r="AT23" i="2"/>
  <c r="AS23" i="2"/>
  <c r="AV22" i="2"/>
  <c r="AU22" i="2"/>
  <c r="AT22" i="2"/>
  <c r="AS22" i="2"/>
  <c r="AV21" i="2"/>
  <c r="AU21" i="2"/>
  <c r="AT21" i="2"/>
  <c r="AS21" i="2"/>
  <c r="AV20" i="2"/>
  <c r="AU20" i="2"/>
  <c r="AT20" i="2"/>
  <c r="AS20" i="2"/>
  <c r="AV19" i="2"/>
  <c r="AU19" i="2"/>
  <c r="AT19" i="2"/>
  <c r="AS19" i="2"/>
  <c r="AV18" i="2"/>
  <c r="AU18" i="2"/>
  <c r="AT18" i="2"/>
  <c r="AS18" i="2"/>
  <c r="AV17" i="2"/>
  <c r="AU17" i="2"/>
  <c r="AT17" i="2"/>
  <c r="AS17" i="2"/>
  <c r="AV16" i="2"/>
  <c r="AU16" i="2"/>
  <c r="AT16" i="2"/>
  <c r="AS16" i="2"/>
  <c r="AV15" i="2"/>
  <c r="AU15" i="2"/>
  <c r="AT15" i="2"/>
  <c r="AS15" i="2"/>
  <c r="AV14" i="2"/>
  <c r="AU14" i="2"/>
  <c r="AT14" i="2"/>
  <c r="AS14" i="2"/>
  <c r="AV13" i="2"/>
  <c r="AU13" i="2"/>
  <c r="AT13" i="2"/>
  <c r="AS13" i="2"/>
  <c r="AV12" i="2"/>
  <c r="AU12" i="2"/>
  <c r="AT12" i="2"/>
  <c r="AS12" i="2"/>
  <c r="AV11" i="2"/>
  <c r="AU11" i="2"/>
  <c r="AT11" i="2"/>
  <c r="AS11" i="2"/>
  <c r="AV10" i="2"/>
  <c r="AU10" i="2"/>
  <c r="AT10" i="2"/>
  <c r="AS10" i="2"/>
  <c r="AV9" i="2"/>
  <c r="AU9" i="2"/>
  <c r="AT9" i="2"/>
  <c r="AS9" i="2"/>
  <c r="AV8" i="2"/>
  <c r="AU8" i="2"/>
  <c r="AT8" i="2"/>
  <c r="AS8" i="2"/>
  <c r="AV7" i="2"/>
  <c r="AU7" i="2"/>
  <c r="AT7" i="2"/>
  <c r="AS7" i="2"/>
  <c r="AV6" i="2"/>
  <c r="AU6" i="2"/>
  <c r="AT6" i="2"/>
  <c r="AS6" i="2"/>
  <c r="AV5" i="2"/>
  <c r="AU5" i="2"/>
  <c r="AT5" i="2"/>
  <c r="AS5" i="2"/>
  <c r="AV4" i="2"/>
  <c r="AU4" i="2"/>
  <c r="AT4" i="2"/>
  <c r="AS4" i="2"/>
  <c r="AV3" i="2"/>
  <c r="AU3" i="2"/>
  <c r="AT3" i="2"/>
  <c r="AS3" i="2"/>
  <c r="AV2" i="2"/>
  <c r="AU2" i="2"/>
  <c r="AT2" i="2"/>
  <c r="AS2" i="2"/>
  <c r="M150" i="2" l="1"/>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A651" i="3" l="1"/>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W559" i="3"/>
  <c r="A559" i="3"/>
  <c r="W558" i="3"/>
  <c r="A558" i="3"/>
  <c r="W557" i="3"/>
  <c r="A557" i="3"/>
  <c r="W556" i="3"/>
  <c r="A556" i="3"/>
  <c r="W555" i="3"/>
  <c r="A555" i="3"/>
  <c r="W554" i="3"/>
  <c r="A554" i="3"/>
  <c r="A553" i="3"/>
  <c r="A552" i="3"/>
  <c r="A551" i="3"/>
  <c r="A550" i="3"/>
  <c r="A549" i="3"/>
  <c r="A548" i="3"/>
  <c r="A547" i="3"/>
  <c r="A546" i="3"/>
  <c r="A545" i="3"/>
  <c r="A544" i="3"/>
  <c r="A543" i="3"/>
  <c r="A542" i="3"/>
  <c r="A541" i="3"/>
  <c r="A540" i="3"/>
  <c r="A539" i="3"/>
  <c r="A538" i="3"/>
  <c r="W537" i="3"/>
  <c r="A537" i="3"/>
  <c r="W536" i="3"/>
  <c r="A536" i="3"/>
  <c r="W535" i="3"/>
  <c r="A535" i="3"/>
  <c r="W534" i="3"/>
  <c r="A534" i="3"/>
  <c r="W533" i="3"/>
  <c r="A533" i="3"/>
  <c r="W532" i="3"/>
  <c r="A532" i="3"/>
  <c r="W531" i="3"/>
  <c r="A531" i="3"/>
  <c r="W530" i="3"/>
  <c r="A530" i="3"/>
  <c r="W529" i="3"/>
  <c r="A529" i="3"/>
  <c r="W528" i="3"/>
  <c r="A528" i="3"/>
  <c r="W527" i="3"/>
  <c r="A527" i="3"/>
  <c r="W526" i="3"/>
  <c r="A526" i="3"/>
  <c r="W525" i="3"/>
  <c r="A525" i="3"/>
  <c r="W524" i="3"/>
  <c r="A524" i="3"/>
  <c r="W523" i="3"/>
  <c r="A523" i="3"/>
  <c r="W522" i="3"/>
  <c r="A522" i="3"/>
  <c r="W521" i="3"/>
  <c r="A521" i="3"/>
  <c r="W520" i="3"/>
  <c r="A520" i="3"/>
  <c r="W519" i="3"/>
  <c r="A519" i="3"/>
  <c r="W518" i="3"/>
  <c r="A518" i="3"/>
  <c r="W517" i="3"/>
  <c r="A517" i="3"/>
  <c r="W516" i="3"/>
  <c r="A516" i="3"/>
  <c r="W515" i="3"/>
  <c r="A515" i="3"/>
  <c r="W514" i="3"/>
  <c r="A514" i="3"/>
  <c r="W513" i="3"/>
  <c r="A513" i="3"/>
  <c r="W512" i="3"/>
  <c r="A512" i="3"/>
  <c r="W511" i="3"/>
  <c r="A511" i="3"/>
  <c r="W510" i="3"/>
  <c r="A510" i="3"/>
  <c r="W509" i="3"/>
  <c r="A509" i="3"/>
  <c r="W508" i="3"/>
  <c r="A508" i="3"/>
  <c r="W507" i="3"/>
  <c r="A507" i="3"/>
  <c r="W506" i="3"/>
  <c r="A506" i="3"/>
  <c r="W505" i="3"/>
  <c r="A505" i="3"/>
  <c r="W504" i="3"/>
  <c r="A504" i="3"/>
  <c r="W503" i="3"/>
  <c r="A503" i="3"/>
  <c r="W502" i="3"/>
  <c r="A502" i="3"/>
  <c r="W501" i="3"/>
  <c r="A501" i="3"/>
  <c r="W500" i="3"/>
  <c r="A500" i="3"/>
  <c r="W499" i="3"/>
  <c r="A499" i="3"/>
  <c r="W498" i="3"/>
  <c r="A498" i="3"/>
  <c r="W497" i="3"/>
  <c r="A497" i="3"/>
  <c r="W496" i="3"/>
  <c r="A496" i="3"/>
  <c r="W495" i="3"/>
  <c r="A495" i="3"/>
  <c r="W494" i="3"/>
  <c r="A494" i="3"/>
  <c r="W493" i="3"/>
  <c r="A493" i="3"/>
  <c r="W492" i="3"/>
  <c r="A492" i="3"/>
  <c r="W491" i="3"/>
  <c r="A491" i="3"/>
  <c r="W490" i="3"/>
  <c r="A490" i="3"/>
  <c r="W489" i="3"/>
  <c r="A489" i="3"/>
  <c r="W488" i="3"/>
  <c r="A488" i="3"/>
  <c r="W487" i="3"/>
  <c r="A487" i="3"/>
  <c r="W486" i="3"/>
  <c r="A486" i="3"/>
  <c r="W485" i="3"/>
  <c r="A485" i="3"/>
  <c r="W484" i="3"/>
  <c r="A484" i="3"/>
  <c r="W483" i="3"/>
  <c r="A483" i="3"/>
  <c r="W482" i="3"/>
  <c r="A482" i="3"/>
  <c r="W481" i="3"/>
  <c r="A481" i="3"/>
  <c r="W480" i="3"/>
  <c r="A480" i="3"/>
  <c r="W479" i="3"/>
  <c r="A479" i="3"/>
  <c r="W478" i="3"/>
  <c r="A478" i="3"/>
  <c r="W477" i="3"/>
  <c r="A477" i="3"/>
  <c r="W476" i="3"/>
  <c r="A476" i="3"/>
  <c r="W475" i="3"/>
  <c r="A475" i="3"/>
  <c r="W474" i="3"/>
  <c r="A474" i="3"/>
  <c r="W473" i="3"/>
  <c r="A473" i="3"/>
  <c r="W472" i="3"/>
  <c r="A472" i="3"/>
  <c r="W471" i="3"/>
  <c r="A471" i="3"/>
  <c r="W470" i="3"/>
  <c r="A470" i="3"/>
  <c r="W469" i="3"/>
  <c r="A469" i="3"/>
  <c r="W468" i="3"/>
  <c r="A468" i="3"/>
  <c r="W467" i="3"/>
  <c r="A467" i="3"/>
  <c r="W466" i="3"/>
  <c r="A466" i="3"/>
  <c r="W465" i="3"/>
  <c r="A465" i="3"/>
  <c r="W464" i="3"/>
  <c r="A464" i="3"/>
  <c r="W463" i="3"/>
  <c r="A463" i="3"/>
  <c r="W462" i="3"/>
  <c r="A462" i="3"/>
  <c r="W461" i="3"/>
  <c r="A461" i="3"/>
  <c r="W460" i="3"/>
  <c r="A460" i="3"/>
  <c r="W459" i="3"/>
  <c r="A459" i="3"/>
  <c r="W458" i="3"/>
  <c r="A458" i="3"/>
  <c r="W457" i="3"/>
  <c r="A457" i="3"/>
  <c r="W456" i="3"/>
  <c r="A456" i="3"/>
  <c r="W455" i="3"/>
  <c r="A455" i="3"/>
  <c r="W454" i="3"/>
  <c r="A454" i="3"/>
  <c r="W453" i="3"/>
  <c r="A453" i="3"/>
  <c r="W452" i="3"/>
  <c r="A452" i="3"/>
  <c r="W451" i="3"/>
  <c r="A451" i="3"/>
  <c r="W450" i="3"/>
  <c r="A450" i="3"/>
  <c r="W449" i="3"/>
  <c r="A449" i="3"/>
  <c r="W448" i="3"/>
  <c r="A448" i="3"/>
  <c r="W447" i="3"/>
  <c r="A447" i="3"/>
  <c r="W446" i="3"/>
  <c r="A446" i="3"/>
  <c r="W445" i="3"/>
  <c r="A445" i="3"/>
  <c r="W444" i="3"/>
  <c r="A444" i="3"/>
  <c r="W443" i="3"/>
  <c r="A443" i="3"/>
  <c r="W442" i="3"/>
  <c r="A442" i="3"/>
  <c r="W441" i="3"/>
  <c r="A441" i="3"/>
  <c r="W440" i="3"/>
  <c r="A440" i="3"/>
  <c r="W439" i="3"/>
  <c r="A439" i="3"/>
  <c r="W438" i="3"/>
  <c r="A438" i="3"/>
  <c r="W437" i="3"/>
  <c r="A437" i="3"/>
  <c r="W436" i="3"/>
  <c r="A436" i="3"/>
  <c r="W435" i="3"/>
  <c r="A435" i="3"/>
  <c r="W434" i="3"/>
  <c r="A434" i="3"/>
  <c r="W433" i="3"/>
  <c r="A433" i="3"/>
  <c r="W432" i="3"/>
  <c r="A432" i="3"/>
  <c r="W431" i="3"/>
  <c r="A431" i="3"/>
  <c r="W430" i="3"/>
  <c r="A430" i="3"/>
  <c r="W429" i="3"/>
  <c r="A429" i="3"/>
  <c r="W428" i="3"/>
  <c r="A428" i="3"/>
  <c r="W427" i="3"/>
  <c r="A427" i="3"/>
  <c r="W426" i="3"/>
  <c r="A426" i="3"/>
  <c r="W425" i="3"/>
  <c r="A425" i="3"/>
  <c r="W424" i="3"/>
  <c r="A424" i="3"/>
  <c r="W423" i="3"/>
  <c r="A423" i="3"/>
  <c r="W422" i="3"/>
  <c r="A422" i="3"/>
  <c r="W421" i="3"/>
  <c r="A421" i="3"/>
  <c r="W420" i="3"/>
  <c r="A420" i="3"/>
  <c r="W419" i="3"/>
  <c r="A419" i="3"/>
  <c r="W418" i="3"/>
  <c r="A418" i="3"/>
  <c r="W417" i="3"/>
  <c r="A417" i="3"/>
  <c r="W416" i="3"/>
  <c r="A416" i="3"/>
  <c r="W415" i="3"/>
  <c r="A415" i="3"/>
  <c r="W414" i="3"/>
  <c r="A414" i="3"/>
  <c r="W413" i="3"/>
  <c r="A413" i="3"/>
  <c r="W412" i="3"/>
  <c r="A412" i="3"/>
  <c r="W411" i="3"/>
  <c r="A411" i="3"/>
  <c r="W410" i="3"/>
  <c r="A410" i="3"/>
  <c r="W409" i="3"/>
  <c r="A409" i="3"/>
  <c r="W408" i="3"/>
  <c r="A408" i="3"/>
  <c r="W407" i="3"/>
  <c r="A407" i="3"/>
  <c r="W406" i="3"/>
  <c r="A406" i="3"/>
  <c r="W405" i="3"/>
  <c r="A405" i="3"/>
  <c r="W404" i="3"/>
  <c r="A404" i="3"/>
  <c r="W403" i="3"/>
  <c r="A403" i="3"/>
  <c r="W402" i="3"/>
  <c r="A402" i="3"/>
  <c r="W401" i="3"/>
  <c r="A401" i="3"/>
  <c r="W400" i="3"/>
  <c r="A400" i="3"/>
  <c r="W399" i="3"/>
  <c r="A399" i="3"/>
  <c r="W398" i="3"/>
  <c r="A398" i="3"/>
  <c r="W397" i="3"/>
  <c r="A397" i="3"/>
  <c r="W396" i="3"/>
  <c r="A396" i="3"/>
  <c r="W395" i="3"/>
  <c r="A395" i="3"/>
  <c r="W394" i="3"/>
  <c r="A394" i="3"/>
  <c r="W393" i="3"/>
  <c r="A393" i="3"/>
  <c r="W392" i="3"/>
  <c r="A392" i="3"/>
  <c r="W391" i="3"/>
  <c r="A391" i="3"/>
  <c r="W390" i="3"/>
  <c r="A390" i="3"/>
  <c r="W389" i="3"/>
  <c r="A389" i="3"/>
  <c r="W388" i="3"/>
  <c r="A388" i="3"/>
  <c r="W387" i="3"/>
  <c r="A387" i="3"/>
  <c r="W386" i="3"/>
  <c r="A386" i="3"/>
  <c r="W385" i="3"/>
  <c r="A385" i="3"/>
  <c r="W384" i="3"/>
  <c r="A384" i="3"/>
  <c r="W383" i="3"/>
  <c r="A383" i="3"/>
  <c r="W382" i="3"/>
  <c r="A382" i="3"/>
  <c r="W381" i="3"/>
  <c r="A381" i="3"/>
  <c r="W380" i="3"/>
  <c r="A380" i="3"/>
  <c r="W379" i="3"/>
  <c r="A379" i="3"/>
  <c r="W378" i="3"/>
  <c r="A378" i="3"/>
  <c r="W377" i="3"/>
  <c r="A377" i="3"/>
  <c r="W376" i="3"/>
  <c r="A376" i="3"/>
  <c r="W375" i="3"/>
  <c r="A375" i="3"/>
  <c r="W374" i="3"/>
  <c r="A374" i="3"/>
  <c r="W373" i="3"/>
  <c r="A373" i="3"/>
  <c r="W372" i="3"/>
  <c r="A372" i="3"/>
  <c r="W371" i="3"/>
  <c r="A371" i="3"/>
  <c r="W370" i="3"/>
  <c r="A370" i="3"/>
  <c r="W369" i="3"/>
  <c r="A369" i="3"/>
  <c r="W368" i="3"/>
  <c r="A368" i="3"/>
  <c r="W367" i="3"/>
  <c r="A367" i="3"/>
  <c r="W366" i="3"/>
  <c r="A366" i="3"/>
  <c r="W365" i="3"/>
  <c r="A365" i="3"/>
  <c r="W364" i="3"/>
  <c r="A364" i="3"/>
  <c r="W363" i="3"/>
  <c r="A363" i="3"/>
  <c r="W362" i="3"/>
  <c r="A362" i="3"/>
  <c r="W361" i="3"/>
  <c r="A361" i="3"/>
  <c r="W360" i="3"/>
  <c r="A360" i="3"/>
  <c r="W359" i="3"/>
  <c r="A359" i="3"/>
  <c r="W358" i="3"/>
  <c r="A358" i="3"/>
  <c r="W357" i="3"/>
  <c r="A357" i="3"/>
  <c r="W356" i="3"/>
  <c r="A356" i="3"/>
  <c r="W355" i="3"/>
  <c r="A355" i="3"/>
  <c r="W354" i="3"/>
  <c r="A354" i="3"/>
  <c r="W353" i="3"/>
  <c r="A353" i="3"/>
  <c r="W352" i="3"/>
  <c r="A352" i="3"/>
  <c r="W351" i="3"/>
  <c r="A351" i="3"/>
  <c r="W350" i="3"/>
  <c r="A350" i="3"/>
  <c r="W349" i="3"/>
  <c r="A349" i="3"/>
  <c r="W348" i="3"/>
  <c r="A348" i="3"/>
  <c r="W347" i="3"/>
  <c r="A347" i="3"/>
  <c r="W346" i="3"/>
  <c r="A346" i="3"/>
  <c r="W345" i="3"/>
  <c r="A345" i="3"/>
  <c r="W344" i="3"/>
  <c r="A344" i="3"/>
  <c r="W343" i="3"/>
  <c r="A343" i="3"/>
  <c r="W342" i="3"/>
  <c r="A342" i="3"/>
  <c r="W341" i="3"/>
  <c r="A341" i="3"/>
  <c r="W340" i="3"/>
  <c r="A340" i="3"/>
  <c r="W339" i="3"/>
  <c r="A339" i="3"/>
  <c r="W338" i="3"/>
  <c r="A338" i="3"/>
  <c r="W337" i="3"/>
  <c r="A337" i="3"/>
  <c r="W336" i="3"/>
  <c r="A336" i="3"/>
  <c r="W335" i="3"/>
  <c r="A335" i="3"/>
  <c r="W334" i="3"/>
  <c r="A334" i="3"/>
  <c r="W333" i="3"/>
  <c r="A333" i="3"/>
  <c r="W332" i="3"/>
  <c r="A332" i="3"/>
  <c r="W331" i="3"/>
  <c r="A331" i="3"/>
  <c r="W330" i="3"/>
  <c r="A330" i="3"/>
  <c r="W329" i="3"/>
  <c r="A329" i="3"/>
  <c r="W328" i="3"/>
  <c r="A328" i="3"/>
  <c r="W327" i="3"/>
  <c r="A327" i="3"/>
  <c r="W326" i="3"/>
  <c r="A326" i="3"/>
  <c r="W325" i="3"/>
  <c r="A325" i="3"/>
  <c r="W324" i="3"/>
  <c r="A324" i="3"/>
  <c r="W323" i="3"/>
  <c r="A323" i="3"/>
  <c r="W322" i="3"/>
  <c r="A322" i="3"/>
  <c r="W321" i="3"/>
  <c r="A321" i="3"/>
  <c r="W320" i="3"/>
  <c r="A320" i="3"/>
  <c r="W319" i="3"/>
  <c r="A319" i="3"/>
  <c r="W318" i="3"/>
  <c r="A318" i="3"/>
  <c r="W317" i="3"/>
  <c r="A317" i="3"/>
  <c r="W316" i="3"/>
  <c r="A316" i="3"/>
  <c r="W315" i="3"/>
  <c r="A315" i="3"/>
  <c r="W314" i="3"/>
  <c r="A314" i="3"/>
  <c r="W313" i="3"/>
  <c r="A313" i="3"/>
  <c r="W312" i="3"/>
  <c r="A312" i="3"/>
  <c r="W311" i="3"/>
  <c r="A311" i="3"/>
  <c r="W310" i="3"/>
  <c r="A310" i="3"/>
  <c r="W309" i="3"/>
  <c r="A309" i="3"/>
  <c r="W308" i="3"/>
  <c r="A308" i="3"/>
  <c r="W307" i="3"/>
  <c r="A307" i="3"/>
  <c r="W306" i="3"/>
  <c r="A306" i="3"/>
  <c r="W305" i="3"/>
  <c r="A305" i="3"/>
  <c r="W304" i="3"/>
  <c r="A304" i="3"/>
  <c r="W303" i="3"/>
  <c r="A303" i="3"/>
  <c r="W302" i="3"/>
  <c r="A302" i="3"/>
  <c r="W301" i="3"/>
  <c r="A301" i="3"/>
  <c r="W300" i="3"/>
  <c r="A300" i="3"/>
  <c r="W299" i="3"/>
  <c r="A299" i="3"/>
  <c r="W298" i="3"/>
  <c r="A298" i="3"/>
  <c r="W297" i="3"/>
  <c r="A297" i="3"/>
  <c r="W296" i="3"/>
  <c r="A296" i="3"/>
  <c r="W295" i="3"/>
  <c r="A295" i="3"/>
  <c r="W294" i="3"/>
  <c r="A294" i="3"/>
  <c r="W293" i="3"/>
  <c r="A293" i="3"/>
  <c r="W292" i="3"/>
  <c r="A292" i="3"/>
  <c r="W291" i="3"/>
  <c r="A291" i="3"/>
  <c r="W290" i="3"/>
  <c r="A290" i="3"/>
  <c r="W289" i="3"/>
  <c r="A289" i="3"/>
  <c r="W288" i="3"/>
  <c r="A288" i="3"/>
  <c r="W287" i="3"/>
  <c r="A287" i="3"/>
  <c r="W286" i="3"/>
  <c r="A286" i="3"/>
  <c r="W285" i="3"/>
  <c r="A285" i="3"/>
  <c r="W284" i="3"/>
  <c r="A284" i="3"/>
  <c r="W283" i="3"/>
  <c r="A283" i="3"/>
  <c r="W282" i="3"/>
  <c r="A282" i="3"/>
  <c r="W281" i="3"/>
  <c r="A281" i="3"/>
  <c r="W280" i="3"/>
  <c r="A280" i="3"/>
  <c r="W279" i="3"/>
  <c r="A279" i="3"/>
  <c r="W278" i="3"/>
  <c r="A278" i="3"/>
  <c r="W277" i="3"/>
  <c r="A277" i="3"/>
  <c r="W276" i="3"/>
  <c r="A276" i="3"/>
  <c r="W275" i="3"/>
  <c r="A275" i="3"/>
  <c r="W274" i="3"/>
  <c r="A274" i="3"/>
  <c r="W273" i="3"/>
  <c r="A273" i="3"/>
  <c r="W272" i="3"/>
  <c r="A272" i="3"/>
  <c r="W271" i="3"/>
  <c r="A271" i="3"/>
  <c r="W270" i="3"/>
  <c r="A270" i="3"/>
  <c r="W269" i="3"/>
  <c r="A269" i="3"/>
  <c r="W268" i="3"/>
  <c r="A268" i="3"/>
  <c r="W267" i="3"/>
  <c r="A267" i="3"/>
  <c r="W266" i="3"/>
  <c r="A266" i="3"/>
  <c r="W265" i="3"/>
  <c r="A265" i="3"/>
  <c r="W264" i="3"/>
  <c r="A264" i="3"/>
  <c r="W263" i="3"/>
  <c r="A263" i="3"/>
  <c r="W262" i="3"/>
  <c r="A262" i="3"/>
  <c r="W261" i="3"/>
  <c r="A261" i="3"/>
  <c r="W260" i="3"/>
  <c r="A260" i="3"/>
  <c r="W259" i="3"/>
  <c r="A259" i="3"/>
  <c r="W258" i="3"/>
  <c r="A258" i="3"/>
  <c r="W257" i="3"/>
  <c r="A257" i="3"/>
  <c r="W256" i="3"/>
  <c r="A256" i="3"/>
  <c r="W255" i="3"/>
  <c r="A255" i="3"/>
  <c r="W254" i="3"/>
  <c r="A254" i="3"/>
  <c r="W253" i="3"/>
  <c r="A253" i="3"/>
  <c r="W252" i="3"/>
  <c r="A252" i="3"/>
  <c r="W251" i="3"/>
  <c r="A251" i="3"/>
  <c r="W250" i="3"/>
  <c r="A250" i="3"/>
  <c r="W249" i="3"/>
  <c r="A249" i="3"/>
  <c r="W248" i="3"/>
  <c r="A248" i="3"/>
  <c r="W247" i="3"/>
  <c r="A247" i="3"/>
  <c r="W246" i="3"/>
  <c r="A246" i="3"/>
  <c r="W245" i="3"/>
  <c r="A245" i="3"/>
  <c r="W244" i="3"/>
  <c r="A244" i="3"/>
  <c r="W243" i="3"/>
  <c r="A243" i="3"/>
  <c r="W242" i="3"/>
  <c r="A242" i="3"/>
  <c r="W241" i="3"/>
  <c r="A241" i="3"/>
  <c r="W240" i="3"/>
  <c r="A240" i="3"/>
  <c r="W239" i="3"/>
  <c r="A239" i="3"/>
  <c r="W238" i="3"/>
  <c r="A238" i="3"/>
  <c r="W237" i="3"/>
  <c r="A237" i="3"/>
  <c r="W236" i="3"/>
  <c r="A236" i="3"/>
  <c r="W235" i="3"/>
  <c r="A235" i="3"/>
  <c r="W234" i="3"/>
  <c r="A234" i="3"/>
  <c r="W233" i="3"/>
  <c r="A233" i="3"/>
  <c r="W232" i="3"/>
  <c r="A232" i="3"/>
  <c r="W231" i="3"/>
  <c r="A231" i="3"/>
  <c r="W230" i="3"/>
  <c r="A230" i="3"/>
  <c r="W229" i="3"/>
  <c r="A229" i="3"/>
  <c r="W228" i="3"/>
  <c r="A228" i="3"/>
  <c r="W227" i="3"/>
  <c r="A227" i="3"/>
  <c r="W226" i="3"/>
  <c r="A226" i="3"/>
  <c r="W225" i="3"/>
  <c r="A225" i="3"/>
  <c r="W224" i="3"/>
  <c r="A224" i="3"/>
  <c r="W223" i="3"/>
  <c r="A223" i="3"/>
  <c r="W222" i="3"/>
  <c r="A222" i="3"/>
  <c r="W221" i="3"/>
  <c r="A221" i="3"/>
  <c r="W220" i="3"/>
  <c r="A220" i="3"/>
  <c r="W219" i="3"/>
  <c r="A219" i="3"/>
  <c r="W218" i="3"/>
  <c r="A218" i="3"/>
  <c r="W217" i="3"/>
  <c r="A217" i="3"/>
  <c r="W216" i="3"/>
  <c r="A216" i="3"/>
  <c r="W215" i="3"/>
  <c r="A215" i="3"/>
  <c r="W214" i="3"/>
  <c r="A214" i="3"/>
  <c r="W213" i="3"/>
  <c r="A213" i="3"/>
  <c r="W212" i="3"/>
  <c r="A212" i="3"/>
  <c r="W211" i="3"/>
  <c r="A211" i="3"/>
  <c r="W210" i="3"/>
  <c r="A210" i="3"/>
  <c r="W209" i="3"/>
  <c r="A209" i="3"/>
  <c r="W208" i="3"/>
  <c r="A208" i="3"/>
  <c r="W207" i="3"/>
  <c r="A207" i="3"/>
  <c r="W206" i="3"/>
  <c r="A206" i="3"/>
  <c r="W205" i="3"/>
  <c r="A205" i="3"/>
  <c r="W204" i="3"/>
  <c r="A204" i="3"/>
  <c r="W203" i="3"/>
  <c r="A203" i="3"/>
  <c r="W202" i="3"/>
  <c r="A202" i="3"/>
  <c r="W201" i="3"/>
  <c r="A201" i="3"/>
  <c r="W200" i="3"/>
  <c r="A200" i="3"/>
  <c r="W199" i="3"/>
  <c r="A199" i="3"/>
  <c r="W198" i="3"/>
  <c r="A198" i="3"/>
  <c r="W197" i="3"/>
  <c r="A197" i="3"/>
  <c r="W196" i="3"/>
  <c r="A196" i="3"/>
  <c r="W195" i="3"/>
  <c r="A195" i="3"/>
  <c r="W194" i="3"/>
  <c r="A194" i="3"/>
  <c r="W193" i="3"/>
  <c r="A193" i="3"/>
  <c r="W192" i="3"/>
  <c r="A192" i="3"/>
  <c r="W191" i="3"/>
  <c r="A191" i="3"/>
  <c r="W190" i="3"/>
  <c r="A190" i="3"/>
  <c r="W189" i="3"/>
  <c r="A189" i="3"/>
  <c r="W188" i="3"/>
  <c r="A188" i="3"/>
  <c r="W187" i="3"/>
  <c r="A187" i="3"/>
  <c r="W186" i="3"/>
  <c r="A186" i="3"/>
  <c r="W185" i="3"/>
  <c r="A185" i="3"/>
  <c r="W184" i="3"/>
  <c r="A184" i="3"/>
  <c r="W183" i="3"/>
  <c r="A183" i="3"/>
  <c r="W182" i="3"/>
  <c r="A182" i="3"/>
  <c r="W181" i="3"/>
  <c r="A181" i="3"/>
  <c r="W180" i="3"/>
  <c r="A180" i="3"/>
  <c r="W179" i="3"/>
  <c r="A179" i="3"/>
  <c r="W178" i="3"/>
  <c r="A178" i="3"/>
  <c r="W177" i="3"/>
  <c r="A177" i="3"/>
  <c r="W176" i="3"/>
  <c r="A176" i="3"/>
  <c r="W175" i="3"/>
  <c r="A175" i="3"/>
  <c r="W174" i="3"/>
  <c r="A174" i="3"/>
  <c r="W173" i="3"/>
  <c r="A173" i="3"/>
  <c r="W172" i="3"/>
  <c r="A172" i="3"/>
  <c r="W171" i="3"/>
  <c r="A171" i="3"/>
  <c r="W170" i="3"/>
  <c r="A170" i="3"/>
  <c r="W169" i="3"/>
  <c r="A169" i="3"/>
  <c r="W168" i="3"/>
  <c r="A168" i="3"/>
  <c r="W167" i="3"/>
  <c r="A167" i="3"/>
  <c r="W166" i="3"/>
  <c r="A166" i="3"/>
  <c r="W165" i="3"/>
  <c r="A165" i="3"/>
  <c r="W164" i="3"/>
  <c r="A164" i="3"/>
  <c r="W163" i="3"/>
  <c r="A163" i="3"/>
  <c r="W162" i="3"/>
  <c r="A162" i="3"/>
  <c r="W161" i="3"/>
  <c r="A161" i="3"/>
  <c r="W160" i="3"/>
  <c r="A160" i="3"/>
  <c r="W159" i="3"/>
  <c r="A159" i="3"/>
  <c r="W158" i="3"/>
  <c r="A158" i="3"/>
  <c r="W157" i="3"/>
  <c r="A157" i="3"/>
  <c r="W156" i="3"/>
  <c r="A156" i="3"/>
  <c r="W155" i="3"/>
  <c r="A155" i="3"/>
  <c r="W154" i="3"/>
  <c r="A154" i="3"/>
  <c r="W153" i="3"/>
  <c r="A153" i="3"/>
  <c r="W152" i="3"/>
  <c r="A152" i="3"/>
  <c r="W151" i="3"/>
  <c r="A151" i="3"/>
  <c r="W150" i="3"/>
  <c r="A150" i="3"/>
  <c r="W149" i="3"/>
  <c r="A149" i="3"/>
  <c r="W148" i="3"/>
  <c r="A148" i="3"/>
  <c r="W147" i="3"/>
  <c r="A147" i="3"/>
  <c r="W146" i="3"/>
  <c r="A146" i="3"/>
  <c r="W145" i="3"/>
  <c r="A145" i="3"/>
  <c r="W144" i="3"/>
  <c r="A144" i="3"/>
  <c r="W143" i="3"/>
  <c r="A143" i="3"/>
  <c r="W142" i="3"/>
  <c r="A142" i="3"/>
  <c r="W141" i="3"/>
  <c r="A141" i="3"/>
  <c r="W140" i="3"/>
  <c r="A140" i="3"/>
  <c r="W139" i="3"/>
  <c r="A139" i="3"/>
  <c r="W138" i="3"/>
  <c r="A138" i="3"/>
  <c r="W137" i="3"/>
  <c r="A137" i="3"/>
  <c r="W136" i="3"/>
  <c r="A136" i="3"/>
  <c r="W135" i="3"/>
  <c r="A135" i="3"/>
  <c r="W134" i="3"/>
  <c r="A134" i="3"/>
  <c r="W133" i="3"/>
  <c r="A133" i="3"/>
  <c r="W132" i="3"/>
  <c r="A132" i="3"/>
  <c r="W131" i="3"/>
  <c r="A131" i="3"/>
  <c r="W130" i="3"/>
  <c r="A130" i="3"/>
  <c r="W129" i="3"/>
  <c r="A129" i="3"/>
  <c r="W128" i="3"/>
  <c r="A128" i="3"/>
  <c r="W127" i="3"/>
  <c r="A127" i="3"/>
  <c r="W126" i="3"/>
  <c r="A126" i="3"/>
  <c r="W125" i="3"/>
  <c r="A125" i="3"/>
  <c r="W124" i="3"/>
  <c r="A124" i="3"/>
  <c r="W123" i="3"/>
  <c r="A123" i="3"/>
  <c r="W122" i="3"/>
  <c r="A122" i="3"/>
  <c r="W121" i="3"/>
  <c r="A121" i="3"/>
  <c r="W120" i="3"/>
  <c r="A120" i="3"/>
  <c r="W119" i="3"/>
  <c r="A119" i="3"/>
  <c r="W118" i="3"/>
  <c r="A118" i="3"/>
  <c r="W117" i="3"/>
  <c r="A117" i="3"/>
  <c r="W116" i="3"/>
  <c r="A116" i="3"/>
  <c r="W115" i="3"/>
  <c r="A115" i="3"/>
  <c r="W114" i="3"/>
  <c r="A114" i="3"/>
  <c r="W113" i="3"/>
  <c r="A113" i="3"/>
  <c r="W112" i="3"/>
  <c r="A112" i="3"/>
  <c r="W111" i="3"/>
  <c r="A111" i="3"/>
  <c r="W110" i="3"/>
  <c r="A110" i="3"/>
  <c r="W109" i="3"/>
  <c r="A109" i="3"/>
  <c r="W108" i="3"/>
  <c r="A108" i="3"/>
  <c r="W107" i="3"/>
  <c r="A107" i="3"/>
  <c r="W106" i="3"/>
  <c r="A106" i="3"/>
  <c r="W105" i="3"/>
  <c r="A105" i="3"/>
  <c r="W104" i="3"/>
  <c r="A104" i="3"/>
  <c r="W103" i="3"/>
  <c r="A103" i="3"/>
  <c r="W102" i="3"/>
  <c r="A102" i="3"/>
  <c r="W101" i="3"/>
  <c r="A101" i="3"/>
  <c r="W100" i="3"/>
  <c r="A100" i="3"/>
  <c r="W99" i="3"/>
  <c r="A99" i="3"/>
  <c r="W98" i="3"/>
  <c r="A98" i="3"/>
  <c r="W97" i="3"/>
  <c r="A97" i="3"/>
  <c r="W96" i="3"/>
  <c r="A96" i="3"/>
  <c r="W95" i="3"/>
  <c r="A95" i="3"/>
  <c r="W94" i="3"/>
  <c r="A94" i="3"/>
  <c r="W93" i="3"/>
  <c r="A93" i="3"/>
  <c r="W92" i="3"/>
  <c r="A92" i="3"/>
  <c r="W91" i="3"/>
  <c r="A91" i="3"/>
  <c r="W90" i="3"/>
  <c r="A90" i="3"/>
  <c r="W89" i="3"/>
  <c r="A89" i="3"/>
  <c r="W88" i="3"/>
  <c r="A88" i="3"/>
  <c r="W87" i="3"/>
  <c r="A87" i="3"/>
  <c r="W86" i="3"/>
  <c r="A86" i="3"/>
  <c r="W85" i="3"/>
  <c r="A85" i="3"/>
  <c r="W84" i="3"/>
  <c r="A84" i="3"/>
  <c r="W83" i="3"/>
  <c r="A83" i="3"/>
  <c r="W82" i="3"/>
  <c r="A82" i="3"/>
  <c r="W81" i="3"/>
  <c r="A81" i="3"/>
  <c r="W80" i="3"/>
  <c r="A80" i="3"/>
  <c r="W79" i="3"/>
  <c r="A79" i="3"/>
  <c r="W78" i="3"/>
  <c r="A78" i="3"/>
  <c r="W77" i="3"/>
  <c r="A77" i="3"/>
  <c r="W76" i="3"/>
  <c r="A76" i="3"/>
  <c r="W75" i="3"/>
  <c r="A75" i="3"/>
  <c r="W74" i="3"/>
  <c r="A74" i="3"/>
  <c r="W73" i="3"/>
  <c r="A73" i="3"/>
  <c r="W72" i="3"/>
  <c r="A72" i="3"/>
  <c r="W71" i="3"/>
  <c r="A71" i="3"/>
  <c r="W70" i="3"/>
  <c r="A70" i="3"/>
  <c r="W69" i="3"/>
  <c r="A69" i="3"/>
  <c r="W68" i="3"/>
  <c r="A68" i="3"/>
  <c r="W67" i="3"/>
  <c r="A67" i="3"/>
  <c r="W66" i="3"/>
  <c r="A66" i="3"/>
  <c r="W65" i="3"/>
  <c r="A65" i="3"/>
  <c r="W64" i="3"/>
  <c r="A64" i="3"/>
  <c r="W63" i="3"/>
  <c r="A63" i="3"/>
  <c r="W62" i="3"/>
  <c r="A62" i="3"/>
  <c r="W61" i="3"/>
  <c r="A61" i="3"/>
  <c r="W60" i="3"/>
  <c r="A60" i="3"/>
  <c r="W59" i="3"/>
  <c r="A59" i="3"/>
  <c r="W58" i="3"/>
  <c r="A58" i="3"/>
  <c r="W57" i="3"/>
  <c r="A57" i="3"/>
  <c r="W56" i="3"/>
  <c r="A56" i="3"/>
  <c r="W55" i="3"/>
  <c r="A55" i="3"/>
  <c r="W54" i="3"/>
  <c r="A54" i="3"/>
  <c r="W53" i="3"/>
  <c r="A53" i="3"/>
  <c r="W52" i="3"/>
  <c r="A52" i="3"/>
  <c r="W51" i="3"/>
  <c r="A51" i="3"/>
  <c r="W50" i="3"/>
  <c r="A50" i="3"/>
  <c r="W49" i="3"/>
  <c r="A49" i="3"/>
  <c r="W48" i="3"/>
  <c r="A48" i="3"/>
  <c r="W47" i="3"/>
  <c r="A47" i="3"/>
  <c r="W46" i="3"/>
  <c r="A46" i="3"/>
  <c r="W45" i="3"/>
  <c r="A45" i="3"/>
  <c r="W44" i="3"/>
  <c r="A44" i="3"/>
  <c r="W43" i="3"/>
  <c r="A43" i="3"/>
  <c r="W42" i="3"/>
  <c r="A42" i="3"/>
  <c r="W41" i="3"/>
  <c r="A41" i="3"/>
  <c r="W40" i="3"/>
  <c r="A40" i="3"/>
  <c r="W39" i="3"/>
  <c r="A39" i="3"/>
  <c r="W38" i="3"/>
  <c r="A38" i="3"/>
  <c r="W37" i="3"/>
  <c r="A37" i="3"/>
  <c r="W36" i="3"/>
  <c r="A36" i="3"/>
  <c r="W35" i="3"/>
  <c r="A35" i="3"/>
  <c r="W34" i="3"/>
  <c r="A34" i="3"/>
  <c r="W33" i="3"/>
  <c r="A33" i="3"/>
  <c r="W32" i="3"/>
  <c r="A32" i="3"/>
  <c r="W31" i="3"/>
  <c r="A31" i="3"/>
  <c r="W30" i="3"/>
  <c r="A30" i="3"/>
  <c r="W29" i="3"/>
  <c r="A29" i="3"/>
  <c r="W28" i="3"/>
  <c r="A28" i="3"/>
  <c r="W27" i="3"/>
  <c r="A27" i="3"/>
  <c r="W26" i="3"/>
  <c r="A26" i="3"/>
  <c r="W25" i="3"/>
  <c r="A25" i="3"/>
  <c r="W24" i="3"/>
  <c r="A24" i="3"/>
  <c r="W23" i="3"/>
  <c r="A23" i="3"/>
  <c r="W22" i="3"/>
  <c r="A22" i="3"/>
  <c r="W21" i="3"/>
  <c r="A21" i="3"/>
  <c r="W20" i="3"/>
  <c r="A20" i="3"/>
  <c r="W19" i="3"/>
  <c r="A19" i="3"/>
  <c r="W18" i="3"/>
  <c r="A18" i="3"/>
  <c r="W17" i="3"/>
  <c r="A17" i="3"/>
  <c r="W16" i="3"/>
  <c r="A16" i="3"/>
  <c r="W15" i="3"/>
  <c r="A15" i="3"/>
  <c r="W14" i="3"/>
  <c r="A14" i="3"/>
  <c r="W13" i="3"/>
  <c r="A13" i="3"/>
  <c r="W12" i="3"/>
  <c r="A12" i="3"/>
  <c r="W11" i="3"/>
  <c r="A11" i="3"/>
  <c r="W10" i="3"/>
  <c r="A10" i="3"/>
  <c r="W9" i="3"/>
  <c r="A9" i="3"/>
  <c r="W8" i="3"/>
  <c r="A8" i="3"/>
  <c r="W7" i="3"/>
  <c r="A7" i="3"/>
  <c r="W6" i="3"/>
  <c r="A6" i="3"/>
  <c r="W5" i="3"/>
  <c r="A5" i="3"/>
  <c r="W4" i="3"/>
  <c r="A4" i="3"/>
  <c r="W3" i="3"/>
  <c r="A3" i="3"/>
  <c r="W2" i="3"/>
  <c r="AC249" i="3"/>
  <c r="AC312" i="3"/>
  <c r="AC646" i="3"/>
  <c r="AC362" i="3"/>
  <c r="AC531" i="3"/>
  <c r="AC110" i="3"/>
  <c r="AC446" i="3"/>
  <c r="AC287" i="3"/>
  <c r="AC431" i="3"/>
  <c r="AC221" i="3"/>
  <c r="AC572" i="3"/>
  <c r="AC115" i="3"/>
  <c r="AC256" i="3"/>
  <c r="AC278" i="3"/>
  <c r="AC538" i="3"/>
  <c r="AC305" i="3"/>
  <c r="AC217" i="3"/>
  <c r="AC16" i="3"/>
  <c r="AC85" i="3"/>
  <c r="AC79" i="3"/>
  <c r="AC179" i="3"/>
  <c r="AC10" i="3"/>
  <c r="AC196" i="3"/>
  <c r="AC592" i="3"/>
  <c r="AC129" i="3"/>
  <c r="AC194" i="3"/>
  <c r="AC500" i="3"/>
  <c r="AC401" i="3"/>
  <c r="AC449" i="3"/>
  <c r="AC218" i="3"/>
  <c r="AC372" i="3"/>
  <c r="AC494" i="3"/>
  <c r="AC208" i="3"/>
  <c r="AC332" i="3"/>
  <c r="AC267" i="3"/>
  <c r="AC366" i="3"/>
  <c r="AC620" i="3"/>
  <c r="AC461" i="3"/>
  <c r="AC242" i="3"/>
  <c r="AC148" i="3"/>
  <c r="AC80" i="3"/>
  <c r="AC174" i="3"/>
  <c r="AC564" i="3"/>
  <c r="AC255" i="3"/>
  <c r="AC445" i="3"/>
  <c r="AC341" i="3"/>
  <c r="AC552" i="3"/>
  <c r="AC470" i="3"/>
  <c r="AC20" i="3"/>
  <c r="AC398" i="3"/>
  <c r="AC216" i="3"/>
  <c r="AC440" i="3"/>
  <c r="AC293" i="3"/>
  <c r="AC508" i="3"/>
  <c r="AC39" i="3"/>
  <c r="AC405" i="3"/>
  <c r="AC106" i="3"/>
  <c r="AC360" i="3"/>
  <c r="AC618" i="3"/>
  <c r="AC612" i="3"/>
  <c r="AC343" i="3"/>
  <c r="AC101" i="3"/>
  <c r="AC37" i="3"/>
  <c r="AC47" i="3"/>
  <c r="AC309" i="3"/>
  <c r="AC563" i="3"/>
  <c r="AC338" i="3"/>
  <c r="AC82" i="3"/>
  <c r="AC262" i="3"/>
  <c r="AC340" i="3"/>
  <c r="AC479" i="3"/>
  <c r="AC648" i="3"/>
  <c r="AC306" i="3"/>
  <c r="AC90" i="3"/>
  <c r="AC406" i="3"/>
  <c r="AC120" i="3"/>
  <c r="AC422" i="3"/>
  <c r="AC452" i="3"/>
  <c r="AC336" i="3"/>
  <c r="AC603" i="3"/>
  <c r="AC634" i="3"/>
  <c r="AC542" i="3"/>
  <c r="AC617" i="3"/>
  <c r="AC245" i="3"/>
  <c r="AC351" i="3"/>
  <c r="AC265" i="3"/>
  <c r="AC280" i="3"/>
  <c r="AC403" i="3"/>
  <c r="AC3" i="3"/>
  <c r="AC288" i="3"/>
  <c r="AC575" i="3"/>
  <c r="AC344" i="3"/>
  <c r="AC40" i="3"/>
  <c r="AC135" i="3"/>
  <c r="AC4" i="3"/>
  <c r="AC558" i="3"/>
  <c r="AC492" i="3"/>
  <c r="AC478" i="3"/>
  <c r="AC248" i="3"/>
  <c r="AC559" i="3"/>
  <c r="AC227" i="3"/>
  <c r="AC365" i="3"/>
  <c r="AC28" i="3"/>
  <c r="AC379" i="3"/>
  <c r="AC425" i="3"/>
  <c r="AC152" i="3"/>
  <c r="AC6" i="3"/>
  <c r="AC601" i="3"/>
  <c r="AC206" i="3"/>
  <c r="AC190" i="3"/>
  <c r="AC164" i="3"/>
  <c r="AC310" i="3"/>
  <c r="AC472" i="3"/>
  <c r="AC451" i="3"/>
  <c r="AC544" i="3"/>
  <c r="AC540" i="3"/>
  <c r="AC261" i="3"/>
  <c r="AC384" i="3"/>
  <c r="AC281" i="3"/>
  <c r="AC56" i="3"/>
  <c r="AC411" i="3"/>
  <c r="AC200" i="3"/>
  <c r="AC356" i="3"/>
  <c r="AC501" i="3"/>
  <c r="AC23" i="3"/>
  <c r="AC421" i="3"/>
  <c r="AC491" i="3"/>
  <c r="AC573" i="3"/>
  <c r="AC25" i="3"/>
  <c r="AC178" i="3"/>
  <c r="AC282" i="3"/>
  <c r="AC64" i="3"/>
  <c r="AC581" i="3"/>
  <c r="AC315" i="3"/>
  <c r="AC205" i="3"/>
  <c r="AC276" i="3"/>
  <c r="AC67" i="3"/>
  <c r="AC29" i="3"/>
  <c r="AC597" i="3"/>
  <c r="AC378" i="3"/>
  <c r="AC308" i="3"/>
  <c r="AC520" i="3"/>
  <c r="AC410" i="3"/>
  <c r="AC141" i="3"/>
  <c r="AC87" i="3"/>
  <c r="AC66" i="3"/>
  <c r="AC463" i="3"/>
  <c r="AC203" i="3"/>
  <c r="AC339" i="3"/>
  <c r="AC136" i="3"/>
  <c r="AC251" i="3"/>
  <c r="AC522" i="3"/>
  <c r="AC12" i="3"/>
  <c r="AC467" i="3"/>
  <c r="AC304" i="3"/>
  <c r="AC285" i="3"/>
  <c r="AC605" i="3"/>
  <c r="AC416" i="3"/>
  <c r="AC189" i="3"/>
  <c r="AC193" i="3"/>
  <c r="AC298" i="3"/>
  <c r="AC296" i="3"/>
  <c r="AC36" i="3"/>
  <c r="AC235" i="3"/>
  <c r="AC630" i="3"/>
  <c r="AC45" i="3"/>
  <c r="AC78" i="3"/>
  <c r="AC52" i="3"/>
  <c r="AC442" i="3"/>
  <c r="AC549" i="3"/>
  <c r="AC370" i="3"/>
  <c r="AC303" i="3"/>
  <c r="AC316" i="3"/>
  <c r="AC399" i="3"/>
  <c r="AC330" i="3"/>
  <c r="AC428" i="3"/>
  <c r="AC258" i="3"/>
  <c r="AC176" i="3"/>
  <c r="AC297" i="3"/>
  <c r="AC32" i="3"/>
  <c r="AC498" i="3"/>
  <c r="AC103" i="3"/>
  <c r="AC220" i="3"/>
  <c r="AC404" i="3"/>
  <c r="AC126" i="3"/>
  <c r="AC202" i="3"/>
  <c r="AC569" i="3"/>
  <c r="AC132" i="3"/>
  <c r="AC539" i="3"/>
  <c r="AC484" i="3"/>
  <c r="AC536" i="3"/>
  <c r="AC548" i="3"/>
  <c r="AC579" i="3"/>
  <c r="AC166" i="3"/>
  <c r="AC619" i="3"/>
  <c r="AC232" i="3"/>
  <c r="AC376" i="3"/>
  <c r="AC35" i="3"/>
  <c r="AC381" i="3"/>
  <c r="AC290" i="3"/>
  <c r="AC184" i="3"/>
  <c r="AC611" i="3"/>
  <c r="AC165" i="3"/>
  <c r="AC60" i="3"/>
  <c r="AC476" i="3"/>
  <c r="AC396" i="3"/>
  <c r="AC490" i="3"/>
  <c r="AC346" i="3"/>
  <c r="AC112" i="3"/>
  <c r="AC595" i="3"/>
  <c r="AC364" i="3"/>
  <c r="AC409" i="3"/>
  <c r="AC26" i="3"/>
  <c r="AC632" i="3"/>
  <c r="AC357" i="3"/>
  <c r="AC254" i="3"/>
  <c r="AC233" i="3"/>
  <c r="AC551" i="3"/>
  <c r="AC591" i="3"/>
  <c r="AC13" i="3"/>
  <c r="AC181" i="3"/>
  <c r="AC459" i="3"/>
  <c r="AC299" i="3"/>
  <c r="AC122" i="3"/>
  <c r="AC324" i="3"/>
  <c r="AC70" i="3"/>
  <c r="AC61" i="3"/>
  <c r="AC622" i="3"/>
  <c r="AC650" i="3"/>
  <c r="AC156" i="3"/>
  <c r="AC450" i="3"/>
  <c r="AC7" i="3"/>
  <c r="AC475" i="3"/>
  <c r="AC263" i="3"/>
  <c r="AC480" i="3"/>
  <c r="AC512" i="3"/>
  <c r="AC212" i="3"/>
  <c r="AC188" i="3"/>
  <c r="AC420" i="3"/>
  <c r="AC131" i="3"/>
  <c r="AC600" i="3"/>
  <c r="AC295" i="3"/>
  <c r="AC191" i="3"/>
  <c r="AC113" i="3"/>
  <c r="AC503" i="3"/>
  <c r="AC72" i="3"/>
  <c r="AC509" i="3"/>
  <c r="AC81" i="3"/>
  <c r="AC389" i="3"/>
  <c r="AC393" i="3"/>
  <c r="AC438" i="3"/>
  <c r="AC30" i="3"/>
  <c r="AC163" i="3"/>
  <c r="AC247" i="3"/>
  <c r="AC511" i="3"/>
  <c r="AC402" i="3"/>
  <c r="AC354" i="3"/>
  <c r="AC465" i="3"/>
  <c r="AC15" i="3"/>
  <c r="AC397" i="3"/>
  <c r="AC643" i="3"/>
  <c r="AC437" i="3"/>
  <c r="AC532" i="3"/>
  <c r="AC369" i="3"/>
  <c r="AC175" i="3"/>
  <c r="AC560" i="3"/>
  <c r="AC33" i="3"/>
  <c r="AC637" i="3"/>
  <c r="AC481" i="3"/>
  <c r="AC602" i="3"/>
  <c r="AC392" i="3"/>
  <c r="AC226" i="3"/>
  <c r="AC468" i="3"/>
  <c r="AC624" i="3"/>
  <c r="AC100" i="3"/>
  <c r="AC118" i="3"/>
  <c r="AC57" i="3"/>
  <c r="AC182" i="3"/>
  <c r="AC325" i="3"/>
  <c r="AC302" i="3"/>
  <c r="AC589" i="3"/>
  <c r="AC243" i="3"/>
  <c r="AC323" i="3"/>
  <c r="AC482" i="3"/>
  <c r="AC621" i="3"/>
  <c r="AC183" i="3"/>
  <c r="AC300" i="3"/>
  <c r="AC586" i="3"/>
  <c r="AC582" i="3"/>
  <c r="AC458" i="3"/>
  <c r="AC149" i="3"/>
  <c r="AC583" i="3"/>
  <c r="AC337" i="3"/>
  <c r="AC160" i="3"/>
  <c r="AC155" i="3"/>
  <c r="AC225" i="3"/>
  <c r="AC367" i="3"/>
  <c r="AC222" i="3"/>
  <c r="AC59" i="3"/>
  <c r="AC96" i="3"/>
  <c r="AC269" i="3"/>
  <c r="AC270" i="3"/>
  <c r="AC215" i="3"/>
  <c r="AC238" i="3"/>
  <c r="AC167" i="3"/>
  <c r="AC142" i="3"/>
  <c r="AC541" i="3"/>
  <c r="AC386" i="3"/>
  <c r="AC497" i="3"/>
  <c r="AC171" i="3"/>
  <c r="AC557" i="3"/>
  <c r="AC140" i="3"/>
  <c r="AC69" i="3"/>
  <c r="AC231" i="3"/>
  <c r="AC391" i="3"/>
  <c r="AC116" i="3"/>
  <c r="AC377" i="3"/>
  <c r="AC162" i="3"/>
  <c r="AC613" i="3"/>
  <c r="AC423" i="3"/>
  <c r="AC239" i="3"/>
  <c r="AC94" i="3"/>
  <c r="AC124" i="3"/>
  <c r="AC50" i="3"/>
  <c r="AC347" i="3"/>
  <c r="AC588" i="3"/>
  <c r="AC524" i="3"/>
  <c r="AC413" i="3"/>
  <c r="AC483" i="3"/>
  <c r="AC521" i="3"/>
  <c r="AC8" i="3"/>
  <c r="AC158" i="3"/>
  <c r="AC333" i="3"/>
  <c r="AC41" i="3"/>
  <c r="AC229" i="3"/>
  <c r="AC38" i="3"/>
  <c r="AC133" i="3"/>
  <c r="AC587" i="3"/>
  <c r="AC502" i="3"/>
  <c r="AC565" i="3"/>
  <c r="AC244" i="3"/>
  <c r="AC44" i="3"/>
  <c r="AC464" i="3"/>
  <c r="AC283" i="3"/>
  <c r="AC596" i="3"/>
  <c r="AC97" i="3"/>
  <c r="AC626" i="3"/>
  <c r="AC151" i="3"/>
  <c r="AC598" i="3"/>
  <c r="AC319" i="3"/>
  <c r="AC63" i="3"/>
  <c r="AC109" i="3"/>
  <c r="AC9" i="3"/>
  <c r="AC236" i="3"/>
  <c r="AC443" i="3"/>
  <c r="AC368" i="3"/>
  <c r="AC578" i="3"/>
  <c r="AC447" i="3"/>
  <c r="AC387" i="3"/>
  <c r="AC474" i="3"/>
  <c r="AC349" i="3"/>
  <c r="AC616" i="3"/>
  <c r="AC108" i="3"/>
  <c r="AC525" i="3"/>
  <c r="AC307" i="3"/>
  <c r="AC99" i="3"/>
  <c r="AC417" i="3"/>
  <c r="AC55" i="3"/>
  <c r="AC199" i="3"/>
  <c r="AC513" i="3"/>
  <c r="AC507" i="3"/>
  <c r="AC576" i="3"/>
  <c r="AC487" i="3"/>
  <c r="AC266" i="3"/>
  <c r="AC412" i="3"/>
  <c r="AC291" i="3"/>
  <c r="AC462" i="3"/>
  <c r="AC11" i="3"/>
  <c r="AC460" i="3"/>
  <c r="AC322" i="3"/>
  <c r="AC537" i="3"/>
  <c r="AC145" i="3"/>
  <c r="AC77" i="3"/>
  <c r="AC274" i="3"/>
  <c r="AC88" i="3"/>
  <c r="AC102" i="3"/>
  <c r="AC554" i="3"/>
  <c r="AC58" i="3"/>
  <c r="AC121" i="3"/>
  <c r="AC68" i="3"/>
  <c r="AC153" i="3"/>
  <c r="AC374" i="3"/>
  <c r="AC550" i="3"/>
  <c r="AC608" i="3"/>
  <c r="AC433" i="3"/>
  <c r="AC488" i="3"/>
  <c r="AC46" i="3"/>
  <c r="AC334" i="3"/>
  <c r="AC207" i="3"/>
  <c r="AC331" i="3"/>
  <c r="AC326" i="3"/>
  <c r="AC639" i="3"/>
  <c r="AC614" i="3"/>
  <c r="AC353" i="3"/>
  <c r="AC197" i="3"/>
  <c r="AC408" i="3"/>
  <c r="AC570" i="3"/>
  <c r="AC24" i="3"/>
  <c r="AC556" i="3"/>
  <c r="AC31" i="3"/>
  <c r="AC271" i="3"/>
  <c r="AC14" i="3"/>
  <c r="AC516" i="3"/>
  <c r="AC253" i="3"/>
  <c r="AC375" i="3"/>
  <c r="AC54" i="3"/>
  <c r="AC301" i="3"/>
  <c r="AC535" i="3"/>
  <c r="AC317" i="3"/>
  <c r="AC284" i="3"/>
  <c r="AC435" i="3"/>
  <c r="AC473" i="3"/>
  <c r="AC436" i="3"/>
  <c r="AC161" i="3"/>
  <c r="AC275" i="3"/>
  <c r="AC607" i="3"/>
  <c r="AC390" i="3"/>
  <c r="AC606" i="3"/>
  <c r="AC65" i="3"/>
  <c r="AC580" i="3"/>
  <c r="AC590" i="3"/>
  <c r="AC138" i="3"/>
  <c r="AC209" i="3"/>
  <c r="AC627" i="3"/>
  <c r="AC432" i="3"/>
  <c r="AC335" i="3"/>
  <c r="AC19" i="3"/>
  <c r="AC93" i="3"/>
  <c r="AC277" i="3"/>
  <c r="AC252" i="3"/>
  <c r="AC633" i="3"/>
  <c r="AC628" i="3"/>
  <c r="AC577" i="3"/>
  <c r="AC407" i="3"/>
  <c r="AC294" i="3"/>
  <c r="AC71" i="3"/>
  <c r="AC321" i="3"/>
  <c r="AC350" i="3"/>
  <c r="AC342" i="3"/>
  <c r="AC48" i="3"/>
  <c r="AC257" i="3"/>
  <c r="AC286" i="3"/>
  <c r="AC147" i="3"/>
  <c r="AC98" i="3"/>
  <c r="AC213" i="3"/>
  <c r="AC604" i="3"/>
  <c r="AC289" i="3"/>
  <c r="AC89" i="3"/>
  <c r="AC223" i="3"/>
  <c r="AC533" i="3"/>
  <c r="AC345" i="3"/>
  <c r="AC496" i="3"/>
  <c r="AC395" i="3"/>
  <c r="AC272" i="3"/>
  <c r="AC561" i="3"/>
  <c r="AC114" i="3"/>
  <c r="AC34" i="3"/>
  <c r="AC466" i="3"/>
  <c r="AC424" i="3"/>
  <c r="AC91" i="3"/>
  <c r="AC241" i="3"/>
  <c r="AC599" i="3"/>
  <c r="AC543" i="3"/>
  <c r="AC128" i="3"/>
  <c r="AC234" i="3"/>
  <c r="AC363" i="3"/>
  <c r="AC137" i="3"/>
  <c r="AC414" i="3"/>
  <c r="AC448" i="3"/>
  <c r="AC224" i="3"/>
  <c r="AC51" i="3"/>
  <c r="AC246" i="3"/>
  <c r="AC555" i="3"/>
  <c r="AC144" i="3"/>
  <c r="AC260" i="3"/>
  <c r="AC92" i="3"/>
  <c r="AC382" i="3"/>
  <c r="AC214" i="3"/>
  <c r="AC419" i="3"/>
  <c r="AC117" i="3"/>
  <c r="AC17" i="3"/>
  <c r="AC355" i="3"/>
  <c r="AC313" i="3"/>
  <c r="AC566" i="3"/>
  <c r="AC545" i="3"/>
  <c r="AC623" i="3"/>
  <c r="AC645" i="3"/>
  <c r="AC499" i="3"/>
  <c r="AC27" i="3"/>
  <c r="AC441" i="3"/>
  <c r="AC318" i="3"/>
  <c r="AC204" i="3"/>
  <c r="AC104" i="3"/>
  <c r="AC529" i="3"/>
  <c r="AC649" i="3"/>
  <c r="AC429" i="3"/>
  <c r="AC127" i="3"/>
  <c r="AC5" i="3"/>
  <c r="AC198" i="3"/>
  <c r="AC320" i="3"/>
  <c r="AC514" i="3"/>
  <c r="AC444" i="3"/>
  <c r="AC180" i="3"/>
  <c r="AC311" i="3"/>
  <c r="AC469" i="3"/>
  <c r="AC400" i="3"/>
  <c r="AC21" i="3"/>
  <c r="AC361" i="3"/>
  <c r="AC371" i="3"/>
  <c r="AC530" i="3"/>
  <c r="AC517" i="3"/>
  <c r="AC519" i="3"/>
  <c r="AC477" i="3"/>
  <c r="AC455" i="3"/>
  <c r="AC636" i="3"/>
  <c r="AC486" i="3"/>
  <c r="AC453" i="3"/>
  <c r="AC195" i="3"/>
  <c r="AC292" i="3"/>
  <c r="AC430" i="3"/>
  <c r="AC83" i="3"/>
  <c r="AC574" i="3"/>
  <c r="AC250" i="3"/>
  <c r="AC635" i="3"/>
  <c r="AC329" i="3"/>
  <c r="AC119" i="3"/>
  <c r="AC348" i="3"/>
  <c r="AC154" i="3"/>
  <c r="AC259" i="3"/>
  <c r="AC642" i="3"/>
  <c r="AC169" i="3"/>
  <c r="AC385" i="3"/>
  <c r="AC186" i="3"/>
  <c r="AC84" i="3"/>
  <c r="AC168" i="3"/>
  <c r="AC485" i="3"/>
  <c r="AC172" i="3"/>
  <c r="AC170" i="3"/>
  <c r="AC134" i="3"/>
  <c r="AC510" i="3"/>
  <c r="AC610" i="3"/>
  <c r="AC547" i="3"/>
  <c r="AC240" i="3"/>
  <c r="AC328" i="3"/>
  <c r="AC427" i="3"/>
  <c r="AC53" i="3"/>
  <c r="AC594" i="3"/>
  <c r="AC18" i="3"/>
  <c r="AC647" i="3"/>
  <c r="AC42" i="3"/>
  <c r="AC651" i="3"/>
  <c r="AC49" i="3"/>
  <c r="AC279" i="3"/>
  <c r="AC640" i="3"/>
  <c r="AC629" i="3"/>
  <c r="AC62" i="3"/>
  <c r="AC95" i="3"/>
  <c r="AC358" i="3"/>
  <c r="AC426" i="3"/>
  <c r="AC505" i="3"/>
  <c r="AC593" i="3"/>
  <c r="AC177" i="3"/>
  <c r="AC383" i="3"/>
  <c r="AC553" i="3"/>
  <c r="AC73" i="3"/>
  <c r="AC327" i="3"/>
  <c r="AC185" i="3"/>
  <c r="AC546" i="3"/>
  <c r="AC146" i="3"/>
  <c r="AC210" i="3"/>
  <c r="AC495" i="3"/>
  <c r="AC644" i="3"/>
  <c r="AC527" i="3"/>
  <c r="AC107" i="3"/>
  <c r="AC394" i="3"/>
  <c r="AC615" i="3"/>
  <c r="AC105" i="3"/>
  <c r="AC352" i="3"/>
  <c r="AC139" i="3"/>
  <c r="AC75" i="3"/>
  <c r="AC157" i="3"/>
  <c r="AC625" i="3"/>
  <c r="AC237" i="3"/>
  <c r="AC568" i="3"/>
  <c r="AC74" i="3"/>
  <c r="AC641" i="3"/>
  <c r="AC201" i="3"/>
  <c r="AC567" i="3"/>
  <c r="AC562" i="3"/>
  <c r="AC631" i="3"/>
  <c r="AC528" i="3"/>
  <c r="AC230" i="3"/>
  <c r="AC515" i="3"/>
  <c r="AC585" i="3"/>
  <c r="AC43" i="3"/>
  <c r="AC130" i="3"/>
  <c r="AC418" i="3"/>
  <c r="AC584" i="3"/>
  <c r="AC380" i="3"/>
  <c r="AC571" i="3"/>
  <c r="AC506" i="3"/>
  <c r="AC526" i="3"/>
  <c r="AC314" i="3"/>
  <c r="AC173" i="3"/>
  <c r="AC534" i="3"/>
  <c r="AC123" i="3"/>
  <c r="AC219" i="3"/>
  <c r="AC609" i="3"/>
  <c r="AC373" i="3"/>
  <c r="AC471" i="3"/>
  <c r="AC111" i="3"/>
  <c r="AC159" i="3"/>
  <c r="AC415" i="3"/>
  <c r="AC523" i="3"/>
  <c r="AC359" i="3"/>
  <c r="AC273" i="3"/>
  <c r="AC211" i="3"/>
  <c r="AC143" i="3"/>
  <c r="AC489" i="3"/>
  <c r="AC457" i="3"/>
  <c r="AC434" i="3"/>
  <c r="AC456" i="3"/>
  <c r="AC388" i="3"/>
  <c r="AC504" i="3"/>
  <c r="AC86" i="3"/>
  <c r="AC268" i="3"/>
  <c r="AC150" i="3"/>
  <c r="AC187" i="3"/>
  <c r="AC493" i="3"/>
  <c r="AC76" i="3"/>
  <c r="AC264" i="3"/>
  <c r="AC439" i="3"/>
  <c r="AC228" i="3"/>
  <c r="AC192" i="3"/>
  <c r="AC22" i="3"/>
  <c r="AC518" i="3"/>
  <c r="AC454" i="3"/>
  <c r="AC638" i="3"/>
  <c r="AC2" i="3"/>
  <c r="AC125" i="3"/>
</calcChain>
</file>

<file path=xl/sharedStrings.xml><?xml version="1.0" encoding="utf-8"?>
<sst xmlns="http://schemas.openxmlformats.org/spreadsheetml/2006/main" count="19400" uniqueCount="4553">
  <si>
    <t>縣市</t>
  </si>
  <si>
    <t>鄉鎮區</t>
  </si>
  <si>
    <t>村里</t>
  </si>
  <si>
    <t>發生地點</t>
  </si>
  <si>
    <t>代表地標</t>
  </si>
  <si>
    <t>溪流型態(陳天健)</t>
  </si>
  <si>
    <t>年度</t>
  </si>
  <si>
    <t>事件</t>
  </si>
  <si>
    <t>發生時間</t>
  </si>
  <si>
    <t>發生次數</t>
  </si>
  <si>
    <t>再發生時間間隔</t>
  </si>
  <si>
    <t>崩塌面積_災前</t>
  </si>
  <si>
    <t>崩塌面積_災後</t>
  </si>
  <si>
    <t>崩塌率_災前</t>
  </si>
  <si>
    <t>崩塌率_災後</t>
  </si>
  <si>
    <t>地震影響</t>
  </si>
  <si>
    <t>發生次數(排除地震)</t>
  </si>
  <si>
    <t>再發生時間間隔(排除地震)</t>
  </si>
  <si>
    <t>警戒基準值 (mm)</t>
  </si>
  <si>
    <t>觀測雨量站站號</t>
  </si>
  <si>
    <t>觀測雨量站站名</t>
  </si>
  <si>
    <t>事件總雨量</t>
  </si>
  <si>
    <t>發生降雨強度</t>
  </si>
  <si>
    <t>有效累積雨量</t>
  </si>
  <si>
    <t>發生3小時</t>
  </si>
  <si>
    <t>發生6小時</t>
  </si>
  <si>
    <t>發生12小時</t>
  </si>
  <si>
    <t>發生24小時</t>
  </si>
  <si>
    <t>發生1hr重現期(年)</t>
  </si>
  <si>
    <t>發生3hr重現期(年)</t>
  </si>
  <si>
    <t>發生6hr重現期(年)</t>
  </si>
  <si>
    <t>發生12hr重現期(年)</t>
  </si>
  <si>
    <t>發生24hr重現期(年)</t>
  </si>
  <si>
    <t>雨場最大1小時</t>
  </si>
  <si>
    <t>雨場最大3小時</t>
  </si>
  <si>
    <t>雨場最大6小時</t>
  </si>
  <si>
    <t>雨場前最大12小時</t>
  </si>
  <si>
    <t>雨場最大24小時</t>
  </si>
  <si>
    <t>雨場1hr重現期(年)</t>
  </si>
  <si>
    <t>雨場3hr重現期(年)</t>
  </si>
  <si>
    <t>雨場6hr重現期(年)</t>
  </si>
  <si>
    <t>雨場12hr重現期(年)</t>
  </si>
  <si>
    <t>雨場24hr重現期(年)</t>
  </si>
  <si>
    <t>發生降雨延時</t>
  </si>
  <si>
    <t>宜蘭縣</t>
  </si>
  <si>
    <t>南澳鄉</t>
  </si>
  <si>
    <t>碧候村</t>
  </si>
  <si>
    <t>宜縣DF146</t>
  </si>
  <si>
    <t>溪流型</t>
  </si>
  <si>
    <t>蘇拉颱風</t>
  </si>
  <si>
    <t/>
  </si>
  <si>
    <t>否</t>
  </si>
  <si>
    <t>C0U770</t>
  </si>
  <si>
    <t>南澳</t>
  </si>
  <si>
    <t>2年</t>
  </si>
  <si>
    <t>5年</t>
  </si>
  <si>
    <t>10年</t>
  </si>
  <si>
    <t>25年</t>
  </si>
  <si>
    <t>50年</t>
  </si>
  <si>
    <t>凱米颱風</t>
  </si>
  <si>
    <t>是</t>
  </si>
  <si>
    <t>81U860</t>
  </si>
  <si>
    <t>金岳國小</t>
  </si>
  <si>
    <t>&lt;2</t>
  </si>
  <si>
    <t>200年</t>
  </si>
  <si>
    <t>臺中市</t>
  </si>
  <si>
    <t>和平區</t>
  </si>
  <si>
    <t>博愛里</t>
  </si>
  <si>
    <t>中市DF027</t>
  </si>
  <si>
    <t>松鶴部落</t>
  </si>
  <si>
    <t>敏督利颱風</t>
  </si>
  <si>
    <t>2004/07/02</t>
  </si>
  <si>
    <t>C1F870</t>
  </si>
  <si>
    <t>上谷關</t>
  </si>
  <si>
    <t>馬莎颱風</t>
  </si>
  <si>
    <t>中市DF028</t>
  </si>
  <si>
    <t>南投縣</t>
  </si>
  <si>
    <t>仁愛鄉</t>
  </si>
  <si>
    <t>南豐村</t>
  </si>
  <si>
    <t>投縣DF011</t>
  </si>
  <si>
    <t>桃芝颱風</t>
  </si>
  <si>
    <t>-</t>
  </si>
  <si>
    <t>C1H870</t>
  </si>
  <si>
    <t>仁愛</t>
  </si>
  <si>
    <t>辛樂克颱風</t>
  </si>
  <si>
    <t>C1I330</t>
  </si>
  <si>
    <t>楓樹林</t>
  </si>
  <si>
    <t>100年</t>
  </si>
  <si>
    <t>卡努颱風</t>
  </si>
  <si>
    <t>88H890</t>
  </si>
  <si>
    <t>南豐</t>
  </si>
  <si>
    <t>投縣DF013</t>
  </si>
  <si>
    <t>聖本篤加油站</t>
  </si>
  <si>
    <t>春陽村</t>
  </si>
  <si>
    <t>投縣DF030</t>
  </si>
  <si>
    <t>海棠颱風</t>
  </si>
  <si>
    <t>C0I010</t>
  </si>
  <si>
    <t>廬山</t>
  </si>
  <si>
    <t>水里鄉</t>
  </si>
  <si>
    <t>興隆村</t>
  </si>
  <si>
    <t>投縣DF163</t>
  </si>
  <si>
    <t>南興橋</t>
  </si>
  <si>
    <t>賀伯颱風</t>
  </si>
  <si>
    <t>C1I080</t>
  </si>
  <si>
    <t>信義</t>
  </si>
  <si>
    <t>C1I160</t>
  </si>
  <si>
    <t>龍神橋</t>
  </si>
  <si>
    <t>上安村</t>
  </si>
  <si>
    <t>投縣DF165</t>
  </si>
  <si>
    <t>三部坑溪</t>
  </si>
  <si>
    <t>0609豪雨</t>
  </si>
  <si>
    <t>郡坑村</t>
  </si>
  <si>
    <t>投縣DF167</t>
  </si>
  <si>
    <t>二部坑溪</t>
  </si>
  <si>
    <t>新山村</t>
  </si>
  <si>
    <t>投縣DF169</t>
  </si>
  <si>
    <t>新安橋(南平坑)</t>
  </si>
  <si>
    <t>投縣DF170</t>
  </si>
  <si>
    <t>信義鄉</t>
  </si>
  <si>
    <t>潭南村</t>
  </si>
  <si>
    <t>投縣DF178</t>
  </si>
  <si>
    <t>潭南一號橋</t>
  </si>
  <si>
    <t>C1I150</t>
  </si>
  <si>
    <t>青雲</t>
  </si>
  <si>
    <t>卡玫基颱風</t>
  </si>
  <si>
    <t>明德村</t>
  </si>
  <si>
    <t>投縣DF187</t>
  </si>
  <si>
    <t>坡面型</t>
  </si>
  <si>
    <t>C0I080</t>
  </si>
  <si>
    <t>豐丘村</t>
  </si>
  <si>
    <t>投縣DF189</t>
  </si>
  <si>
    <t>豐丘明隧道</t>
  </si>
  <si>
    <t>投縣DF190</t>
  </si>
  <si>
    <t>豐丘</t>
  </si>
  <si>
    <t>0504豪雨</t>
  </si>
  <si>
    <t>C1I290</t>
  </si>
  <si>
    <t>投縣DF191</t>
  </si>
  <si>
    <t>羅娜村</t>
  </si>
  <si>
    <t>投縣DF193</t>
  </si>
  <si>
    <t>筆石溪</t>
  </si>
  <si>
    <t>C1I060</t>
  </si>
  <si>
    <t>望鄉</t>
  </si>
  <si>
    <t>神木村</t>
  </si>
  <si>
    <t>投縣DF198</t>
  </si>
  <si>
    <t>玉泉橋</t>
  </si>
  <si>
    <t>C1I070</t>
  </si>
  <si>
    <t>和社</t>
  </si>
  <si>
    <t>C0H9A0</t>
  </si>
  <si>
    <t>投縣DF199</t>
  </si>
  <si>
    <t>出水溪</t>
  </si>
  <si>
    <t>C1M440</t>
  </si>
  <si>
    <t>新高口</t>
  </si>
  <si>
    <t>豪雨</t>
  </si>
  <si>
    <t>莫拉克颱風</t>
  </si>
  <si>
    <t>投縣DF200</t>
  </si>
  <si>
    <t>舊愛玉橋</t>
  </si>
  <si>
    <t>同富村</t>
  </si>
  <si>
    <t>投縣DF202</t>
  </si>
  <si>
    <t>頭坑橋</t>
  </si>
  <si>
    <t>0610豪雨</t>
  </si>
  <si>
    <t>C1I340</t>
  </si>
  <si>
    <t>新興橋</t>
  </si>
  <si>
    <t>東埔村</t>
  </si>
  <si>
    <t>投縣DF206</t>
  </si>
  <si>
    <t>東埔溫泉</t>
  </si>
  <si>
    <t>一般降雨</t>
  </si>
  <si>
    <t>缺</t>
  </si>
  <si>
    <t>01H400</t>
  </si>
  <si>
    <t>東埔</t>
  </si>
  <si>
    <t>投縣DF226</t>
  </si>
  <si>
    <t>愛玉子溪</t>
  </si>
  <si>
    <t>0719豪雨</t>
  </si>
  <si>
    <t>蘇力颱風</t>
  </si>
  <si>
    <t>0520豪雨</t>
  </si>
  <si>
    <t>雲林縣</t>
  </si>
  <si>
    <t>古坑鄉</t>
  </si>
  <si>
    <t>桂林村</t>
  </si>
  <si>
    <t>雲縣DF013</t>
  </si>
  <si>
    <t>0601豪雨</t>
  </si>
  <si>
    <t>C0K490</t>
  </si>
  <si>
    <t>古坑</t>
  </si>
  <si>
    <t>88K590</t>
  </si>
  <si>
    <t>華山</t>
  </si>
  <si>
    <t>嘉義縣</t>
  </si>
  <si>
    <t>中埔鄉</t>
  </si>
  <si>
    <t>中崙村</t>
  </si>
  <si>
    <t>嘉縣DF051</t>
  </si>
  <si>
    <t>中崙四號橋</t>
  </si>
  <si>
    <t>0815豪雨</t>
  </si>
  <si>
    <t>81M690</t>
  </si>
  <si>
    <t>沄水國小</t>
  </si>
  <si>
    <t>利奇馬颱風</t>
  </si>
  <si>
    <t>0910豪雨</t>
  </si>
  <si>
    <t>阿里山鄉</t>
  </si>
  <si>
    <t>豐山村</t>
  </si>
  <si>
    <t>嘉縣DF039</t>
  </si>
  <si>
    <t>乾坑溪</t>
  </si>
  <si>
    <t>碧利斯颱風</t>
  </si>
  <si>
    <t>C0K240</t>
  </si>
  <si>
    <t>草嶺</t>
  </si>
  <si>
    <t>納莉颱風</t>
  </si>
  <si>
    <t>嘉縣DF040</t>
  </si>
  <si>
    <t>石鼓盤溪</t>
  </si>
  <si>
    <t>來吉村</t>
  </si>
  <si>
    <t>嘉縣DF042</t>
  </si>
  <si>
    <t>來吉大橋</t>
  </si>
  <si>
    <t>C1M630</t>
  </si>
  <si>
    <t>豐山</t>
  </si>
  <si>
    <t>梅山鄉</t>
  </si>
  <si>
    <t>太和村</t>
  </si>
  <si>
    <t>嘉縣DF008</t>
  </si>
  <si>
    <t>C1M620</t>
  </si>
  <si>
    <t>瑞里</t>
  </si>
  <si>
    <t>臺南市</t>
  </si>
  <si>
    <t>南化區</t>
  </si>
  <si>
    <t>玉山里</t>
  </si>
  <si>
    <t>南市DF048</t>
  </si>
  <si>
    <t>羌黃坑</t>
  </si>
  <si>
    <t>C1O830</t>
  </si>
  <si>
    <t>北寮</t>
  </si>
  <si>
    <t>高雄市</t>
  </si>
  <si>
    <t>六龜區</t>
  </si>
  <si>
    <t>寶來里</t>
  </si>
  <si>
    <t>高市DF046</t>
  </si>
  <si>
    <t>五龍宮</t>
  </si>
  <si>
    <t>C1V240</t>
  </si>
  <si>
    <t>新發</t>
  </si>
  <si>
    <t>高市DF047</t>
  </si>
  <si>
    <t>寶來一橋</t>
  </si>
  <si>
    <t>聖帕颱風</t>
  </si>
  <si>
    <t>大津里</t>
  </si>
  <si>
    <t>高市DF049</t>
  </si>
  <si>
    <t>大津基督教會(津鳳宮旁)</t>
  </si>
  <si>
    <t>C1V340</t>
  </si>
  <si>
    <t>大津</t>
  </si>
  <si>
    <t>高市DF050</t>
  </si>
  <si>
    <t>六輕橋(大津里)</t>
  </si>
  <si>
    <t>凡那比颱風</t>
  </si>
  <si>
    <t>中興里</t>
  </si>
  <si>
    <t>高市DF053</t>
  </si>
  <si>
    <t>慧濟寺</t>
  </si>
  <si>
    <t>C0V800</t>
  </si>
  <si>
    <t>六龜</t>
  </si>
  <si>
    <t>新發里</t>
  </si>
  <si>
    <t>高市DF055</t>
  </si>
  <si>
    <t>紅水仙橋</t>
  </si>
  <si>
    <t>高市DF075</t>
  </si>
  <si>
    <t>津鳳宮</t>
  </si>
  <si>
    <t>興龍里</t>
  </si>
  <si>
    <t>高市DF076</t>
  </si>
  <si>
    <t>舊潭二號橋</t>
  </si>
  <si>
    <t>荖濃里</t>
  </si>
  <si>
    <t>高市DF097</t>
  </si>
  <si>
    <t>頂荖濃</t>
  </si>
  <si>
    <t>梅姬颱風</t>
  </si>
  <si>
    <t>81V820</t>
  </si>
  <si>
    <t>建山國小</t>
  </si>
  <si>
    <t>高市DF114</t>
  </si>
  <si>
    <t>0731豪雨</t>
  </si>
  <si>
    <t>杉林區</t>
  </si>
  <si>
    <t>木梓里</t>
  </si>
  <si>
    <t>高市DF021</t>
  </si>
  <si>
    <t>奇潭橋</t>
  </si>
  <si>
    <t>C1V260</t>
  </si>
  <si>
    <t>月眉</t>
  </si>
  <si>
    <t>屏東縣</t>
  </si>
  <si>
    <t>滿州鄉</t>
  </si>
  <si>
    <t>港口村</t>
  </si>
  <si>
    <t>屏縣DF064</t>
  </si>
  <si>
    <t>C0R370</t>
  </si>
  <si>
    <t>佳樂水</t>
  </si>
  <si>
    <t>天秤颱風</t>
  </si>
  <si>
    <t>花蓮縣</t>
  </si>
  <si>
    <t>秀林鄉</t>
  </si>
  <si>
    <t>和平村</t>
  </si>
  <si>
    <t>花縣DF172</t>
  </si>
  <si>
    <t>C0T9D0</t>
  </si>
  <si>
    <t>和中</t>
  </si>
  <si>
    <t>81T1B0</t>
  </si>
  <si>
    <t>和仁車站</t>
  </si>
  <si>
    <t>景美村</t>
  </si>
  <si>
    <t>花縣DF174</t>
  </si>
  <si>
    <t>C1Z110</t>
  </si>
  <si>
    <t>三棧</t>
  </si>
  <si>
    <t>萬榮鄉</t>
  </si>
  <si>
    <t>見晴村</t>
  </si>
  <si>
    <t>花縣DF037</t>
  </si>
  <si>
    <t>瑞伯颱風</t>
  </si>
  <si>
    <t>C1T930</t>
  </si>
  <si>
    <t>鳳林</t>
  </si>
  <si>
    <t>高市DF051</t>
  </si>
  <si>
    <t>大智瀑布</t>
  </si>
  <si>
    <t>大同鄉</t>
  </si>
  <si>
    <t>四季村</t>
  </si>
  <si>
    <t>宜縣DF072</t>
  </si>
  <si>
    <t>蘇迪勒颱風</t>
  </si>
  <si>
    <t>01U780</t>
  </si>
  <si>
    <t>四季</t>
  </si>
  <si>
    <t>寒溪村</t>
  </si>
  <si>
    <t>宜縣DF086</t>
  </si>
  <si>
    <t>1001豪雨</t>
  </si>
  <si>
    <t>C1U511</t>
  </si>
  <si>
    <t>古魯</t>
  </si>
  <si>
    <t>復興村</t>
  </si>
  <si>
    <t>宜縣DF143</t>
  </si>
  <si>
    <t>C1U501</t>
  </si>
  <si>
    <t>牛鬥</t>
  </si>
  <si>
    <t>宜縣DF147</t>
  </si>
  <si>
    <t>蘇澳鎮</t>
  </si>
  <si>
    <t>南建里</t>
  </si>
  <si>
    <t>宜縣DF100</t>
  </si>
  <si>
    <t>蘇澳</t>
  </si>
  <si>
    <t>蘇北里</t>
  </si>
  <si>
    <t>宜縣DF102</t>
  </si>
  <si>
    <t>東澳里</t>
  </si>
  <si>
    <t>宜縣DF148</t>
  </si>
  <si>
    <t>C1U930</t>
  </si>
  <si>
    <t>粉鳥林</t>
  </si>
  <si>
    <t>新北市</t>
  </si>
  <si>
    <t>三峽區</t>
  </si>
  <si>
    <t>安坑里</t>
  </si>
  <si>
    <t>新北DF223</t>
  </si>
  <si>
    <t>01AG10</t>
  </si>
  <si>
    <t>熊空山</t>
  </si>
  <si>
    <t>坪林區</t>
  </si>
  <si>
    <t>大林里</t>
  </si>
  <si>
    <t>新北DF232</t>
  </si>
  <si>
    <t>杜鵑颱風</t>
  </si>
  <si>
    <t>C0A530</t>
  </si>
  <si>
    <t>坪林</t>
  </si>
  <si>
    <t>烏來區</t>
  </si>
  <si>
    <t>信賢里</t>
  </si>
  <si>
    <t>新北DF103</t>
  </si>
  <si>
    <t>01A430</t>
  </si>
  <si>
    <t>福山</t>
  </si>
  <si>
    <t>忠治里</t>
  </si>
  <si>
    <t>新北DF229</t>
  </si>
  <si>
    <t>01A440</t>
  </si>
  <si>
    <t>大桶山</t>
  </si>
  <si>
    <t>新北DF230</t>
  </si>
  <si>
    <t>新北DF231</t>
  </si>
  <si>
    <t>新店區</t>
  </si>
  <si>
    <t>雙坑里</t>
  </si>
  <si>
    <t>新北DF233</t>
  </si>
  <si>
    <t>C1A9N0</t>
  </si>
  <si>
    <t>四十份</t>
  </si>
  <si>
    <t>桃園市</t>
  </si>
  <si>
    <t>復興區</t>
  </si>
  <si>
    <t>羅浮里</t>
  </si>
  <si>
    <t>桃市DF034</t>
  </si>
  <si>
    <t>21C140</t>
  </si>
  <si>
    <t>霞雲</t>
  </si>
  <si>
    <t>新竹縣</t>
  </si>
  <si>
    <t>五峰鄉</t>
  </si>
  <si>
    <t>桃山村</t>
  </si>
  <si>
    <t>竹縣DF043</t>
  </si>
  <si>
    <t>艾利颱風</t>
  </si>
  <si>
    <t>2004/08/25</t>
  </si>
  <si>
    <t>C1D410</t>
  </si>
  <si>
    <t>白蘭</t>
  </si>
  <si>
    <t>尖石鄉</t>
  </si>
  <si>
    <t>新樂村</t>
  </si>
  <si>
    <t>竹縣DF051</t>
  </si>
  <si>
    <t>C1D400</t>
  </si>
  <si>
    <t>鳥嘴山</t>
  </si>
  <si>
    <t>梅花村</t>
  </si>
  <si>
    <t>竹縣DF068</t>
  </si>
  <si>
    <t>C0D360</t>
  </si>
  <si>
    <t>梅花</t>
  </si>
  <si>
    <t>玉峰村</t>
  </si>
  <si>
    <t>竹縣DF071</t>
  </si>
  <si>
    <t>達觀里</t>
  </si>
  <si>
    <t>中市DF008</t>
  </si>
  <si>
    <t>C0F900</t>
  </si>
  <si>
    <t>雙崎</t>
  </si>
  <si>
    <t>新生村</t>
  </si>
  <si>
    <t>投縣DF004</t>
  </si>
  <si>
    <t>C1H900</t>
  </si>
  <si>
    <t>清流</t>
  </si>
  <si>
    <t>互助村</t>
  </si>
  <si>
    <t>投縣DF006</t>
  </si>
  <si>
    <t>投縣DF012</t>
  </si>
  <si>
    <t>投縣DF017</t>
  </si>
  <si>
    <t>投縣DF018</t>
  </si>
  <si>
    <t>投縣DF019</t>
  </si>
  <si>
    <t>親愛村</t>
  </si>
  <si>
    <t>投縣DF021</t>
  </si>
  <si>
    <t>C1I020</t>
  </si>
  <si>
    <t>萬大</t>
  </si>
  <si>
    <t>法治村</t>
  </si>
  <si>
    <t>投縣DF026</t>
  </si>
  <si>
    <t>C1I030</t>
  </si>
  <si>
    <t>武界</t>
  </si>
  <si>
    <t>投縣DF027</t>
  </si>
  <si>
    <t>投縣DF029</t>
  </si>
  <si>
    <t>精英村</t>
  </si>
  <si>
    <t>投縣DF031</t>
  </si>
  <si>
    <t>萬豐村</t>
  </si>
  <si>
    <t>投縣DF248</t>
  </si>
  <si>
    <t>圓覺寺</t>
  </si>
  <si>
    <t>投縣DF263</t>
  </si>
  <si>
    <t>C0I390</t>
  </si>
  <si>
    <t>車埕村</t>
  </si>
  <si>
    <t>投縣DF154</t>
  </si>
  <si>
    <t>投縣DF155</t>
  </si>
  <si>
    <t>投縣DF156</t>
  </si>
  <si>
    <t>投縣DF159</t>
  </si>
  <si>
    <t>投縣DF160</t>
  </si>
  <si>
    <t>投縣DF161</t>
  </si>
  <si>
    <t>投縣DF162</t>
  </si>
  <si>
    <t>投縣DF166</t>
  </si>
  <si>
    <t>流籠坑溪</t>
  </si>
  <si>
    <t>頂崁村</t>
  </si>
  <si>
    <t>投縣DF171</t>
  </si>
  <si>
    <t>投縣DF172</t>
  </si>
  <si>
    <t>民和村</t>
  </si>
  <si>
    <t>投縣DF173</t>
  </si>
  <si>
    <t>投縣DF174</t>
  </si>
  <si>
    <t>投縣DF175</t>
  </si>
  <si>
    <t>名間鄉</t>
  </si>
  <si>
    <t>仁和村</t>
  </si>
  <si>
    <t>投縣DF126</t>
  </si>
  <si>
    <t>仁和村北玄宮</t>
  </si>
  <si>
    <t>C0H950</t>
  </si>
  <si>
    <t>中寮</t>
  </si>
  <si>
    <t>投縣DF177</t>
  </si>
  <si>
    <t>投縣DF179</t>
  </si>
  <si>
    <t>投縣DF180</t>
  </si>
  <si>
    <t>地利村</t>
  </si>
  <si>
    <t>投縣DF181</t>
  </si>
  <si>
    <t>人和村</t>
  </si>
  <si>
    <t>投縣DF184</t>
  </si>
  <si>
    <t>投縣DF186</t>
  </si>
  <si>
    <t>投縣DF188</t>
  </si>
  <si>
    <t>自強村</t>
  </si>
  <si>
    <t>投縣DF192</t>
  </si>
  <si>
    <t>投縣DF194</t>
  </si>
  <si>
    <t>投縣DF195</t>
  </si>
  <si>
    <t>投縣DF196</t>
  </si>
  <si>
    <t>投縣DF201</t>
  </si>
  <si>
    <t>烏乾坑溪</t>
  </si>
  <si>
    <t>投縣DF203</t>
  </si>
  <si>
    <t>投縣DF204</t>
  </si>
  <si>
    <t>投縣DF205</t>
  </si>
  <si>
    <t>投縣DF207</t>
  </si>
  <si>
    <t>望美村</t>
  </si>
  <si>
    <t>投縣DF223</t>
  </si>
  <si>
    <t>庫坑橋</t>
  </si>
  <si>
    <t>埔里鎮</t>
  </si>
  <si>
    <t>南村里</t>
  </si>
  <si>
    <t>投縣DF032</t>
  </si>
  <si>
    <t>C1H890</t>
  </si>
  <si>
    <t>大肚城</t>
  </si>
  <si>
    <t>投縣DF035</t>
  </si>
  <si>
    <t>2004/07/03</t>
  </si>
  <si>
    <t>桃米里</t>
  </si>
  <si>
    <t>投縣DF038</t>
  </si>
  <si>
    <t>成功里</t>
  </si>
  <si>
    <t>投縣DF040</t>
  </si>
  <si>
    <t>C1H930</t>
  </si>
  <si>
    <t>北山</t>
  </si>
  <si>
    <t>麒麟里</t>
  </si>
  <si>
    <t>投縣DF045</t>
  </si>
  <si>
    <t>C1I260</t>
  </si>
  <si>
    <t>北坑</t>
  </si>
  <si>
    <t>投縣DF050</t>
  </si>
  <si>
    <t>投縣DF051</t>
  </si>
  <si>
    <t>投縣DF052</t>
  </si>
  <si>
    <t>蜈蚣里</t>
  </si>
  <si>
    <t>投縣DF061</t>
  </si>
  <si>
    <t>投縣DF062</t>
  </si>
  <si>
    <t>投縣DF063</t>
  </si>
  <si>
    <t>投縣DF065</t>
  </si>
  <si>
    <t>C1I250</t>
  </si>
  <si>
    <t>鯉潭</t>
  </si>
  <si>
    <t>投縣DF066</t>
  </si>
  <si>
    <t>投縣DF067</t>
  </si>
  <si>
    <t>投縣DF068</t>
  </si>
  <si>
    <t>牛眠里</t>
  </si>
  <si>
    <t>投縣DF072</t>
  </si>
  <si>
    <t>福興里</t>
  </si>
  <si>
    <t>投縣DF074</t>
  </si>
  <si>
    <t>魚池鄉</t>
  </si>
  <si>
    <t>日月村</t>
  </si>
  <si>
    <t>投縣DF080</t>
  </si>
  <si>
    <t>日月潭</t>
  </si>
  <si>
    <t>鹿谷鄉</t>
  </si>
  <si>
    <t>和雅村</t>
  </si>
  <si>
    <t>投縣DF138</t>
  </si>
  <si>
    <t>C1I100</t>
  </si>
  <si>
    <t>溪頭</t>
  </si>
  <si>
    <t>內湖村</t>
  </si>
  <si>
    <t>投縣DF144</t>
  </si>
  <si>
    <t>華山村</t>
  </si>
  <si>
    <t>雲縣DF002</t>
  </si>
  <si>
    <t>C0K300</t>
  </si>
  <si>
    <t>大埔</t>
  </si>
  <si>
    <t>草嶺村</t>
  </si>
  <si>
    <t>雲縣DF006</t>
  </si>
  <si>
    <t>大埔鄉</t>
  </si>
  <si>
    <t>茄苳村</t>
  </si>
  <si>
    <t>嘉縣DF053</t>
  </si>
  <si>
    <t>C0M410</t>
  </si>
  <si>
    <t>馬頭山</t>
  </si>
  <si>
    <t>竹崎鄉</t>
  </si>
  <si>
    <t>緞繻村</t>
  </si>
  <si>
    <t>嘉縣DF013</t>
  </si>
  <si>
    <t>C1M480</t>
  </si>
  <si>
    <t>獨立山</t>
  </si>
  <si>
    <t>嘉縣DF081</t>
  </si>
  <si>
    <t>嘉縣DF041</t>
  </si>
  <si>
    <t>達邦村</t>
  </si>
  <si>
    <t>嘉縣DF045</t>
  </si>
  <si>
    <t>C0M530</t>
  </si>
  <si>
    <t>奮起湖</t>
  </si>
  <si>
    <t>嘉縣DF055</t>
  </si>
  <si>
    <t>來吉國小</t>
  </si>
  <si>
    <t>山美村</t>
  </si>
  <si>
    <t>嘉縣DF057</t>
  </si>
  <si>
    <t>山美國小</t>
  </si>
  <si>
    <t>C1M390</t>
  </si>
  <si>
    <t>龍美</t>
  </si>
  <si>
    <t>茶山村</t>
  </si>
  <si>
    <t>嘉縣DF062</t>
  </si>
  <si>
    <t>茶山村1鄰</t>
  </si>
  <si>
    <t>瑞里村</t>
  </si>
  <si>
    <t>嘉縣DF006</t>
  </si>
  <si>
    <t>應是嘉縣DF061</t>
  </si>
  <si>
    <t>嘉縣DF047</t>
  </si>
  <si>
    <t>嘉縣DF048</t>
  </si>
  <si>
    <t>關山里</t>
  </si>
  <si>
    <t>南市DF041</t>
  </si>
  <si>
    <t>關山第12號橋</t>
  </si>
  <si>
    <t>C1O880</t>
  </si>
  <si>
    <t>關山</t>
  </si>
  <si>
    <t>大智瀑布(支流)</t>
  </si>
  <si>
    <t>高市DF073</t>
  </si>
  <si>
    <t>建山一橋</t>
  </si>
  <si>
    <t>文武里</t>
  </si>
  <si>
    <t>高市DF074</t>
  </si>
  <si>
    <t>開元寺(六龜市區後面)</t>
  </si>
  <si>
    <t>高市DF078</t>
  </si>
  <si>
    <t>新發部落</t>
  </si>
  <si>
    <t>高市DF080</t>
  </si>
  <si>
    <t>慈惠宮</t>
  </si>
  <si>
    <t>高市DF099</t>
  </si>
  <si>
    <t>高市DF102</t>
  </si>
  <si>
    <t>彩虹山大佛</t>
  </si>
  <si>
    <t>高市DF108</t>
  </si>
  <si>
    <t>和平路36號</t>
  </si>
  <si>
    <t>高市DF112</t>
  </si>
  <si>
    <t>玄徽草堂</t>
  </si>
  <si>
    <t>盧碧颱風暨 0806 水災</t>
  </si>
  <si>
    <t>C1V590</t>
  </si>
  <si>
    <t>高市DF113</t>
  </si>
  <si>
    <t>檳園渡假山莊</t>
  </si>
  <si>
    <t>甲仙區</t>
  </si>
  <si>
    <t>高市DF013</t>
  </si>
  <si>
    <t>三聖宮</t>
  </si>
  <si>
    <t>C0V250</t>
  </si>
  <si>
    <t>甲仙</t>
  </si>
  <si>
    <t>大田里</t>
  </si>
  <si>
    <t>高市DF016</t>
  </si>
  <si>
    <t>仙林巷10號</t>
  </si>
  <si>
    <t>東安里</t>
  </si>
  <si>
    <t>高市DF019</t>
  </si>
  <si>
    <t>咖啡巷</t>
  </si>
  <si>
    <t>高市DF020</t>
  </si>
  <si>
    <t>油礦巷</t>
  </si>
  <si>
    <t>西安里</t>
  </si>
  <si>
    <t>高市DF071</t>
  </si>
  <si>
    <t>和南巷</t>
  </si>
  <si>
    <t>集來里</t>
  </si>
  <si>
    <t>高市DF072</t>
  </si>
  <si>
    <t>火山橋</t>
  </si>
  <si>
    <t>那瑪夏區</t>
  </si>
  <si>
    <t>瑪雅里</t>
  </si>
  <si>
    <t>高市DF006</t>
  </si>
  <si>
    <t>台21線三民國中</t>
  </si>
  <si>
    <t>C1V160</t>
  </si>
  <si>
    <t>民生</t>
  </si>
  <si>
    <t>南沙魯里</t>
  </si>
  <si>
    <t>高市DF007</t>
  </si>
  <si>
    <t>南沙魯橋</t>
  </si>
  <si>
    <t>高市DF068</t>
  </si>
  <si>
    <t>台29線7.3K月兒橋</t>
  </si>
  <si>
    <t>桃源區</t>
  </si>
  <si>
    <t>建山里</t>
  </si>
  <si>
    <t>高市DF045</t>
  </si>
  <si>
    <t>勤和里</t>
  </si>
  <si>
    <t>高市DF061</t>
  </si>
  <si>
    <t>C1V220</t>
  </si>
  <si>
    <t>小關山</t>
  </si>
  <si>
    <t>高市DF064</t>
  </si>
  <si>
    <t>建山二橋</t>
  </si>
  <si>
    <t>C1V210</t>
  </si>
  <si>
    <t>復興</t>
  </si>
  <si>
    <t>拉芙蘭里</t>
  </si>
  <si>
    <t>高市DF089</t>
  </si>
  <si>
    <t>樟山國小</t>
  </si>
  <si>
    <t>三地門鄉</t>
  </si>
  <si>
    <t>口社村</t>
  </si>
  <si>
    <t>屏縣DF010</t>
  </si>
  <si>
    <t>C0R100</t>
  </si>
  <si>
    <t>尾寮山</t>
  </si>
  <si>
    <t>達來村</t>
  </si>
  <si>
    <t>屏縣DF013</t>
  </si>
  <si>
    <t>0809豪雨</t>
  </si>
  <si>
    <t>C1R140</t>
  </si>
  <si>
    <t>瑪家</t>
  </si>
  <si>
    <t>滿洲鄉</t>
  </si>
  <si>
    <t>滿州村</t>
  </si>
  <si>
    <t>屏縣DF070</t>
  </si>
  <si>
    <t>老佛順天宮</t>
  </si>
  <si>
    <t>南瑪都颱風</t>
  </si>
  <si>
    <t>C0R280</t>
  </si>
  <si>
    <t>檳榔</t>
  </si>
  <si>
    <t>臺東縣</t>
  </si>
  <si>
    <t>大武鄉</t>
  </si>
  <si>
    <t>大竹村</t>
  </si>
  <si>
    <t>東縣DF092</t>
  </si>
  <si>
    <t>C1S620</t>
  </si>
  <si>
    <t>土阪</t>
  </si>
  <si>
    <t>東縣DF093</t>
  </si>
  <si>
    <t>圓規颱風</t>
  </si>
  <si>
    <t>C0S980</t>
  </si>
  <si>
    <t>勝林山</t>
  </si>
  <si>
    <t>大鳥村</t>
  </si>
  <si>
    <t>東縣DF097</t>
  </si>
  <si>
    <t>東縣DF098</t>
  </si>
  <si>
    <t>太麻里鄉</t>
  </si>
  <si>
    <t>大王村</t>
  </si>
  <si>
    <t>東縣DF111</t>
  </si>
  <si>
    <t>山陀兒</t>
  </si>
  <si>
    <t>C0S690</t>
  </si>
  <si>
    <t>太麻里</t>
  </si>
  <si>
    <t>金崙村</t>
  </si>
  <si>
    <t>東縣DF114</t>
  </si>
  <si>
    <t>C0S770</t>
  </si>
  <si>
    <t>大溪山</t>
  </si>
  <si>
    <t>華源村</t>
  </si>
  <si>
    <t>東縣DF124</t>
  </si>
  <si>
    <t>C1S800</t>
  </si>
  <si>
    <t>華源</t>
  </si>
  <si>
    <t>東縣DF125</t>
  </si>
  <si>
    <t>卑南鄉</t>
  </si>
  <si>
    <t>溫泉村</t>
  </si>
  <si>
    <t>東縣DF058</t>
  </si>
  <si>
    <t>鳳凰颱風</t>
  </si>
  <si>
    <t>C0S700</t>
  </si>
  <si>
    <t>知本</t>
  </si>
  <si>
    <t>東縣DF059</t>
  </si>
  <si>
    <t>81S930</t>
  </si>
  <si>
    <t>射馬干</t>
  </si>
  <si>
    <t>延平鄉</t>
  </si>
  <si>
    <t>紅葉村</t>
  </si>
  <si>
    <t>東縣DF166</t>
  </si>
  <si>
    <t>莫蘭蒂颱風</t>
  </si>
  <si>
    <t>C0S710</t>
  </si>
  <si>
    <t>鹿野</t>
  </si>
  <si>
    <t>玉里鎮</t>
  </si>
  <si>
    <t>大禹里</t>
  </si>
  <si>
    <t>花縣DF064</t>
  </si>
  <si>
    <t>1013豪雨</t>
  </si>
  <si>
    <t>C1T990</t>
  </si>
  <si>
    <t>高寮</t>
  </si>
  <si>
    <t>花縣DF065</t>
  </si>
  <si>
    <t>光復鄉</t>
  </si>
  <si>
    <t>大興村</t>
  </si>
  <si>
    <t>花縣DF118</t>
  </si>
  <si>
    <t>C1T950</t>
  </si>
  <si>
    <t>太安</t>
  </si>
  <si>
    <t>富世村</t>
  </si>
  <si>
    <t>花縣DF002</t>
  </si>
  <si>
    <t>龍王颱風</t>
  </si>
  <si>
    <t>C1T800</t>
  </si>
  <si>
    <t>洛韶</t>
  </si>
  <si>
    <t>銅門村</t>
  </si>
  <si>
    <t>花縣DF010</t>
  </si>
  <si>
    <t>歐菲莉颱風</t>
  </si>
  <si>
    <t>花蓮</t>
  </si>
  <si>
    <t>崇德村</t>
  </si>
  <si>
    <t>花縣DF024</t>
  </si>
  <si>
    <t>一般降雨(0403地震)</t>
  </si>
  <si>
    <t>C0Z310</t>
  </si>
  <si>
    <t>清水斷崖</t>
  </si>
  <si>
    <t>花縣DF025</t>
  </si>
  <si>
    <t>花縣DF026</t>
  </si>
  <si>
    <t>和中部落</t>
  </si>
  <si>
    <t>花縣DF166</t>
  </si>
  <si>
    <t>花縣DF173</t>
  </si>
  <si>
    <t>81T1A0</t>
  </si>
  <si>
    <t>崇德國小</t>
  </si>
  <si>
    <t>富里鄉</t>
  </si>
  <si>
    <t>羅山村</t>
  </si>
  <si>
    <t>花縣DF057</t>
  </si>
  <si>
    <t>C0Z020</t>
  </si>
  <si>
    <t>明里</t>
  </si>
  <si>
    <t>馬遠村</t>
  </si>
  <si>
    <t>花縣DF168</t>
  </si>
  <si>
    <t>臺9線、瑞北</t>
  </si>
  <si>
    <t>麥德姆颱風</t>
  </si>
  <si>
    <t>C1Z030</t>
  </si>
  <si>
    <t>紅葉</t>
  </si>
  <si>
    <t>鳳林鎮</t>
  </si>
  <si>
    <t>鳳義里</t>
  </si>
  <si>
    <t>花縣DF125</t>
  </si>
  <si>
    <t>鳳鳴橋</t>
  </si>
  <si>
    <t>花縣DF127</t>
  </si>
  <si>
    <t>思源橋</t>
  </si>
  <si>
    <t>投縣DF185</t>
  </si>
  <si>
    <t>支流</t>
  </si>
  <si>
    <r>
      <rPr>
        <sz val="12"/>
        <rFont val="標楷體"/>
        <family val="4"/>
        <charset val="136"/>
      </rPr>
      <t>序號</t>
    </r>
    <phoneticPr fontId="5" type="noConversion"/>
  </si>
  <si>
    <r>
      <rPr>
        <sz val="12"/>
        <rFont val="標楷體"/>
        <family val="4"/>
        <charset val="136"/>
      </rPr>
      <t>類型</t>
    </r>
  </si>
  <si>
    <t>災害案件編號</t>
  </si>
  <si>
    <r>
      <rPr>
        <sz val="12"/>
        <rFont val="標楷體"/>
        <family val="4"/>
        <charset val="136"/>
      </rPr>
      <t>災區位置</t>
    </r>
    <phoneticPr fontId="5" type="noConversion"/>
  </si>
  <si>
    <r>
      <rPr>
        <sz val="12"/>
        <rFont val="標楷體"/>
        <family val="4"/>
        <charset val="136"/>
      </rPr>
      <t>縣市</t>
    </r>
    <phoneticPr fontId="5" type="noConversion"/>
  </si>
  <si>
    <r>
      <rPr>
        <sz val="12"/>
        <rFont val="標楷體"/>
        <family val="4"/>
        <charset val="136"/>
      </rPr>
      <t>鄉區</t>
    </r>
  </si>
  <si>
    <r>
      <rPr>
        <sz val="12"/>
        <rFont val="標楷體"/>
        <family val="4"/>
        <charset val="136"/>
      </rPr>
      <t>村里</t>
    </r>
    <phoneticPr fontId="5" type="noConversion"/>
  </si>
  <si>
    <r>
      <rPr>
        <sz val="12"/>
        <color indexed="10"/>
        <rFont val="標楷體"/>
        <family val="4"/>
        <charset val="136"/>
      </rPr>
      <t>溪流名稱或編號</t>
    </r>
    <phoneticPr fontId="5" type="noConversion"/>
  </si>
  <si>
    <t>X_TWD97</t>
    <phoneticPr fontId="5" type="noConversion"/>
  </si>
  <si>
    <t>Y_TWD97</t>
    <phoneticPr fontId="5" type="noConversion"/>
  </si>
  <si>
    <t>X_TWD67</t>
    <phoneticPr fontId="5" type="noConversion"/>
  </si>
  <si>
    <t>Y_TWD67</t>
    <phoneticPr fontId="5" type="noConversion"/>
  </si>
  <si>
    <r>
      <rPr>
        <sz val="12"/>
        <rFont val="標楷體"/>
        <family val="4"/>
        <charset val="136"/>
      </rPr>
      <t>觸發事件</t>
    </r>
    <phoneticPr fontId="5" type="noConversion"/>
  </si>
  <si>
    <t>災害發生時間</t>
    <phoneticPr fontId="5" type="noConversion"/>
  </si>
  <si>
    <r>
      <rPr>
        <sz val="12"/>
        <rFont val="標楷體"/>
        <family val="4"/>
        <charset val="136"/>
      </rPr>
      <t>災情描述</t>
    </r>
    <phoneticPr fontId="5" type="noConversion"/>
  </si>
  <si>
    <r>
      <rPr>
        <sz val="12"/>
        <rFont val="標楷體"/>
        <family val="4"/>
        <charset val="136"/>
      </rPr>
      <t>備註</t>
    </r>
    <phoneticPr fontId="5" type="noConversion"/>
  </si>
  <si>
    <r>
      <rPr>
        <sz val="12"/>
        <rFont val="標楷體"/>
        <family val="4"/>
        <charset val="136"/>
      </rPr>
      <t>觀測雨量站站號</t>
    </r>
    <phoneticPr fontId="5" type="noConversion"/>
  </si>
  <si>
    <r>
      <rPr>
        <sz val="12"/>
        <rFont val="標楷體"/>
        <family val="4"/>
        <charset val="136"/>
      </rPr>
      <t>觀測雨量站站名</t>
    </r>
    <phoneticPr fontId="5" type="noConversion"/>
  </si>
  <si>
    <r>
      <rPr>
        <sz val="12"/>
        <rFont val="標楷體"/>
        <family val="4"/>
        <charset val="136"/>
      </rPr>
      <t>降雨強度</t>
    </r>
    <r>
      <rPr>
        <sz val="12"/>
        <rFont val="Times New Roman"/>
        <family val="1"/>
      </rPr>
      <t xml:space="preserve"> (mm/hr)</t>
    </r>
    <phoneticPr fontId="5" type="noConversion"/>
  </si>
  <si>
    <r>
      <rPr>
        <sz val="12"/>
        <rFont val="標楷體"/>
        <family val="4"/>
        <charset val="136"/>
      </rPr>
      <t>有效累積雨量</t>
    </r>
    <r>
      <rPr>
        <sz val="12"/>
        <rFont val="Times New Roman"/>
        <family val="1"/>
      </rPr>
      <t xml:space="preserve"> (mm)</t>
    </r>
    <phoneticPr fontId="5" type="noConversion"/>
  </si>
  <si>
    <r>
      <rPr>
        <sz val="12"/>
        <rFont val="標楷體"/>
        <family val="4"/>
        <charset val="136"/>
      </rPr>
      <t>警戒基準值</t>
    </r>
    <r>
      <rPr>
        <sz val="12"/>
        <rFont val="Times New Roman"/>
        <family val="1"/>
      </rPr>
      <t xml:space="preserve"> (mm)</t>
    </r>
    <phoneticPr fontId="5" type="noConversion"/>
  </si>
  <si>
    <r>
      <rPr>
        <sz val="12"/>
        <rFont val="標楷體"/>
        <family val="4"/>
        <charset val="136"/>
      </rPr>
      <t>判斷</t>
    </r>
    <phoneticPr fontId="5" type="noConversion"/>
  </si>
  <si>
    <r>
      <rPr>
        <sz val="12"/>
        <color indexed="10"/>
        <rFont val="標楷體"/>
        <family val="4"/>
        <charset val="136"/>
      </rPr>
      <t>崩塌面積</t>
    </r>
    <r>
      <rPr>
        <sz val="12"/>
        <color indexed="10"/>
        <rFont val="Times New Roman"/>
        <family val="1"/>
      </rPr>
      <t>(ha)</t>
    </r>
    <phoneticPr fontId="5" type="noConversion"/>
  </si>
  <si>
    <r>
      <rPr>
        <sz val="12"/>
        <color indexed="10"/>
        <rFont val="標楷體"/>
        <family val="4"/>
        <charset val="136"/>
      </rPr>
      <t>崩塌量體</t>
    </r>
    <r>
      <rPr>
        <sz val="12"/>
        <color indexed="10"/>
        <rFont val="Times New Roman"/>
        <family val="1"/>
      </rPr>
      <t>(</t>
    </r>
    <r>
      <rPr>
        <sz val="12"/>
        <color indexed="10"/>
        <rFont val="標楷體"/>
        <family val="4"/>
        <charset val="136"/>
      </rPr>
      <t>立方</t>
    </r>
    <r>
      <rPr>
        <sz val="12"/>
        <color indexed="10"/>
        <rFont val="Times New Roman"/>
        <family val="1"/>
      </rPr>
      <t>)</t>
    </r>
    <phoneticPr fontId="5" type="noConversion"/>
  </si>
  <si>
    <r>
      <rPr>
        <sz val="12"/>
        <color indexed="10"/>
        <rFont val="標楷體"/>
        <family val="4"/>
        <charset val="136"/>
      </rPr>
      <t>堆積土方量</t>
    </r>
    <r>
      <rPr>
        <sz val="12"/>
        <color indexed="10"/>
        <rFont val="Times New Roman"/>
        <family val="1"/>
      </rPr>
      <t>(</t>
    </r>
    <r>
      <rPr>
        <sz val="12"/>
        <color indexed="10"/>
        <rFont val="標楷體"/>
        <family val="4"/>
        <charset val="136"/>
      </rPr>
      <t>立方</t>
    </r>
    <r>
      <rPr>
        <sz val="12"/>
        <color indexed="10"/>
        <rFont val="Times New Roman"/>
        <family val="1"/>
      </rPr>
      <t>)</t>
    </r>
    <phoneticPr fontId="5" type="noConversion"/>
  </si>
  <si>
    <r>
      <t>1</t>
    </r>
    <r>
      <rPr>
        <sz val="12"/>
        <color theme="1"/>
        <rFont val="新細明體"/>
        <family val="2"/>
        <charset val="136"/>
        <scheme val="minor"/>
      </rPr>
      <t>小時累積雨量</t>
    </r>
    <phoneticPr fontId="5" type="noConversion"/>
  </si>
  <si>
    <r>
      <t>3</t>
    </r>
    <r>
      <rPr>
        <sz val="12"/>
        <rFont val="細明體"/>
        <family val="3"/>
        <charset val="136"/>
      </rPr>
      <t>小時累積雨量</t>
    </r>
    <phoneticPr fontId="5" type="noConversion"/>
  </si>
  <si>
    <r>
      <rPr>
        <sz val="12"/>
        <rFont val="標楷體"/>
        <family val="4"/>
        <charset val="136"/>
      </rPr>
      <t>土石流</t>
    </r>
    <phoneticPr fontId="5" type="noConversion"/>
  </si>
  <si>
    <r>
      <rPr>
        <sz val="12"/>
        <rFont val="標楷體"/>
        <family val="4"/>
        <charset val="136"/>
      </rPr>
      <t>新竹縣</t>
    </r>
    <phoneticPr fontId="5" type="noConversion"/>
  </si>
  <si>
    <r>
      <rPr>
        <sz val="12"/>
        <rFont val="標楷體"/>
        <family val="4"/>
        <charset val="136"/>
      </rPr>
      <t>尖石鄉</t>
    </r>
  </si>
  <si>
    <r>
      <rPr>
        <sz val="12"/>
        <rFont val="標楷體"/>
        <family val="4"/>
        <charset val="136"/>
      </rPr>
      <t>嘉樂村</t>
    </r>
  </si>
  <si>
    <r>
      <rPr>
        <sz val="12"/>
        <rFont val="標楷體"/>
        <family val="4"/>
        <charset val="136"/>
      </rPr>
      <t>竹縣</t>
    </r>
    <r>
      <rPr>
        <sz val="12"/>
        <rFont val="Times New Roman"/>
        <family val="1"/>
      </rPr>
      <t>DF054</t>
    </r>
  </si>
  <si>
    <r>
      <t>0910</t>
    </r>
    <r>
      <rPr>
        <sz val="12"/>
        <rFont val="標楷體"/>
        <family val="4"/>
        <charset val="136"/>
      </rPr>
      <t>水災暨海馬颱風</t>
    </r>
  </si>
  <si>
    <t>2004/09/11</t>
    <phoneticPr fontId="5" type="noConversion"/>
  </si>
  <si>
    <r>
      <rPr>
        <sz val="12"/>
        <rFont val="標楷體"/>
        <family val="4"/>
        <charset val="136"/>
      </rPr>
      <t>無明確座標登錄以溪流溢流點座標代表</t>
    </r>
    <phoneticPr fontId="5" type="noConversion"/>
  </si>
  <si>
    <r>
      <rPr>
        <sz val="12"/>
        <rFont val="標楷體"/>
        <family val="4"/>
        <charset val="136"/>
      </rPr>
      <t>新竹縣</t>
    </r>
  </si>
  <si>
    <r>
      <rPr>
        <sz val="12"/>
        <rFont val="標楷體"/>
        <family val="4"/>
        <charset val="136"/>
      </rPr>
      <t>五峰鄉</t>
    </r>
    <phoneticPr fontId="5" type="noConversion"/>
  </si>
  <si>
    <r>
      <rPr>
        <sz val="12"/>
        <rFont val="標楷體"/>
        <family val="4"/>
        <charset val="136"/>
      </rPr>
      <t>桃山村</t>
    </r>
  </si>
  <si>
    <r>
      <rPr>
        <sz val="12"/>
        <rFont val="標楷體"/>
        <family val="4"/>
        <charset val="136"/>
      </rPr>
      <t>艾利颱風</t>
    </r>
  </si>
  <si>
    <t>2004/08/25</t>
    <phoneticPr fontId="5" type="noConversion"/>
  </si>
  <si>
    <r>
      <rPr>
        <sz val="12"/>
        <rFont val="標楷體"/>
        <family val="4"/>
        <charset val="136"/>
      </rPr>
      <t>民都有部落後方野溪</t>
    </r>
    <phoneticPr fontId="5" type="noConversion"/>
  </si>
  <si>
    <r>
      <rPr>
        <sz val="12"/>
        <rFont val="標楷體"/>
        <family val="4"/>
        <charset val="136"/>
      </rPr>
      <t>竹縣</t>
    </r>
    <r>
      <rPr>
        <sz val="12"/>
        <rFont val="Times New Roman"/>
        <family val="1"/>
      </rPr>
      <t>DF043</t>
    </r>
  </si>
  <si>
    <r>
      <rPr>
        <sz val="12"/>
        <rFont val="標楷體"/>
        <family val="4"/>
        <charset val="136"/>
      </rPr>
      <t>崩塌</t>
    </r>
    <phoneticPr fontId="5" type="noConversion"/>
  </si>
  <si>
    <r>
      <rPr>
        <sz val="12"/>
        <rFont val="標楷體"/>
        <family val="4"/>
        <charset val="136"/>
      </rPr>
      <t>竹縣</t>
    </r>
    <r>
      <rPr>
        <sz val="12"/>
        <rFont val="Times New Roman"/>
        <family val="1"/>
      </rPr>
      <t>DF045</t>
    </r>
  </si>
  <si>
    <r>
      <rPr>
        <sz val="12"/>
        <rFont val="標楷體"/>
        <family val="4"/>
        <charset val="136"/>
      </rPr>
      <t>臺中市</t>
    </r>
  </si>
  <si>
    <r>
      <rPr>
        <sz val="12"/>
        <rFont val="標楷體"/>
        <family val="4"/>
        <charset val="136"/>
      </rPr>
      <t>和平區</t>
    </r>
    <phoneticPr fontId="5" type="noConversion"/>
  </si>
  <si>
    <r>
      <rPr>
        <sz val="12"/>
        <rFont val="標楷體"/>
        <family val="4"/>
        <charset val="136"/>
      </rPr>
      <t>博愛里</t>
    </r>
    <phoneticPr fontId="5" type="noConversion"/>
  </si>
  <si>
    <r>
      <rPr>
        <sz val="12"/>
        <rFont val="標楷體"/>
        <family val="4"/>
        <charset val="136"/>
      </rPr>
      <t>中市</t>
    </r>
    <r>
      <rPr>
        <sz val="12"/>
        <rFont val="Times New Roman"/>
        <family val="1"/>
      </rPr>
      <t>DF028</t>
    </r>
    <phoneticPr fontId="5" type="noConversion"/>
  </si>
  <si>
    <r>
      <rPr>
        <sz val="12"/>
        <rFont val="標楷體"/>
        <family val="4"/>
        <charset val="136"/>
      </rPr>
      <t>敏督利暨七二水災</t>
    </r>
  </si>
  <si>
    <t>2004/07/02</t>
    <phoneticPr fontId="5" type="noConversion"/>
  </si>
  <si>
    <r>
      <rPr>
        <sz val="12"/>
        <rFont val="標楷體"/>
        <family val="4"/>
        <charset val="136"/>
      </rPr>
      <t>中市</t>
    </r>
    <r>
      <rPr>
        <sz val="12"/>
        <rFont val="Times New Roman"/>
        <family val="1"/>
      </rPr>
      <t>DF027</t>
    </r>
    <phoneticPr fontId="5" type="noConversion"/>
  </si>
  <si>
    <r>
      <rPr>
        <sz val="12"/>
        <rFont val="標楷體"/>
        <family val="4"/>
        <charset val="136"/>
      </rPr>
      <t>達觀里</t>
    </r>
    <phoneticPr fontId="5" type="noConversion"/>
  </si>
  <si>
    <r>
      <rPr>
        <sz val="12"/>
        <rFont val="標楷體"/>
        <family val="4"/>
        <charset val="136"/>
      </rPr>
      <t>中市</t>
    </r>
    <r>
      <rPr>
        <sz val="12"/>
        <rFont val="Times New Roman"/>
        <family val="1"/>
      </rPr>
      <t>DF008</t>
    </r>
    <phoneticPr fontId="5" type="noConversion"/>
  </si>
  <si>
    <r>
      <rPr>
        <sz val="12"/>
        <rFont val="標楷體"/>
        <family val="4"/>
        <charset val="136"/>
      </rPr>
      <t>東勢區</t>
    </r>
    <phoneticPr fontId="5" type="noConversion"/>
  </si>
  <si>
    <r>
      <rPr>
        <sz val="12"/>
        <rFont val="標楷體"/>
        <family val="4"/>
        <charset val="136"/>
      </rPr>
      <t>慶福里</t>
    </r>
    <phoneticPr fontId="5" type="noConversion"/>
  </si>
  <si>
    <r>
      <rPr>
        <sz val="12"/>
        <rFont val="標楷體"/>
        <family val="4"/>
        <charset val="136"/>
      </rPr>
      <t>中市</t>
    </r>
    <r>
      <rPr>
        <sz val="12"/>
        <rFont val="Times New Roman"/>
        <family val="1"/>
      </rPr>
      <t>DF056</t>
    </r>
    <phoneticPr fontId="5" type="noConversion"/>
  </si>
  <si>
    <t>2004/07/03</t>
    <phoneticPr fontId="5" type="noConversion"/>
  </si>
  <si>
    <r>
      <rPr>
        <sz val="12"/>
        <rFont val="標楷體"/>
        <family val="4"/>
        <charset val="136"/>
      </rPr>
      <t>南投縣</t>
    </r>
    <phoneticPr fontId="5" type="noConversion"/>
  </si>
  <si>
    <r>
      <rPr>
        <sz val="12"/>
        <rFont val="標楷體"/>
        <family val="4"/>
        <charset val="136"/>
      </rPr>
      <t>埔里鎮</t>
    </r>
    <phoneticPr fontId="5" type="noConversion"/>
  </si>
  <si>
    <r>
      <rPr>
        <sz val="12"/>
        <rFont val="標楷體"/>
        <family val="4"/>
        <charset val="136"/>
      </rPr>
      <t>南村里</t>
    </r>
    <phoneticPr fontId="5" type="noConversion"/>
  </si>
  <si>
    <r>
      <rPr>
        <sz val="12"/>
        <rFont val="標楷體"/>
        <family val="4"/>
        <charset val="136"/>
      </rPr>
      <t>投縣</t>
    </r>
    <r>
      <rPr>
        <sz val="12"/>
        <rFont val="Times New Roman"/>
        <family val="1"/>
      </rPr>
      <t>DF035</t>
    </r>
  </si>
  <si>
    <r>
      <rPr>
        <sz val="12"/>
        <rFont val="標楷體"/>
        <family val="4"/>
        <charset val="136"/>
      </rPr>
      <t>仁愛鄉</t>
    </r>
    <phoneticPr fontId="5" type="noConversion"/>
  </si>
  <si>
    <r>
      <rPr>
        <sz val="12"/>
        <rFont val="標楷體"/>
        <family val="4"/>
        <charset val="136"/>
      </rPr>
      <t>合作村</t>
    </r>
    <phoneticPr fontId="5" type="noConversion"/>
  </si>
  <si>
    <r>
      <rPr>
        <sz val="12"/>
        <rFont val="標楷體"/>
        <family val="4"/>
        <charset val="136"/>
      </rPr>
      <t>投</t>
    </r>
    <r>
      <rPr>
        <sz val="12"/>
        <rFont val="Times New Roman"/>
        <family val="1"/>
      </rPr>
      <t>85</t>
    </r>
    <r>
      <rPr>
        <sz val="12"/>
        <rFont val="標楷體"/>
        <family val="4"/>
        <charset val="136"/>
      </rPr>
      <t>線旁新增土石流野溪</t>
    </r>
  </si>
  <si>
    <r>
      <rPr>
        <sz val="12"/>
        <rFont val="標楷體"/>
        <family val="4"/>
        <charset val="136"/>
      </rPr>
      <t>北埔鄉</t>
    </r>
  </si>
  <si>
    <r>
      <rPr>
        <sz val="12"/>
        <rFont val="標楷體"/>
        <family val="4"/>
        <charset val="136"/>
      </rPr>
      <t>南坑村</t>
    </r>
  </si>
  <si>
    <r>
      <rPr>
        <sz val="12"/>
        <rFont val="標楷體"/>
        <family val="4"/>
        <charset val="136"/>
      </rPr>
      <t>竹縣</t>
    </r>
    <r>
      <rPr>
        <sz val="12"/>
        <rFont val="Times New Roman"/>
        <family val="1"/>
      </rPr>
      <t>DF031</t>
    </r>
  </si>
  <si>
    <r>
      <t>0512</t>
    </r>
    <r>
      <rPr>
        <sz val="12"/>
        <rFont val="標楷體"/>
        <family val="4"/>
        <charset val="136"/>
      </rPr>
      <t>豪雨</t>
    </r>
  </si>
  <si>
    <r>
      <rPr>
        <sz val="12"/>
        <rFont val="標楷體"/>
        <family val="4"/>
        <charset val="136"/>
      </rPr>
      <t>嘉義縣</t>
    </r>
  </si>
  <si>
    <r>
      <rPr>
        <sz val="12"/>
        <rFont val="標楷體"/>
        <family val="4"/>
        <charset val="136"/>
      </rPr>
      <t>中埔鄉</t>
    </r>
    <phoneticPr fontId="5" type="noConversion"/>
  </si>
  <si>
    <r>
      <rPr>
        <sz val="12"/>
        <rFont val="標楷體"/>
        <family val="4"/>
        <charset val="136"/>
      </rPr>
      <t>石硦村</t>
    </r>
  </si>
  <si>
    <r>
      <rPr>
        <sz val="12"/>
        <rFont val="標楷體"/>
        <family val="4"/>
        <charset val="136"/>
      </rPr>
      <t>嘉縣</t>
    </r>
    <r>
      <rPr>
        <sz val="12"/>
        <rFont val="Times New Roman"/>
        <family val="1"/>
      </rPr>
      <t>DF036</t>
    </r>
  </si>
  <si>
    <r>
      <t>0612</t>
    </r>
    <r>
      <rPr>
        <sz val="12"/>
        <rFont val="標楷體"/>
        <family val="4"/>
        <charset val="136"/>
      </rPr>
      <t>豪雨</t>
    </r>
  </si>
  <si>
    <r>
      <rPr>
        <sz val="12"/>
        <rFont val="標楷體"/>
        <family val="4"/>
        <charset val="136"/>
      </rPr>
      <t>南投縣</t>
    </r>
  </si>
  <si>
    <r>
      <rPr>
        <sz val="12"/>
        <rFont val="標楷體"/>
        <family val="4"/>
        <charset val="136"/>
      </rPr>
      <t>仁愛鄉</t>
    </r>
  </si>
  <si>
    <r>
      <rPr>
        <sz val="12"/>
        <rFont val="標楷體"/>
        <family val="4"/>
        <charset val="136"/>
      </rPr>
      <t>春陽村</t>
    </r>
  </si>
  <si>
    <r>
      <rPr>
        <sz val="12"/>
        <rFont val="標楷體"/>
        <family val="4"/>
        <charset val="136"/>
      </rPr>
      <t>投縣</t>
    </r>
    <r>
      <rPr>
        <sz val="12"/>
        <rFont val="Times New Roman"/>
        <family val="1"/>
      </rPr>
      <t>DF030</t>
    </r>
  </si>
  <si>
    <r>
      <rPr>
        <sz val="12"/>
        <rFont val="標楷體"/>
        <family val="4"/>
        <charset val="136"/>
      </rPr>
      <t>海棠颱風</t>
    </r>
  </si>
  <si>
    <r>
      <rPr>
        <sz val="12"/>
        <rFont val="標楷體"/>
        <family val="4"/>
        <charset val="136"/>
      </rPr>
      <t>屏東縣</t>
    </r>
  </si>
  <si>
    <r>
      <rPr>
        <sz val="12"/>
        <rFont val="標楷體"/>
        <family val="4"/>
        <charset val="136"/>
      </rPr>
      <t>滿洲鄉</t>
    </r>
  </si>
  <si>
    <r>
      <rPr>
        <sz val="12"/>
        <rFont val="標楷體"/>
        <family val="4"/>
        <charset val="136"/>
      </rPr>
      <t>港口村</t>
    </r>
  </si>
  <si>
    <r>
      <rPr>
        <sz val="12"/>
        <rFont val="標楷體"/>
        <family val="4"/>
        <charset val="136"/>
      </rPr>
      <t>屏縣</t>
    </r>
    <r>
      <rPr>
        <sz val="12"/>
        <rFont val="Times New Roman"/>
        <family val="1"/>
      </rPr>
      <t>DF064</t>
    </r>
  </si>
  <si>
    <r>
      <rPr>
        <sz val="12"/>
        <rFont val="標楷體"/>
        <family val="4"/>
        <charset val="136"/>
      </rPr>
      <t>苗栗縣</t>
    </r>
  </si>
  <si>
    <r>
      <rPr>
        <sz val="12"/>
        <rFont val="標楷體"/>
        <family val="4"/>
        <charset val="136"/>
      </rPr>
      <t>泰安鄉</t>
    </r>
  </si>
  <si>
    <r>
      <rPr>
        <sz val="12"/>
        <rFont val="標楷體"/>
        <family val="4"/>
        <charset val="136"/>
      </rPr>
      <t>清安村</t>
    </r>
  </si>
  <si>
    <r>
      <rPr>
        <sz val="12"/>
        <rFont val="標楷體"/>
        <family val="4"/>
        <charset val="136"/>
      </rPr>
      <t>苗縣</t>
    </r>
    <r>
      <rPr>
        <sz val="12"/>
        <rFont val="Times New Roman"/>
        <family val="1"/>
      </rPr>
      <t>DF067</t>
    </r>
  </si>
  <si>
    <r>
      <rPr>
        <sz val="12"/>
        <rFont val="標楷體"/>
        <family val="4"/>
        <charset val="136"/>
      </rPr>
      <t>錦水村</t>
    </r>
  </si>
  <si>
    <r>
      <rPr>
        <sz val="12"/>
        <rFont val="標楷體"/>
        <family val="4"/>
        <charset val="136"/>
      </rPr>
      <t>苗縣</t>
    </r>
    <r>
      <rPr>
        <sz val="12"/>
        <rFont val="Times New Roman"/>
        <family val="1"/>
      </rPr>
      <t>DF061</t>
    </r>
  </si>
  <si>
    <r>
      <rPr>
        <sz val="12"/>
        <rFont val="標楷體"/>
        <family val="4"/>
        <charset val="136"/>
      </rPr>
      <t>八卦村</t>
    </r>
  </si>
  <si>
    <r>
      <rPr>
        <sz val="12"/>
        <rFont val="標楷體"/>
        <family val="4"/>
        <charset val="136"/>
      </rPr>
      <t>苗縣</t>
    </r>
    <r>
      <rPr>
        <sz val="12"/>
        <rFont val="Times New Roman"/>
        <family val="1"/>
      </rPr>
      <t>DF059</t>
    </r>
  </si>
  <si>
    <r>
      <rPr>
        <sz val="12"/>
        <rFont val="標楷體"/>
        <family val="4"/>
        <charset val="136"/>
      </rPr>
      <t>高雄市</t>
    </r>
  </si>
  <si>
    <r>
      <rPr>
        <sz val="12"/>
        <rFont val="標楷體"/>
        <family val="4"/>
        <charset val="136"/>
      </rPr>
      <t>六龜區</t>
    </r>
  </si>
  <si>
    <r>
      <rPr>
        <sz val="12"/>
        <rFont val="標楷體"/>
        <family val="4"/>
        <charset val="136"/>
      </rPr>
      <t>大津里</t>
    </r>
  </si>
  <si>
    <r>
      <rPr>
        <sz val="12"/>
        <rFont val="標楷體"/>
        <family val="4"/>
        <charset val="136"/>
      </rPr>
      <t>高市</t>
    </r>
    <r>
      <rPr>
        <sz val="12"/>
        <rFont val="Times New Roman"/>
        <family val="1"/>
      </rPr>
      <t>DF050</t>
    </r>
    <phoneticPr fontId="5" type="noConversion"/>
  </si>
  <si>
    <r>
      <rPr>
        <sz val="12"/>
        <rFont val="標楷體"/>
        <family val="4"/>
        <charset val="136"/>
      </rPr>
      <t>中興里</t>
    </r>
  </si>
  <si>
    <r>
      <rPr>
        <sz val="12"/>
        <rFont val="標楷體"/>
        <family val="4"/>
        <charset val="136"/>
      </rPr>
      <t>高市</t>
    </r>
    <r>
      <rPr>
        <sz val="12"/>
        <rFont val="Times New Roman"/>
        <family val="1"/>
      </rPr>
      <t>DF051</t>
    </r>
    <phoneticPr fontId="5" type="noConversion"/>
  </si>
  <si>
    <r>
      <rPr>
        <sz val="12"/>
        <rFont val="標楷體"/>
        <family val="4"/>
        <charset val="136"/>
      </rPr>
      <t>新發里</t>
    </r>
  </si>
  <si>
    <r>
      <rPr>
        <sz val="12"/>
        <rFont val="標楷體"/>
        <family val="4"/>
        <charset val="136"/>
      </rPr>
      <t>高市</t>
    </r>
    <r>
      <rPr>
        <sz val="12"/>
        <rFont val="Times New Roman"/>
        <family val="1"/>
      </rPr>
      <t>DF055</t>
    </r>
    <phoneticPr fontId="5" type="noConversion"/>
  </si>
  <si>
    <r>
      <rPr>
        <sz val="12"/>
        <rFont val="標楷體"/>
        <family val="4"/>
        <charset val="136"/>
      </rPr>
      <t>玉峰村</t>
    </r>
  </si>
  <si>
    <r>
      <rPr>
        <sz val="12"/>
        <rFont val="標楷體"/>
        <family val="4"/>
        <charset val="136"/>
      </rPr>
      <t>竹縣</t>
    </r>
    <r>
      <rPr>
        <sz val="12"/>
        <rFont val="Times New Roman"/>
        <family val="1"/>
      </rPr>
      <t>DF071</t>
    </r>
  </si>
  <si>
    <r>
      <rPr>
        <sz val="12"/>
        <rFont val="標楷體"/>
        <family val="4"/>
        <charset val="136"/>
      </rPr>
      <t>梅花村</t>
    </r>
  </si>
  <si>
    <r>
      <rPr>
        <sz val="12"/>
        <rFont val="標楷體"/>
        <family val="4"/>
        <charset val="136"/>
      </rPr>
      <t>竹縣</t>
    </r>
    <r>
      <rPr>
        <sz val="12"/>
        <rFont val="Times New Roman"/>
        <family val="1"/>
      </rPr>
      <t>DF068</t>
    </r>
  </si>
  <si>
    <r>
      <rPr>
        <sz val="12"/>
        <rFont val="標楷體"/>
        <family val="4"/>
        <charset val="136"/>
      </rPr>
      <t>新樂村</t>
    </r>
  </si>
  <si>
    <r>
      <rPr>
        <sz val="12"/>
        <rFont val="標楷體"/>
        <family val="4"/>
        <charset val="136"/>
      </rPr>
      <t>竹縣</t>
    </r>
    <r>
      <rPr>
        <sz val="12"/>
        <rFont val="Times New Roman"/>
        <family val="1"/>
      </rPr>
      <t>DF051</t>
    </r>
  </si>
  <si>
    <r>
      <rPr>
        <sz val="12"/>
        <rFont val="標楷體"/>
        <family val="4"/>
        <charset val="136"/>
      </rPr>
      <t>和平區</t>
    </r>
  </si>
  <si>
    <r>
      <rPr>
        <sz val="12"/>
        <rFont val="標楷體"/>
        <family val="4"/>
        <charset val="136"/>
      </rPr>
      <t>博愛里</t>
    </r>
  </si>
  <si>
    <r>
      <rPr>
        <sz val="12"/>
        <rFont val="標楷體"/>
        <family val="4"/>
        <charset val="136"/>
      </rPr>
      <t>馬莎颱風</t>
    </r>
  </si>
  <si>
    <r>
      <rPr>
        <sz val="12"/>
        <rFont val="標楷體"/>
        <family val="4"/>
        <charset val="136"/>
      </rPr>
      <t>水里鄉</t>
    </r>
  </si>
  <si>
    <r>
      <rPr>
        <sz val="12"/>
        <rFont val="標楷體"/>
        <family val="4"/>
        <charset val="136"/>
      </rPr>
      <t>上安村</t>
    </r>
  </si>
  <si>
    <r>
      <rPr>
        <sz val="12"/>
        <rFont val="標楷體"/>
        <family val="4"/>
        <charset val="136"/>
      </rPr>
      <t>投縣</t>
    </r>
    <r>
      <rPr>
        <sz val="12"/>
        <rFont val="Times New Roman"/>
        <family val="1"/>
      </rPr>
      <t>DF165</t>
    </r>
  </si>
  <si>
    <r>
      <rPr>
        <sz val="12"/>
        <rFont val="標楷體"/>
        <family val="4"/>
        <charset val="136"/>
      </rPr>
      <t>竹崎鄉</t>
    </r>
  </si>
  <si>
    <r>
      <rPr>
        <sz val="12"/>
        <rFont val="標楷體"/>
        <family val="4"/>
        <charset val="136"/>
      </rPr>
      <t>復金村</t>
    </r>
  </si>
  <si>
    <r>
      <rPr>
        <sz val="12"/>
        <rFont val="標楷體"/>
        <family val="4"/>
        <charset val="136"/>
      </rPr>
      <t>嘉縣</t>
    </r>
    <r>
      <rPr>
        <sz val="12"/>
        <rFont val="Times New Roman"/>
        <family val="1"/>
      </rPr>
      <t>DF013</t>
    </r>
  </si>
  <si>
    <r>
      <rPr>
        <sz val="12"/>
        <rFont val="標楷體"/>
        <family val="4"/>
        <charset val="136"/>
      </rPr>
      <t>花蓮縣</t>
    </r>
  </si>
  <si>
    <r>
      <rPr>
        <sz val="12"/>
        <rFont val="標楷體"/>
        <family val="4"/>
        <charset val="136"/>
      </rPr>
      <t>秀林鄉</t>
    </r>
  </si>
  <si>
    <r>
      <rPr>
        <sz val="12"/>
        <rFont val="標楷體"/>
        <family val="4"/>
        <charset val="136"/>
      </rPr>
      <t>富世村</t>
    </r>
  </si>
  <si>
    <r>
      <rPr>
        <sz val="12"/>
        <rFont val="標楷體"/>
        <family val="4"/>
        <charset val="136"/>
      </rPr>
      <t>花縣</t>
    </r>
    <r>
      <rPr>
        <sz val="12"/>
        <rFont val="Times New Roman"/>
        <family val="1"/>
      </rPr>
      <t>DF002</t>
    </r>
  </si>
  <si>
    <r>
      <rPr>
        <sz val="12"/>
        <rFont val="標楷體"/>
        <family val="4"/>
        <charset val="136"/>
      </rPr>
      <t>龍王颱風</t>
    </r>
  </si>
  <si>
    <r>
      <rPr>
        <sz val="12"/>
        <rFont val="標楷體"/>
        <family val="4"/>
        <charset val="136"/>
      </rPr>
      <t>安山三號橋</t>
    </r>
    <phoneticPr fontId="5" type="noConversion"/>
  </si>
  <si>
    <r>
      <rPr>
        <sz val="12"/>
        <rFont val="標楷體"/>
        <family val="4"/>
        <charset val="136"/>
      </rPr>
      <t>水里鄉</t>
    </r>
    <phoneticPr fontId="5" type="noConversion"/>
  </si>
  <si>
    <r>
      <rPr>
        <sz val="12"/>
        <rFont val="標楷體"/>
        <family val="4"/>
        <charset val="136"/>
      </rPr>
      <t>上安村</t>
    </r>
    <phoneticPr fontId="5" type="noConversion"/>
  </si>
  <si>
    <r>
      <t>0609</t>
    </r>
    <r>
      <rPr>
        <sz val="12"/>
        <rFont val="標楷體"/>
        <family val="4"/>
        <charset val="136"/>
      </rPr>
      <t>豪雨</t>
    </r>
    <phoneticPr fontId="5" type="noConversion"/>
  </si>
  <si>
    <r>
      <t>1.</t>
    </r>
    <r>
      <rPr>
        <sz val="12"/>
        <rFont val="標楷體"/>
        <family val="4"/>
        <charset val="136"/>
      </rPr>
      <t>安山三號橋旁道路遭淤埋</t>
    </r>
    <r>
      <rPr>
        <sz val="12"/>
        <rFont val="Times New Roman"/>
        <family val="1"/>
      </rPr>
      <t>80</t>
    </r>
    <r>
      <rPr>
        <sz val="12"/>
        <rFont val="標楷體"/>
        <family val="4"/>
        <charset val="136"/>
      </rPr>
      <t>公尺。</t>
    </r>
    <r>
      <rPr>
        <sz val="12"/>
        <rFont val="Times New Roman"/>
        <family val="1"/>
      </rPr>
      <t>2.</t>
    </r>
    <r>
      <rPr>
        <sz val="12"/>
        <rFont val="標楷體"/>
        <family val="4"/>
        <charset val="136"/>
      </rPr>
      <t>右岸支流土石溢流河道，淤埋三廍巷</t>
    </r>
    <r>
      <rPr>
        <sz val="12"/>
        <rFont val="Times New Roman"/>
        <family val="1"/>
      </rPr>
      <t>20</t>
    </r>
    <r>
      <rPr>
        <sz val="12"/>
        <rFont val="標楷體"/>
        <family val="4"/>
        <charset val="136"/>
      </rPr>
      <t>號前庭院及左側道路。</t>
    </r>
    <r>
      <rPr>
        <sz val="12"/>
        <rFont val="Times New Roman"/>
        <family val="1"/>
      </rPr>
      <t>3.</t>
    </r>
    <r>
      <rPr>
        <sz val="12"/>
        <rFont val="標楷體"/>
        <family val="4"/>
        <charset val="136"/>
      </rPr>
      <t>支流匯流口下游河道土石堆積堵塞。</t>
    </r>
    <r>
      <rPr>
        <sz val="12"/>
        <rFont val="Times New Roman"/>
        <family val="1"/>
      </rPr>
      <t>4.</t>
    </r>
    <r>
      <rPr>
        <sz val="12"/>
        <rFont val="標楷體"/>
        <family val="4"/>
        <charset val="136"/>
      </rPr>
      <t>安山三號橋孔遭土石堵塞。</t>
    </r>
    <r>
      <rPr>
        <sz val="12"/>
        <rFont val="Times New Roman"/>
        <family val="1"/>
      </rPr>
      <t>5.</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6.</t>
    </r>
    <r>
      <rPr>
        <sz val="12"/>
        <rFont val="標楷體"/>
        <family val="4"/>
        <charset val="136"/>
      </rPr>
      <t>道路毀損：約</t>
    </r>
    <r>
      <rPr>
        <sz val="12"/>
        <rFont val="Times New Roman"/>
        <family val="1"/>
      </rPr>
      <t>80</t>
    </r>
    <r>
      <rPr>
        <sz val="12"/>
        <rFont val="標楷體"/>
        <family val="4"/>
        <charset val="136"/>
      </rPr>
      <t>公尺。</t>
    </r>
    <phoneticPr fontId="5" type="noConversion"/>
  </si>
  <si>
    <t>C1I160</t>
    <phoneticPr fontId="5" type="noConversion"/>
  </si>
  <si>
    <r>
      <rPr>
        <sz val="12"/>
        <rFont val="標楷體"/>
        <family val="4"/>
        <charset val="136"/>
      </rPr>
      <t>龍神橋</t>
    </r>
  </si>
  <si>
    <r>
      <rPr>
        <sz val="12"/>
        <rFont val="標楷體"/>
        <family val="4"/>
        <charset val="136"/>
      </rPr>
      <t>大津靈修營地對面野溪</t>
    </r>
    <phoneticPr fontId="5" type="noConversion"/>
  </si>
  <si>
    <r>
      <rPr>
        <sz val="12"/>
        <rFont val="標楷體"/>
        <family val="4"/>
        <charset val="136"/>
      </rPr>
      <t>高市</t>
    </r>
    <r>
      <rPr>
        <sz val="12"/>
        <rFont val="Times New Roman"/>
        <family val="1"/>
      </rPr>
      <t>DF049</t>
    </r>
    <phoneticPr fontId="5" type="noConversion"/>
  </si>
  <si>
    <r>
      <t>1.</t>
    </r>
    <r>
      <rPr>
        <sz val="12"/>
        <rFont val="標楷體"/>
        <family val="4"/>
        <charset val="136"/>
      </rPr>
      <t>台</t>
    </r>
    <r>
      <rPr>
        <sz val="12"/>
        <rFont val="Times New Roman"/>
        <family val="1"/>
      </rPr>
      <t>27</t>
    </r>
    <r>
      <rPr>
        <sz val="12"/>
        <rFont val="標楷體"/>
        <family val="4"/>
        <charset val="136"/>
      </rPr>
      <t>線旁農路遭土石淤埋約</t>
    </r>
    <r>
      <rPr>
        <sz val="12"/>
        <rFont val="Times New Roman"/>
        <family val="1"/>
      </rPr>
      <t>20</t>
    </r>
    <r>
      <rPr>
        <sz val="12"/>
        <rFont val="標楷體"/>
        <family val="4"/>
        <charset val="136"/>
      </rPr>
      <t>公尺。</t>
    </r>
    <r>
      <rPr>
        <sz val="12"/>
        <rFont val="Times New Roman"/>
        <family val="1"/>
      </rPr>
      <t>2.</t>
    </r>
    <r>
      <rPr>
        <sz val="12"/>
        <rFont val="標楷體"/>
        <family val="4"/>
        <charset val="136"/>
      </rPr>
      <t>台</t>
    </r>
    <r>
      <rPr>
        <sz val="12"/>
        <rFont val="Times New Roman"/>
        <family val="1"/>
      </rPr>
      <t>27</t>
    </r>
    <r>
      <rPr>
        <sz val="12"/>
        <rFont val="標楷體"/>
        <family val="4"/>
        <charset val="136"/>
      </rPr>
      <t>線旁農路下方排水箱涵及排水溝遭土石堵塞。</t>
    </r>
    <r>
      <rPr>
        <sz val="12"/>
        <rFont val="Times New Roman"/>
        <family val="1"/>
      </rPr>
      <t>3.</t>
    </r>
    <r>
      <rPr>
        <sz val="12"/>
        <rFont val="標楷體"/>
        <family val="4"/>
        <charset val="136"/>
      </rPr>
      <t>人命損失：</t>
    </r>
    <r>
      <rPr>
        <sz val="12"/>
        <rFont val="Times New Roman"/>
        <family val="1"/>
      </rPr>
      <t>0</t>
    </r>
    <r>
      <rPr>
        <sz val="12"/>
        <rFont val="標楷體"/>
        <family val="4"/>
        <charset val="136"/>
      </rPr>
      <t>人</t>
    </r>
    <r>
      <rPr>
        <sz val="12"/>
        <rFont val="Times New Roman"/>
        <family val="1"/>
      </rPr>
      <t>4.</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5.</t>
    </r>
    <r>
      <rPr>
        <sz val="12"/>
        <rFont val="標楷體"/>
        <family val="4"/>
        <charset val="136"/>
      </rPr>
      <t>道路毀損：約</t>
    </r>
    <r>
      <rPr>
        <sz val="12"/>
        <rFont val="Times New Roman"/>
        <family val="1"/>
      </rPr>
      <t>20</t>
    </r>
    <r>
      <rPr>
        <sz val="12"/>
        <rFont val="標楷體"/>
        <family val="4"/>
        <charset val="136"/>
      </rPr>
      <t>公尺。</t>
    </r>
    <r>
      <rPr>
        <sz val="12"/>
        <rFont val="Times New Roman"/>
        <family val="1"/>
      </rPr>
      <t>6.</t>
    </r>
    <r>
      <rPr>
        <sz val="12"/>
        <rFont val="標楷體"/>
        <family val="4"/>
        <charset val="136"/>
      </rPr>
      <t>崩塌面積</t>
    </r>
    <r>
      <rPr>
        <sz val="12"/>
        <rFont val="Times New Roman"/>
        <family val="1"/>
      </rPr>
      <t xml:space="preserve"> 4.5ha</t>
    </r>
    <r>
      <rPr>
        <sz val="12"/>
        <rFont val="標楷體"/>
        <family val="4"/>
        <charset val="136"/>
      </rPr>
      <t>。</t>
    </r>
    <phoneticPr fontId="5" type="noConversion"/>
  </si>
  <si>
    <r>
      <rPr>
        <sz val="12"/>
        <rFont val="標楷體"/>
        <family val="4"/>
        <charset val="136"/>
      </rPr>
      <t>大津</t>
    </r>
  </si>
  <si>
    <r>
      <rPr>
        <sz val="12"/>
        <rFont val="標楷體"/>
        <family val="4"/>
        <charset val="136"/>
      </rPr>
      <t>津鳳宮後方野溪</t>
    </r>
    <phoneticPr fontId="5" type="noConversion"/>
  </si>
  <si>
    <r>
      <rPr>
        <sz val="12"/>
        <rFont val="標楷體"/>
        <family val="4"/>
        <charset val="136"/>
      </rPr>
      <t>高市</t>
    </r>
    <r>
      <rPr>
        <sz val="12"/>
        <rFont val="Times New Roman"/>
        <family val="1"/>
      </rPr>
      <t>DF075</t>
    </r>
    <phoneticPr fontId="5" type="noConversion"/>
  </si>
  <si>
    <r>
      <t>1.</t>
    </r>
    <r>
      <rPr>
        <sz val="12"/>
        <rFont val="標楷體"/>
        <family val="4"/>
        <charset val="136"/>
      </rPr>
      <t>津鳳宮兩側</t>
    </r>
    <r>
      <rPr>
        <sz val="12"/>
        <rFont val="Times New Roman"/>
        <family val="1"/>
      </rPr>
      <t>3</t>
    </r>
    <r>
      <rPr>
        <sz val="12"/>
        <rFont val="標楷體"/>
        <family val="4"/>
        <charset val="136"/>
      </rPr>
      <t>戶民宅遭溢流河道土石泥流侵入。</t>
    </r>
    <r>
      <rPr>
        <sz val="12"/>
        <rFont val="Times New Roman"/>
        <family val="1"/>
      </rPr>
      <t>2.</t>
    </r>
    <r>
      <rPr>
        <sz val="12"/>
        <rFont val="標楷體"/>
        <family val="4"/>
        <charset val="136"/>
      </rPr>
      <t>津鳳宮後方野溪彎道處河道土石堆積堵塞。</t>
    </r>
    <r>
      <rPr>
        <sz val="12"/>
        <rFont val="Times New Roman"/>
        <family val="1"/>
      </rPr>
      <t>3.</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4.</t>
    </r>
    <r>
      <rPr>
        <sz val="12"/>
        <rFont val="標楷體"/>
        <family val="4"/>
        <charset val="136"/>
      </rPr>
      <t>道路毀損：約</t>
    </r>
    <r>
      <rPr>
        <sz val="12"/>
        <rFont val="Times New Roman"/>
        <family val="1"/>
      </rPr>
      <t>20</t>
    </r>
    <r>
      <rPr>
        <sz val="12"/>
        <rFont val="標楷體"/>
        <family val="4"/>
        <charset val="136"/>
      </rPr>
      <t>公尺。</t>
    </r>
    <phoneticPr fontId="5" type="noConversion"/>
  </si>
  <si>
    <r>
      <rPr>
        <sz val="12"/>
        <rFont val="標楷體"/>
        <family val="4"/>
        <charset val="136"/>
      </rPr>
      <t>地滑</t>
    </r>
    <phoneticPr fontId="5" type="noConversion"/>
  </si>
  <si>
    <r>
      <rPr>
        <sz val="12"/>
        <rFont val="標楷體"/>
        <family val="4"/>
        <charset val="136"/>
      </rPr>
      <t>苗</t>
    </r>
    <r>
      <rPr>
        <sz val="12"/>
        <rFont val="Times New Roman"/>
        <family val="1"/>
      </rPr>
      <t>55</t>
    </r>
    <r>
      <rPr>
        <sz val="12"/>
        <rFont val="標楷體"/>
        <family val="4"/>
        <charset val="136"/>
      </rPr>
      <t>鄉道遭土體掩埋</t>
    </r>
    <phoneticPr fontId="5" type="noConversion"/>
  </si>
  <si>
    <r>
      <rPr>
        <sz val="12"/>
        <rFont val="標楷體"/>
        <family val="4"/>
        <charset val="136"/>
      </rPr>
      <t>苗栗縣</t>
    </r>
    <phoneticPr fontId="5" type="noConversion"/>
  </si>
  <si>
    <r>
      <rPr>
        <sz val="12"/>
        <rFont val="標楷體"/>
        <family val="4"/>
        <charset val="136"/>
      </rPr>
      <t>卓蘭鎮</t>
    </r>
    <phoneticPr fontId="5" type="noConversion"/>
  </si>
  <si>
    <r>
      <rPr>
        <sz val="12"/>
        <rFont val="標楷體"/>
        <family val="4"/>
        <charset val="136"/>
      </rPr>
      <t>上新里</t>
    </r>
    <phoneticPr fontId="5" type="noConversion"/>
  </si>
  <si>
    <r>
      <t>1.</t>
    </r>
    <r>
      <rPr>
        <sz val="12"/>
        <rFont val="標楷體"/>
        <family val="4"/>
        <charset val="136"/>
      </rPr>
      <t>滑動區房舍遭推擠錯動破壞。</t>
    </r>
    <r>
      <rPr>
        <sz val="12"/>
        <rFont val="Times New Roman"/>
        <family val="1"/>
      </rPr>
      <t xml:space="preserve"> 2.</t>
    </r>
    <r>
      <rPr>
        <sz val="12"/>
        <rFont val="標楷體"/>
        <family val="4"/>
        <charset val="136"/>
      </rPr>
      <t>苗</t>
    </r>
    <r>
      <rPr>
        <sz val="12"/>
        <rFont val="Times New Roman"/>
        <family val="1"/>
      </rPr>
      <t>55</t>
    </r>
    <r>
      <rPr>
        <sz val="12"/>
        <rFont val="標楷體"/>
        <family val="4"/>
        <charset val="136"/>
      </rPr>
      <t>鄉道遭土體掩埋</t>
    </r>
    <r>
      <rPr>
        <sz val="12"/>
        <rFont val="Times New Roman"/>
        <family val="1"/>
      </rPr>
      <t>80</t>
    </r>
    <r>
      <rPr>
        <sz val="12"/>
        <rFont val="標楷體"/>
        <family val="4"/>
        <charset val="136"/>
      </rPr>
      <t>公尺。</t>
    </r>
    <r>
      <rPr>
        <sz val="12"/>
        <rFont val="Times New Roman"/>
        <family val="1"/>
      </rPr>
      <t xml:space="preserve"> 3.</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t>
    </r>
    <r>
      <rPr>
        <sz val="12"/>
        <rFont val="Times New Roman"/>
        <family val="1"/>
      </rPr>
      <t>4.</t>
    </r>
    <r>
      <rPr>
        <sz val="12"/>
        <rFont val="標楷體"/>
        <family val="4"/>
        <charset val="136"/>
      </rPr>
      <t>房舍受損：</t>
    </r>
    <r>
      <rPr>
        <sz val="12"/>
        <rFont val="Times New Roman"/>
        <family val="1"/>
      </rPr>
      <t>13</t>
    </r>
    <r>
      <rPr>
        <sz val="12"/>
        <rFont val="標楷體"/>
        <family val="4"/>
        <charset val="136"/>
      </rPr>
      <t>棟。</t>
    </r>
    <r>
      <rPr>
        <sz val="12"/>
        <rFont val="Times New Roman"/>
        <family val="1"/>
      </rPr>
      <t>5.</t>
    </r>
    <r>
      <rPr>
        <sz val="12"/>
        <rFont val="標楷體"/>
        <family val="4"/>
        <charset val="136"/>
      </rPr>
      <t>農業損失：果園損失約</t>
    </r>
    <r>
      <rPr>
        <sz val="12"/>
        <rFont val="Times New Roman"/>
        <family val="1"/>
      </rPr>
      <t>2</t>
    </r>
    <r>
      <rPr>
        <sz val="12"/>
        <rFont val="標楷體"/>
        <family val="4"/>
        <charset val="136"/>
      </rPr>
      <t>公頃。</t>
    </r>
    <r>
      <rPr>
        <sz val="12"/>
        <rFont val="Times New Roman"/>
        <family val="1"/>
      </rPr>
      <t>6.</t>
    </r>
    <r>
      <rPr>
        <sz val="12"/>
        <rFont val="標楷體"/>
        <family val="4"/>
        <charset val="136"/>
      </rPr>
      <t>崩塌面積</t>
    </r>
    <r>
      <rPr>
        <sz val="12"/>
        <rFont val="Times New Roman"/>
        <family val="1"/>
      </rPr>
      <t xml:space="preserve"> 2.0ha</t>
    </r>
    <r>
      <rPr>
        <sz val="12"/>
        <rFont val="標楷體"/>
        <family val="4"/>
        <charset val="136"/>
      </rPr>
      <t>。</t>
    </r>
    <phoneticPr fontId="5" type="noConversion"/>
  </si>
  <si>
    <t>C1E510</t>
    <phoneticPr fontId="5" type="noConversion"/>
  </si>
  <si>
    <r>
      <rPr>
        <sz val="12"/>
        <rFont val="標楷體"/>
        <family val="4"/>
        <charset val="136"/>
      </rPr>
      <t>新開</t>
    </r>
  </si>
  <si>
    <r>
      <rPr>
        <sz val="12"/>
        <rFont val="標楷體"/>
        <family val="4"/>
        <charset val="136"/>
      </rPr>
      <t>翠巒支線道路中斷</t>
    </r>
    <phoneticPr fontId="5" type="noConversion"/>
  </si>
  <si>
    <r>
      <rPr>
        <sz val="12"/>
        <rFont val="標楷體"/>
        <family val="4"/>
        <charset val="136"/>
      </rPr>
      <t>翠華村</t>
    </r>
    <phoneticPr fontId="5" type="noConversion"/>
  </si>
  <si>
    <r>
      <t>1.</t>
    </r>
    <r>
      <rPr>
        <sz val="12"/>
        <rFont val="標楷體"/>
        <family val="4"/>
        <charset val="136"/>
      </rPr>
      <t>力行產業道路翠巒支線遭受崩塌沖毀。</t>
    </r>
    <r>
      <rPr>
        <sz val="12"/>
        <rFont val="Times New Roman"/>
        <family val="1"/>
      </rPr>
      <t>2.</t>
    </r>
    <r>
      <rPr>
        <sz val="12"/>
        <rFont val="標楷體"/>
        <family val="4"/>
        <charset val="136"/>
      </rPr>
      <t>民宅計有</t>
    </r>
    <r>
      <rPr>
        <sz val="12"/>
        <rFont val="Times New Roman"/>
        <family val="1"/>
      </rPr>
      <t>5</t>
    </r>
    <r>
      <rPr>
        <sz val="12"/>
        <rFont val="標楷體"/>
        <family val="4"/>
        <charset val="136"/>
      </rPr>
      <t>棟沖毀。</t>
    </r>
    <r>
      <rPr>
        <sz val="12"/>
        <rFont val="Times New Roman"/>
        <family val="1"/>
      </rPr>
      <t>3.</t>
    </r>
    <r>
      <rPr>
        <sz val="12"/>
        <rFont val="標楷體"/>
        <family val="4"/>
        <charset val="136"/>
      </rPr>
      <t>茶園林地約</t>
    </r>
    <r>
      <rPr>
        <sz val="12"/>
        <rFont val="Times New Roman"/>
        <family val="1"/>
      </rPr>
      <t>15</t>
    </r>
    <r>
      <rPr>
        <sz val="12"/>
        <rFont val="標楷體"/>
        <family val="4"/>
        <charset val="136"/>
      </rPr>
      <t>公頃土地流失。</t>
    </r>
    <r>
      <rPr>
        <sz val="12"/>
        <rFont val="Times New Roman"/>
        <family val="1"/>
      </rPr>
      <t>4.</t>
    </r>
    <r>
      <rPr>
        <sz val="12"/>
        <rFont val="標楷體"/>
        <family val="4"/>
        <charset val="136"/>
      </rPr>
      <t>電力設施電桿數十支沖毀。</t>
    </r>
    <phoneticPr fontId="5" type="noConversion"/>
  </si>
  <si>
    <t>01H210</t>
  </si>
  <si>
    <r>
      <rPr>
        <sz val="12"/>
        <rFont val="標楷體"/>
        <family val="4"/>
        <charset val="136"/>
      </rPr>
      <t>翠巒</t>
    </r>
  </si>
  <si>
    <t>—</t>
  </si>
  <si>
    <r>
      <t>47</t>
    </r>
    <r>
      <rPr>
        <sz val="12"/>
        <rFont val="標楷體"/>
        <family val="4"/>
        <charset val="136"/>
      </rPr>
      <t>號民宅前</t>
    </r>
    <phoneticPr fontId="5" type="noConversion"/>
  </si>
  <si>
    <r>
      <rPr>
        <sz val="12"/>
        <rFont val="標楷體"/>
        <family val="4"/>
        <charset val="136"/>
      </rPr>
      <t>信義鄉</t>
    </r>
    <phoneticPr fontId="5" type="noConversion"/>
  </si>
  <si>
    <r>
      <rPr>
        <sz val="12"/>
        <rFont val="標楷體"/>
        <family val="4"/>
        <charset val="136"/>
      </rPr>
      <t>人和村</t>
    </r>
    <phoneticPr fontId="5" type="noConversion"/>
  </si>
  <si>
    <r>
      <t>1.</t>
    </r>
    <r>
      <rPr>
        <sz val="12"/>
        <rFont val="標楷體"/>
        <family val="4"/>
        <charset val="136"/>
      </rPr>
      <t>二戶民宅前空地及道路龜裂。</t>
    </r>
    <r>
      <rPr>
        <sz val="12"/>
        <rFont val="Times New Roman"/>
        <family val="1"/>
      </rPr>
      <t>2.</t>
    </r>
    <r>
      <rPr>
        <sz val="12"/>
        <rFont val="標楷體"/>
        <family val="4"/>
        <charset val="136"/>
      </rPr>
      <t>民生巷道路中斷約</t>
    </r>
    <r>
      <rPr>
        <sz val="12"/>
        <rFont val="Times New Roman"/>
        <family val="1"/>
      </rPr>
      <t>100</t>
    </r>
    <r>
      <rPr>
        <sz val="12"/>
        <rFont val="標楷體"/>
        <family val="4"/>
        <charset val="136"/>
      </rPr>
      <t>公尺、道路旁擋土牆約</t>
    </r>
    <r>
      <rPr>
        <sz val="12"/>
        <rFont val="Times New Roman"/>
        <family val="1"/>
      </rPr>
      <t>100</t>
    </r>
    <r>
      <rPr>
        <sz val="12"/>
        <rFont val="標楷體"/>
        <family val="4"/>
        <charset val="136"/>
      </rPr>
      <t>公尺龜裂。</t>
    </r>
    <r>
      <rPr>
        <sz val="12"/>
        <rFont val="Times New Roman"/>
        <family val="1"/>
      </rPr>
      <t>3.</t>
    </r>
    <r>
      <rPr>
        <sz val="12"/>
        <rFont val="標楷體"/>
        <family val="4"/>
        <charset val="136"/>
      </rPr>
      <t>人命損失：</t>
    </r>
    <r>
      <rPr>
        <sz val="12"/>
        <rFont val="Times New Roman"/>
        <family val="1"/>
      </rPr>
      <t>0</t>
    </r>
    <r>
      <rPr>
        <sz val="12"/>
        <rFont val="標楷體"/>
        <family val="4"/>
        <charset val="136"/>
      </rPr>
      <t>人</t>
    </r>
    <r>
      <rPr>
        <sz val="12"/>
        <rFont val="Times New Roman"/>
        <family val="1"/>
      </rPr>
      <t>4.</t>
    </r>
    <r>
      <rPr>
        <sz val="12"/>
        <rFont val="標楷體"/>
        <family val="4"/>
        <charset val="136"/>
      </rPr>
      <t>房舍受損：</t>
    </r>
    <r>
      <rPr>
        <sz val="12"/>
        <rFont val="Times New Roman"/>
        <family val="1"/>
      </rPr>
      <t>2</t>
    </r>
    <r>
      <rPr>
        <sz val="12"/>
        <rFont val="標楷體"/>
        <family val="4"/>
        <charset val="136"/>
      </rPr>
      <t>棟。</t>
    </r>
    <r>
      <rPr>
        <sz val="12"/>
        <rFont val="Times New Roman"/>
        <family val="1"/>
      </rPr>
      <t>5.</t>
    </r>
    <r>
      <rPr>
        <sz val="12"/>
        <rFont val="標楷體"/>
        <family val="4"/>
        <charset val="136"/>
      </rPr>
      <t>道路毀損：約</t>
    </r>
    <r>
      <rPr>
        <sz val="12"/>
        <rFont val="Times New Roman"/>
        <family val="1"/>
      </rPr>
      <t>100</t>
    </r>
    <r>
      <rPr>
        <sz val="12"/>
        <rFont val="標楷體"/>
        <family val="4"/>
        <charset val="136"/>
      </rPr>
      <t>公尺。</t>
    </r>
    <phoneticPr fontId="5" type="noConversion"/>
  </si>
  <si>
    <r>
      <rPr>
        <sz val="12"/>
        <rFont val="標楷體"/>
        <family val="4"/>
        <charset val="136"/>
      </rPr>
      <t>苗栗市新英里</t>
    </r>
    <r>
      <rPr>
        <sz val="12"/>
        <rFont val="Times New Roman"/>
        <family val="1"/>
      </rPr>
      <t>(</t>
    </r>
    <r>
      <rPr>
        <sz val="12"/>
        <rFont val="標楷體"/>
        <family val="4"/>
        <charset val="136"/>
      </rPr>
      <t>台鐵台中線</t>
    </r>
    <r>
      <rPr>
        <sz val="12"/>
        <rFont val="Times New Roman"/>
        <family val="1"/>
      </rPr>
      <t>k145</t>
    </r>
    <r>
      <rPr>
        <sz val="12"/>
        <rFont val="標楷體"/>
        <family val="4"/>
        <charset val="136"/>
      </rPr>
      <t>處</t>
    </r>
    <r>
      <rPr>
        <sz val="12"/>
        <rFont val="Times New Roman"/>
        <family val="1"/>
      </rPr>
      <t>)</t>
    </r>
    <phoneticPr fontId="5" type="noConversion"/>
  </si>
  <si>
    <r>
      <rPr>
        <sz val="12"/>
        <rFont val="標楷體"/>
        <family val="4"/>
        <charset val="136"/>
      </rPr>
      <t>苗栗市</t>
    </r>
    <phoneticPr fontId="5" type="noConversion"/>
  </si>
  <si>
    <r>
      <rPr>
        <sz val="12"/>
        <rFont val="標楷體"/>
        <family val="4"/>
        <charset val="136"/>
      </rPr>
      <t>新英里</t>
    </r>
    <phoneticPr fontId="5" type="noConversion"/>
  </si>
  <si>
    <r>
      <t>1.</t>
    </r>
    <r>
      <rPr>
        <sz val="12"/>
        <rFont val="標楷體"/>
        <family val="4"/>
        <charset val="136"/>
      </rPr>
      <t>台鐵台中線</t>
    </r>
    <r>
      <rPr>
        <sz val="12"/>
        <rFont val="Times New Roman"/>
        <family val="1"/>
      </rPr>
      <t>k145</t>
    </r>
    <r>
      <rPr>
        <sz val="12"/>
        <rFont val="標楷體"/>
        <family val="4"/>
        <charset val="136"/>
      </rPr>
      <t>處上邊坡崩塌破壞。</t>
    </r>
    <r>
      <rPr>
        <sz val="12"/>
        <rFont val="Times New Roman"/>
        <family val="1"/>
      </rPr>
      <t>2.</t>
    </r>
    <r>
      <rPr>
        <sz val="12"/>
        <rFont val="標楷體"/>
        <family val="4"/>
        <charset val="136"/>
      </rPr>
      <t>鐵軌遭土石覆蓋</t>
    </r>
    <r>
      <rPr>
        <sz val="12"/>
        <rFont val="Times New Roman"/>
        <family val="1"/>
      </rPr>
      <t>50</t>
    </r>
    <r>
      <rPr>
        <sz val="12"/>
        <rFont val="標楷體"/>
        <family val="4"/>
        <charset val="136"/>
      </rPr>
      <t>公尺。</t>
    </r>
    <r>
      <rPr>
        <sz val="12"/>
        <rFont val="Times New Roman"/>
        <family val="1"/>
      </rPr>
      <t>3.</t>
    </r>
    <r>
      <rPr>
        <sz val="12"/>
        <rFont val="標楷體"/>
        <family val="4"/>
        <charset val="136"/>
      </rPr>
      <t>人命損失：輕傷</t>
    </r>
    <r>
      <rPr>
        <sz val="12"/>
        <rFont val="Times New Roman"/>
        <family val="1"/>
      </rPr>
      <t>6</t>
    </r>
    <r>
      <rPr>
        <sz val="12"/>
        <rFont val="標楷體"/>
        <family val="4"/>
        <charset val="136"/>
      </rPr>
      <t>人。</t>
    </r>
    <r>
      <rPr>
        <sz val="12"/>
        <rFont val="Times New Roman"/>
        <family val="1"/>
      </rPr>
      <t>4.</t>
    </r>
    <r>
      <rPr>
        <sz val="12"/>
        <rFont val="標楷體"/>
        <family val="4"/>
        <charset val="136"/>
      </rPr>
      <t>百餘列車誤點。</t>
    </r>
    <r>
      <rPr>
        <sz val="12"/>
        <rFont val="Times New Roman"/>
        <family val="1"/>
      </rPr>
      <t>5.</t>
    </r>
    <r>
      <rPr>
        <sz val="12"/>
        <rFont val="標楷體"/>
        <family val="4"/>
        <charset val="136"/>
      </rPr>
      <t>崩塌面積</t>
    </r>
    <r>
      <rPr>
        <sz val="12"/>
        <rFont val="Times New Roman"/>
        <family val="1"/>
      </rPr>
      <t>0.13ha</t>
    </r>
    <phoneticPr fontId="5" type="noConversion"/>
  </si>
  <si>
    <t>C1E550</t>
    <phoneticPr fontId="5" type="noConversion"/>
  </si>
  <si>
    <r>
      <rPr>
        <sz val="12"/>
        <rFont val="標楷體"/>
        <family val="4"/>
        <charset val="136"/>
      </rPr>
      <t>明德</t>
    </r>
    <phoneticPr fontId="5" type="noConversion"/>
  </si>
  <si>
    <r>
      <rPr>
        <sz val="12"/>
        <rFont val="標楷體"/>
        <family val="4"/>
        <charset val="136"/>
      </rPr>
      <t>雲</t>
    </r>
    <r>
      <rPr>
        <sz val="12"/>
        <rFont val="Times New Roman"/>
        <family val="1"/>
      </rPr>
      <t>61</t>
    </r>
    <r>
      <rPr>
        <sz val="12"/>
        <rFont val="標楷體"/>
        <family val="4"/>
        <charset val="136"/>
      </rPr>
      <t>線</t>
    </r>
    <phoneticPr fontId="5" type="noConversion"/>
  </si>
  <si>
    <r>
      <rPr>
        <sz val="12"/>
        <rFont val="標楷體"/>
        <family val="4"/>
        <charset val="136"/>
      </rPr>
      <t>雲林縣</t>
    </r>
    <phoneticPr fontId="5" type="noConversion"/>
  </si>
  <si>
    <r>
      <rPr>
        <sz val="12"/>
        <rFont val="標楷體"/>
        <family val="4"/>
        <charset val="136"/>
      </rPr>
      <t>林內鄉</t>
    </r>
    <phoneticPr fontId="5" type="noConversion"/>
  </si>
  <si>
    <r>
      <rPr>
        <sz val="12"/>
        <rFont val="標楷體"/>
        <family val="4"/>
        <charset val="136"/>
      </rPr>
      <t>坪頂村</t>
    </r>
    <phoneticPr fontId="5" type="noConversion"/>
  </si>
  <si>
    <r>
      <t>1.</t>
    </r>
    <r>
      <rPr>
        <sz val="12"/>
        <rFont val="標楷體"/>
        <family val="4"/>
        <charset val="136"/>
      </rPr>
      <t>雲</t>
    </r>
    <r>
      <rPr>
        <sz val="12"/>
        <rFont val="Times New Roman"/>
        <family val="1"/>
      </rPr>
      <t>61</t>
    </r>
    <r>
      <rPr>
        <sz val="12"/>
        <rFont val="標楷體"/>
        <family val="4"/>
        <charset val="136"/>
      </rPr>
      <t>線公路之坪頂村入口段路基邊坡土石崩塌約</t>
    </r>
    <r>
      <rPr>
        <sz val="12"/>
        <rFont val="Times New Roman"/>
        <family val="1"/>
      </rPr>
      <t>20</t>
    </r>
    <r>
      <rPr>
        <sz val="12"/>
        <rFont val="標楷體"/>
        <family val="4"/>
        <charset val="136"/>
      </rPr>
      <t>公尺。</t>
    </r>
    <r>
      <rPr>
        <sz val="12"/>
        <rFont val="Times New Roman"/>
        <family val="1"/>
      </rPr>
      <t>2.</t>
    </r>
    <r>
      <rPr>
        <sz val="12"/>
        <rFont val="標楷體"/>
        <family val="4"/>
        <charset val="136"/>
      </rPr>
      <t>人命損失：</t>
    </r>
    <r>
      <rPr>
        <sz val="12"/>
        <rFont val="Times New Roman"/>
        <family val="1"/>
      </rPr>
      <t>0</t>
    </r>
    <r>
      <rPr>
        <sz val="12"/>
        <rFont val="標楷體"/>
        <family val="4"/>
        <charset val="136"/>
      </rPr>
      <t>人。</t>
    </r>
    <r>
      <rPr>
        <sz val="12"/>
        <rFont val="Times New Roman"/>
        <family val="1"/>
      </rPr>
      <t>3.</t>
    </r>
    <r>
      <rPr>
        <sz val="12"/>
        <rFont val="標楷體"/>
        <family val="4"/>
        <charset val="136"/>
      </rPr>
      <t>倉庫受損：</t>
    </r>
    <r>
      <rPr>
        <sz val="12"/>
        <rFont val="Times New Roman"/>
        <family val="1"/>
      </rPr>
      <t>2</t>
    </r>
    <r>
      <rPr>
        <sz val="12"/>
        <rFont val="標楷體"/>
        <family val="4"/>
        <charset val="136"/>
      </rPr>
      <t>棟。</t>
    </r>
    <r>
      <rPr>
        <sz val="12"/>
        <rFont val="Times New Roman"/>
        <family val="1"/>
      </rPr>
      <t>4.</t>
    </r>
    <r>
      <rPr>
        <sz val="12"/>
        <rFont val="標楷體"/>
        <family val="4"/>
        <charset val="136"/>
      </rPr>
      <t>崩塌面積</t>
    </r>
    <r>
      <rPr>
        <sz val="12"/>
        <rFont val="Times New Roman"/>
        <family val="1"/>
      </rPr>
      <t>0.12ha</t>
    </r>
    <r>
      <rPr>
        <sz val="12"/>
        <rFont val="標楷體"/>
        <family val="4"/>
        <charset val="136"/>
      </rPr>
      <t>。</t>
    </r>
    <phoneticPr fontId="5" type="noConversion"/>
  </si>
  <si>
    <t>11H100</t>
  </si>
  <si>
    <r>
      <rPr>
        <sz val="12"/>
        <rFont val="標楷體"/>
        <family val="4"/>
        <charset val="136"/>
      </rPr>
      <t>竹山</t>
    </r>
  </si>
  <si>
    <r>
      <rPr>
        <sz val="12"/>
        <rFont val="標楷體"/>
        <family val="4"/>
        <charset val="136"/>
      </rPr>
      <t>崩塌、地滑</t>
    </r>
    <phoneticPr fontId="5" type="noConversion"/>
  </si>
  <si>
    <r>
      <rPr>
        <sz val="12"/>
        <rFont val="標楷體"/>
        <family val="4"/>
        <charset val="136"/>
      </rPr>
      <t>九號鄉道、台</t>
    </r>
    <r>
      <rPr>
        <sz val="12"/>
        <rFont val="Times New Roman"/>
        <family val="1"/>
      </rPr>
      <t>14</t>
    </r>
    <r>
      <rPr>
        <sz val="12"/>
        <rFont val="標楷體"/>
        <family val="4"/>
        <charset val="136"/>
      </rPr>
      <t>線道路</t>
    </r>
    <phoneticPr fontId="5" type="noConversion"/>
  </si>
  <si>
    <r>
      <rPr>
        <sz val="12"/>
        <rFont val="標楷體"/>
        <family val="4"/>
        <charset val="136"/>
      </rPr>
      <t>大同村</t>
    </r>
    <phoneticPr fontId="5" type="noConversion"/>
  </si>
  <si>
    <r>
      <t>1.</t>
    </r>
    <r>
      <rPr>
        <sz val="12"/>
        <rFont val="標楷體"/>
        <family val="4"/>
        <charset val="136"/>
      </rPr>
      <t>九號鄉道中斷、建物基礎掏空。</t>
    </r>
    <r>
      <rPr>
        <sz val="12"/>
        <rFont val="Times New Roman"/>
        <family val="1"/>
      </rPr>
      <t>2.</t>
    </r>
    <r>
      <rPr>
        <sz val="12"/>
        <rFont val="標楷體"/>
        <family val="4"/>
        <charset val="136"/>
      </rPr>
      <t>台</t>
    </r>
    <r>
      <rPr>
        <sz val="12"/>
        <rFont val="Times New Roman"/>
        <family val="1"/>
      </rPr>
      <t>14</t>
    </r>
    <r>
      <rPr>
        <sz val="12"/>
        <rFont val="標楷體"/>
        <family val="4"/>
        <charset val="136"/>
      </rPr>
      <t>線道路龜裂，長約</t>
    </r>
    <r>
      <rPr>
        <sz val="12"/>
        <rFont val="Times New Roman"/>
        <family val="1"/>
      </rPr>
      <t>200m</t>
    </r>
    <r>
      <rPr>
        <sz val="12"/>
        <rFont val="標楷體"/>
        <family val="4"/>
        <charset val="136"/>
      </rPr>
      <t>。</t>
    </r>
    <r>
      <rPr>
        <sz val="12"/>
        <rFont val="Times New Roman"/>
        <family val="1"/>
      </rPr>
      <t>3.</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4. </t>
    </r>
    <r>
      <rPr>
        <sz val="12"/>
        <rFont val="標楷體"/>
        <family val="4"/>
        <charset val="136"/>
      </rPr>
      <t>房舍受損：</t>
    </r>
    <r>
      <rPr>
        <sz val="12"/>
        <rFont val="Times New Roman"/>
        <family val="1"/>
      </rPr>
      <t>18</t>
    </r>
    <r>
      <rPr>
        <sz val="12"/>
        <rFont val="標楷體"/>
        <family val="4"/>
        <charset val="136"/>
      </rPr>
      <t>棟。</t>
    </r>
    <r>
      <rPr>
        <sz val="12"/>
        <rFont val="Times New Roman"/>
        <family val="1"/>
      </rPr>
      <t>5.</t>
    </r>
    <r>
      <rPr>
        <sz val="12"/>
        <rFont val="標楷體"/>
        <family val="4"/>
        <charset val="136"/>
      </rPr>
      <t>擋土牆損壞約</t>
    </r>
    <r>
      <rPr>
        <sz val="12"/>
        <rFont val="Times New Roman"/>
        <family val="1"/>
      </rPr>
      <t>130</t>
    </r>
    <r>
      <rPr>
        <sz val="12"/>
        <rFont val="標楷體"/>
        <family val="4"/>
        <charset val="136"/>
      </rPr>
      <t>公尺。</t>
    </r>
    <r>
      <rPr>
        <sz val="12"/>
        <rFont val="Times New Roman"/>
        <family val="1"/>
      </rPr>
      <t xml:space="preserve"> 6. </t>
    </r>
    <r>
      <rPr>
        <sz val="12"/>
        <rFont val="標楷體"/>
        <family val="4"/>
        <charset val="136"/>
      </rPr>
      <t>九號鄉道崩塌範圍</t>
    </r>
    <r>
      <rPr>
        <sz val="12"/>
        <rFont val="Times New Roman"/>
        <family val="1"/>
      </rPr>
      <t>2.2ha</t>
    </r>
    <r>
      <rPr>
        <sz val="12"/>
        <rFont val="標楷體"/>
        <family val="4"/>
        <charset val="136"/>
      </rPr>
      <t>。</t>
    </r>
    <phoneticPr fontId="5" type="noConversion"/>
  </si>
  <si>
    <t>01H310</t>
    <phoneticPr fontId="5" type="noConversion"/>
  </si>
  <si>
    <r>
      <rPr>
        <sz val="12"/>
        <rFont val="標楷體"/>
        <family val="4"/>
        <charset val="136"/>
      </rPr>
      <t>翠峰</t>
    </r>
  </si>
  <si>
    <r>
      <rPr>
        <sz val="12"/>
        <rFont val="標楷體"/>
        <family val="4"/>
        <charset val="136"/>
      </rPr>
      <t>地滑</t>
    </r>
  </si>
  <si>
    <r>
      <rPr>
        <sz val="12"/>
        <rFont val="標楷體"/>
        <family val="4"/>
        <charset val="136"/>
      </rPr>
      <t>東勢鎮泰興里</t>
    </r>
    <r>
      <rPr>
        <sz val="12"/>
        <rFont val="Times New Roman"/>
        <family val="1"/>
      </rPr>
      <t>(</t>
    </r>
    <r>
      <rPr>
        <sz val="12"/>
        <rFont val="標楷體"/>
        <family val="4"/>
        <charset val="136"/>
      </rPr>
      <t>石嵙巷</t>
    </r>
    <r>
      <rPr>
        <sz val="12"/>
        <rFont val="Times New Roman"/>
        <family val="1"/>
      </rPr>
      <t>)</t>
    </r>
    <phoneticPr fontId="5" type="noConversion"/>
  </si>
  <si>
    <r>
      <rPr>
        <sz val="12"/>
        <rFont val="標楷體"/>
        <family val="4"/>
        <charset val="136"/>
      </rPr>
      <t>泰興里</t>
    </r>
    <phoneticPr fontId="5" type="noConversion"/>
  </si>
  <si>
    <r>
      <t>0604</t>
    </r>
    <r>
      <rPr>
        <sz val="12"/>
        <rFont val="標楷體"/>
        <family val="4"/>
        <charset val="136"/>
      </rPr>
      <t>豪雨</t>
    </r>
    <phoneticPr fontId="5" type="noConversion"/>
  </si>
  <si>
    <r>
      <rPr>
        <sz val="12"/>
        <rFont val="標楷體"/>
        <family val="4"/>
        <charset val="136"/>
      </rPr>
      <t>掩埋一輛行經石嵙巷之小客車。上邊坡之勝玄宮部分地基懸空。石嵙巷道路損毀約</t>
    </r>
    <r>
      <rPr>
        <sz val="12"/>
        <rFont val="Times New Roman"/>
        <family val="1"/>
      </rPr>
      <t>100</t>
    </r>
    <r>
      <rPr>
        <sz val="12"/>
        <rFont val="標楷體"/>
        <family val="4"/>
        <charset val="136"/>
      </rPr>
      <t>公尺。人命損失：</t>
    </r>
    <r>
      <rPr>
        <sz val="12"/>
        <rFont val="Times New Roman"/>
        <family val="1"/>
      </rPr>
      <t>0</t>
    </r>
    <r>
      <rPr>
        <sz val="12"/>
        <rFont val="標楷體"/>
        <family val="4"/>
        <charset val="136"/>
      </rPr>
      <t>人。房舍損失：</t>
    </r>
    <r>
      <rPr>
        <sz val="12"/>
        <rFont val="Times New Roman"/>
        <family val="1"/>
      </rPr>
      <t>1</t>
    </r>
    <r>
      <rPr>
        <sz val="12"/>
        <rFont val="標楷體"/>
        <family val="4"/>
        <charset val="136"/>
      </rPr>
      <t>棟</t>
    </r>
    <r>
      <rPr>
        <sz val="12"/>
        <rFont val="Times New Roman"/>
        <family val="1"/>
      </rPr>
      <t>(</t>
    </r>
    <r>
      <rPr>
        <sz val="12"/>
        <rFont val="標楷體"/>
        <family val="4"/>
        <charset val="136"/>
      </rPr>
      <t>勝玄宮</t>
    </r>
    <r>
      <rPr>
        <sz val="12"/>
        <rFont val="Times New Roman"/>
        <family val="1"/>
      </rPr>
      <t>)</t>
    </r>
    <phoneticPr fontId="5" type="noConversion"/>
  </si>
  <si>
    <t>C1F920</t>
  </si>
  <si>
    <r>
      <rPr>
        <sz val="12"/>
        <rFont val="標楷體"/>
        <family val="4"/>
        <charset val="136"/>
      </rPr>
      <t>石岡</t>
    </r>
  </si>
  <si>
    <r>
      <rPr>
        <sz val="12"/>
        <rFont val="標楷體"/>
        <family val="4"/>
        <charset val="136"/>
      </rPr>
      <t>水里鄉車埕村</t>
    </r>
    <r>
      <rPr>
        <sz val="12"/>
        <rFont val="Times New Roman"/>
        <family val="1"/>
      </rPr>
      <t>(</t>
    </r>
    <r>
      <rPr>
        <sz val="12"/>
        <rFont val="標楷體"/>
        <family val="4"/>
        <charset val="136"/>
      </rPr>
      <t>投</t>
    </r>
    <r>
      <rPr>
        <sz val="12"/>
        <rFont val="Times New Roman"/>
        <family val="1"/>
      </rPr>
      <t>131</t>
    </r>
    <r>
      <rPr>
        <sz val="12"/>
        <rFont val="標楷體"/>
        <family val="4"/>
        <charset val="136"/>
      </rPr>
      <t>線</t>
    </r>
    <r>
      <rPr>
        <sz val="12"/>
        <rFont val="Times New Roman"/>
        <family val="1"/>
      </rPr>
      <t>29.1k</t>
    </r>
    <r>
      <rPr>
        <sz val="12"/>
        <rFont val="標楷體"/>
        <family val="4"/>
        <charset val="136"/>
      </rPr>
      <t>處</t>
    </r>
    <r>
      <rPr>
        <sz val="12"/>
        <rFont val="Times New Roman"/>
        <family val="1"/>
      </rPr>
      <t>)</t>
    </r>
    <phoneticPr fontId="5" type="noConversion"/>
  </si>
  <si>
    <r>
      <rPr>
        <sz val="12"/>
        <rFont val="標楷體"/>
        <family val="4"/>
        <charset val="136"/>
      </rPr>
      <t>車埕村</t>
    </r>
    <phoneticPr fontId="5" type="noConversion"/>
  </si>
  <si>
    <r>
      <rPr>
        <sz val="12"/>
        <rFont val="標楷體"/>
        <family val="4"/>
        <charset val="136"/>
      </rPr>
      <t>投</t>
    </r>
    <r>
      <rPr>
        <sz val="12"/>
        <rFont val="Times New Roman"/>
        <family val="1"/>
      </rPr>
      <t>131</t>
    </r>
    <r>
      <rPr>
        <sz val="12"/>
        <rFont val="標楷體"/>
        <family val="4"/>
        <charset val="136"/>
      </rPr>
      <t>縣道中斷</t>
    </r>
    <r>
      <rPr>
        <sz val="12"/>
        <rFont val="Times New Roman"/>
        <family val="1"/>
      </rPr>
      <t>60m</t>
    </r>
    <r>
      <rPr>
        <sz val="12"/>
        <rFont val="標楷體"/>
        <family val="4"/>
        <charset val="136"/>
      </rPr>
      <t>。檳榔樹坡面遭沖刷。無人傷亡及房屋受損。預力地錨式擋土牆偏移及下陷，長約</t>
    </r>
    <r>
      <rPr>
        <sz val="12"/>
        <rFont val="Times New Roman"/>
        <family val="1"/>
      </rPr>
      <t>60m</t>
    </r>
    <r>
      <rPr>
        <sz val="12"/>
        <rFont val="標楷體"/>
        <family val="4"/>
        <charset val="136"/>
      </rPr>
      <t>。</t>
    </r>
    <phoneticPr fontId="5" type="noConversion"/>
  </si>
  <si>
    <t>C1I270</t>
  </si>
  <si>
    <r>
      <rPr>
        <sz val="12"/>
        <rFont val="標楷體"/>
        <family val="4"/>
        <charset val="136"/>
      </rPr>
      <t>水里</t>
    </r>
    <phoneticPr fontId="5" type="noConversion"/>
  </si>
  <si>
    <r>
      <rPr>
        <sz val="12"/>
        <rFont val="標楷體"/>
        <family val="4"/>
        <charset val="136"/>
      </rPr>
      <t>崩塌</t>
    </r>
  </si>
  <si>
    <r>
      <rPr>
        <sz val="12"/>
        <rFont val="標楷體"/>
        <family val="4"/>
        <charset val="136"/>
      </rPr>
      <t>石碇鄉潭邊村外石崁產業道路（縣</t>
    </r>
    <r>
      <rPr>
        <sz val="12"/>
        <rFont val="Times New Roman"/>
        <family val="1"/>
      </rPr>
      <t>106</t>
    </r>
    <r>
      <rPr>
        <sz val="12"/>
        <rFont val="標楷體"/>
        <family val="4"/>
        <charset val="136"/>
      </rPr>
      <t>乙</t>
    </r>
    <r>
      <rPr>
        <sz val="12"/>
        <rFont val="Times New Roman"/>
        <family val="1"/>
      </rPr>
      <t>6.6k</t>
    </r>
    <r>
      <rPr>
        <sz val="12"/>
        <rFont val="標楷體"/>
        <family val="4"/>
        <charset val="136"/>
      </rPr>
      <t>處）</t>
    </r>
    <phoneticPr fontId="5" type="noConversion"/>
  </si>
  <si>
    <r>
      <rPr>
        <sz val="12"/>
        <rFont val="標楷體"/>
        <family val="4"/>
        <charset val="136"/>
      </rPr>
      <t>新北市</t>
    </r>
  </si>
  <si>
    <r>
      <rPr>
        <sz val="12"/>
        <rFont val="標楷體"/>
        <family val="4"/>
        <charset val="136"/>
      </rPr>
      <t>石碇區</t>
    </r>
  </si>
  <si>
    <r>
      <rPr>
        <sz val="12"/>
        <rFont val="標楷體"/>
        <family val="4"/>
        <charset val="136"/>
      </rPr>
      <t>潭邊里</t>
    </r>
  </si>
  <si>
    <r>
      <rPr>
        <sz val="12"/>
        <rFont val="標楷體"/>
        <family val="4"/>
        <charset val="136"/>
      </rPr>
      <t>道路損毀：外石崁產業道路損毀約</t>
    </r>
    <r>
      <rPr>
        <sz val="12"/>
        <rFont val="Times New Roman"/>
        <family val="1"/>
      </rPr>
      <t>50</t>
    </r>
    <r>
      <rPr>
        <sz val="12"/>
        <rFont val="標楷體"/>
        <family val="4"/>
        <charset val="136"/>
      </rPr>
      <t>公尺。人命損失：</t>
    </r>
    <r>
      <rPr>
        <sz val="12"/>
        <rFont val="Times New Roman"/>
        <family val="1"/>
      </rPr>
      <t>0</t>
    </r>
    <r>
      <rPr>
        <sz val="12"/>
        <rFont val="標楷體"/>
        <family val="4"/>
        <charset val="136"/>
      </rPr>
      <t>人。民宅建物損毀：農舍乙棟。</t>
    </r>
    <phoneticPr fontId="5" type="noConversion"/>
  </si>
  <si>
    <t>C1A640</t>
  </si>
  <si>
    <r>
      <rPr>
        <sz val="12"/>
        <rFont val="標楷體"/>
        <family val="4"/>
        <charset val="136"/>
      </rPr>
      <t>石碇</t>
    </r>
  </si>
  <si>
    <r>
      <rPr>
        <sz val="12"/>
        <rFont val="標楷體"/>
        <family val="4"/>
        <charset val="136"/>
      </rPr>
      <t>中和市華南里</t>
    </r>
    <phoneticPr fontId="5" type="noConversion"/>
  </si>
  <si>
    <r>
      <rPr>
        <sz val="12"/>
        <rFont val="標楷體"/>
        <family val="4"/>
        <charset val="136"/>
      </rPr>
      <t>中和區</t>
    </r>
  </si>
  <si>
    <r>
      <rPr>
        <sz val="12"/>
        <rFont val="標楷體"/>
        <family val="4"/>
        <charset val="136"/>
      </rPr>
      <t>華南里</t>
    </r>
    <phoneticPr fontId="5" type="noConversion"/>
  </si>
  <si>
    <r>
      <rPr>
        <sz val="12"/>
        <rFont val="標楷體"/>
        <family val="4"/>
        <charset val="136"/>
      </rPr>
      <t>磐石樓外圍擋土牆遭受崩塌影響損毀。擋土牆約</t>
    </r>
    <r>
      <rPr>
        <sz val="12"/>
        <rFont val="Times New Roman"/>
        <family val="1"/>
      </rPr>
      <t>50</t>
    </r>
    <r>
      <rPr>
        <sz val="12"/>
        <rFont val="標楷體"/>
        <family val="4"/>
        <charset val="136"/>
      </rPr>
      <t>公尺損壞。登山步道約</t>
    </r>
    <r>
      <rPr>
        <sz val="12"/>
        <rFont val="Times New Roman"/>
        <family val="1"/>
      </rPr>
      <t>15</t>
    </r>
    <r>
      <rPr>
        <sz val="12"/>
        <rFont val="標楷體"/>
        <family val="4"/>
        <charset val="136"/>
      </rPr>
      <t>公尺斷裂。觀景魚池及涼亭一座損毀。</t>
    </r>
    <phoneticPr fontId="5" type="noConversion"/>
  </si>
  <si>
    <t>C1A700</t>
  </si>
  <si>
    <r>
      <rPr>
        <sz val="12"/>
        <rFont val="標楷體"/>
        <family val="4"/>
        <charset val="136"/>
      </rPr>
      <t>南勢角</t>
    </r>
  </si>
  <si>
    <r>
      <rPr>
        <sz val="12"/>
        <rFont val="標楷體"/>
        <family val="4"/>
        <charset val="136"/>
      </rPr>
      <t>國姓鄉南港村</t>
    </r>
    <r>
      <rPr>
        <sz val="12"/>
        <rFont val="Times New Roman"/>
        <family val="1"/>
      </rPr>
      <t>(</t>
    </r>
    <r>
      <rPr>
        <sz val="12"/>
        <rFont val="標楷體"/>
        <family val="4"/>
        <charset val="136"/>
      </rPr>
      <t>龍南道路</t>
    </r>
    <r>
      <rPr>
        <sz val="12"/>
        <rFont val="Times New Roman"/>
        <family val="1"/>
      </rPr>
      <t>4k</t>
    </r>
    <r>
      <rPr>
        <sz val="12"/>
        <rFont val="標楷體"/>
        <family val="4"/>
        <charset val="136"/>
      </rPr>
      <t>處</t>
    </r>
    <r>
      <rPr>
        <sz val="12"/>
        <rFont val="Times New Roman"/>
        <family val="1"/>
      </rPr>
      <t>)</t>
    </r>
    <phoneticPr fontId="5" type="noConversion"/>
  </si>
  <si>
    <r>
      <rPr>
        <sz val="12"/>
        <rFont val="標楷體"/>
        <family val="4"/>
        <charset val="136"/>
      </rPr>
      <t>國姓鄉</t>
    </r>
    <phoneticPr fontId="5" type="noConversion"/>
  </si>
  <si>
    <r>
      <rPr>
        <sz val="12"/>
        <rFont val="標楷體"/>
        <family val="4"/>
        <charset val="136"/>
      </rPr>
      <t>南港村</t>
    </r>
    <phoneticPr fontId="5" type="noConversion"/>
  </si>
  <si>
    <r>
      <rPr>
        <sz val="12"/>
        <rFont val="標楷體"/>
        <family val="4"/>
        <charset val="136"/>
      </rPr>
      <t>龍南道路中斷</t>
    </r>
    <r>
      <rPr>
        <sz val="12"/>
        <rFont val="Times New Roman"/>
        <family val="1"/>
      </rPr>
      <t>1250m</t>
    </r>
    <r>
      <rPr>
        <sz val="12"/>
        <rFont val="標楷體"/>
        <family val="4"/>
        <charset val="136"/>
      </rPr>
      <t>。截水溝及集水井遭崩塌土石掩埋。無人傷亡集房屋受損。</t>
    </r>
    <phoneticPr fontId="5" type="noConversion"/>
  </si>
  <si>
    <t>C1I230</t>
  </si>
  <si>
    <r>
      <rPr>
        <sz val="12"/>
        <rFont val="標楷體"/>
        <family val="4"/>
        <charset val="136"/>
      </rPr>
      <t>九份二山</t>
    </r>
    <phoneticPr fontId="5" type="noConversion"/>
  </si>
  <si>
    <r>
      <rPr>
        <sz val="12"/>
        <rFont val="標楷體"/>
        <family val="4"/>
        <charset val="136"/>
      </rPr>
      <t>安樂區三民里</t>
    </r>
    <r>
      <rPr>
        <sz val="12"/>
        <rFont val="Times New Roman"/>
        <family val="1"/>
      </rPr>
      <t>(</t>
    </r>
    <r>
      <rPr>
        <sz val="12"/>
        <rFont val="標楷體"/>
        <family val="4"/>
        <charset val="136"/>
      </rPr>
      <t>麥金路</t>
    </r>
    <r>
      <rPr>
        <sz val="12"/>
        <rFont val="Times New Roman"/>
        <family val="1"/>
      </rPr>
      <t>)</t>
    </r>
    <phoneticPr fontId="5" type="noConversion"/>
  </si>
  <si>
    <r>
      <rPr>
        <sz val="12"/>
        <rFont val="標楷體"/>
        <family val="4"/>
        <charset val="136"/>
      </rPr>
      <t>基隆市</t>
    </r>
    <phoneticPr fontId="5" type="noConversion"/>
  </si>
  <si>
    <r>
      <rPr>
        <sz val="12"/>
        <rFont val="標楷體"/>
        <family val="4"/>
        <charset val="136"/>
      </rPr>
      <t>安樂區</t>
    </r>
    <phoneticPr fontId="5" type="noConversion"/>
  </si>
  <si>
    <r>
      <rPr>
        <sz val="12"/>
        <rFont val="標楷體"/>
        <family val="4"/>
        <charset val="136"/>
      </rPr>
      <t>三民里</t>
    </r>
    <phoneticPr fontId="5" type="noConversion"/>
  </si>
  <si>
    <r>
      <rPr>
        <sz val="12"/>
        <rFont val="標楷體"/>
        <family val="4"/>
        <charset val="136"/>
      </rPr>
      <t>崩塌土石約</t>
    </r>
    <r>
      <rPr>
        <sz val="12"/>
        <rFont val="Times New Roman"/>
        <family val="1"/>
      </rPr>
      <t>2000</t>
    </r>
    <r>
      <rPr>
        <sz val="12"/>
        <rFont val="標楷體"/>
        <family val="4"/>
        <charset val="136"/>
      </rPr>
      <t>立方公尺，</t>
    </r>
    <r>
      <rPr>
        <sz val="12"/>
        <rFont val="Times New Roman"/>
        <family val="1"/>
      </rPr>
      <t>1</t>
    </r>
    <r>
      <rPr>
        <sz val="12"/>
        <rFont val="標楷體"/>
        <family val="4"/>
        <charset val="136"/>
      </rPr>
      <t>輛廂型車、</t>
    </r>
    <r>
      <rPr>
        <sz val="12"/>
        <rFont val="Times New Roman"/>
        <family val="1"/>
      </rPr>
      <t>2</t>
    </r>
    <r>
      <rPr>
        <sz val="12"/>
        <rFont val="標楷體"/>
        <family val="4"/>
        <charset val="136"/>
      </rPr>
      <t>輛小客車及</t>
    </r>
    <r>
      <rPr>
        <sz val="12"/>
        <rFont val="Times New Roman"/>
        <family val="1"/>
      </rPr>
      <t>1</t>
    </r>
    <r>
      <rPr>
        <sz val="12"/>
        <rFont val="標楷體"/>
        <family val="4"/>
        <charset val="136"/>
      </rPr>
      <t>輛機車遭土石掩埋，造成</t>
    </r>
    <r>
      <rPr>
        <sz val="12"/>
        <rFont val="Times New Roman"/>
        <family val="1"/>
      </rPr>
      <t>3</t>
    </r>
    <r>
      <rPr>
        <sz val="12"/>
        <rFont val="標楷體"/>
        <family val="4"/>
        <charset val="136"/>
      </rPr>
      <t>死</t>
    </r>
    <r>
      <rPr>
        <sz val="12"/>
        <rFont val="Times New Roman"/>
        <family val="1"/>
      </rPr>
      <t>4</t>
    </r>
    <r>
      <rPr>
        <sz val="12"/>
        <rFont val="標楷體"/>
        <family val="4"/>
        <charset val="136"/>
      </rPr>
      <t>傷，麥金路中斷約</t>
    </r>
    <r>
      <rPr>
        <sz val="12"/>
        <rFont val="Times New Roman"/>
        <family val="1"/>
      </rPr>
      <t>50</t>
    </r>
    <r>
      <rPr>
        <sz val="12"/>
        <rFont val="標楷體"/>
        <family val="4"/>
        <charset val="136"/>
      </rPr>
      <t>公尺。</t>
    </r>
    <phoneticPr fontId="5" type="noConversion"/>
  </si>
  <si>
    <t>01B030</t>
  </si>
  <si>
    <r>
      <rPr>
        <sz val="12"/>
        <rFont val="標楷體"/>
        <family val="4"/>
        <charset val="136"/>
      </rPr>
      <t>五堵</t>
    </r>
    <phoneticPr fontId="5" type="noConversion"/>
  </si>
  <si>
    <r>
      <rPr>
        <sz val="12"/>
        <rFont val="標楷體"/>
        <family val="4"/>
        <charset val="136"/>
      </rPr>
      <t>土石流</t>
    </r>
  </si>
  <si>
    <r>
      <rPr>
        <sz val="12"/>
        <rFont val="標楷體"/>
        <family val="4"/>
        <charset val="136"/>
      </rPr>
      <t>太麻里鄉</t>
    </r>
    <r>
      <rPr>
        <sz val="12"/>
        <rFont val="Times New Roman"/>
        <family val="1"/>
      </rPr>
      <t>(</t>
    </r>
    <r>
      <rPr>
        <sz val="12"/>
        <rFont val="標楷體"/>
        <family val="4"/>
        <charset val="136"/>
      </rPr>
      <t>加崙農路</t>
    </r>
    <r>
      <rPr>
        <sz val="12"/>
        <rFont val="Times New Roman"/>
        <family val="1"/>
      </rPr>
      <t>)</t>
    </r>
    <phoneticPr fontId="5" type="noConversion"/>
  </si>
  <si>
    <r>
      <rPr>
        <sz val="12"/>
        <rFont val="標楷體"/>
        <family val="4"/>
        <charset val="136"/>
      </rPr>
      <t>臺東縣</t>
    </r>
  </si>
  <si>
    <r>
      <rPr>
        <sz val="12"/>
        <rFont val="標楷體"/>
        <family val="4"/>
        <charset val="136"/>
      </rPr>
      <t>太麻里鄉</t>
    </r>
    <phoneticPr fontId="5" type="noConversion"/>
  </si>
  <si>
    <r>
      <rPr>
        <sz val="12"/>
        <rFont val="標楷體"/>
        <family val="4"/>
        <charset val="136"/>
      </rPr>
      <t>大王村</t>
    </r>
    <phoneticPr fontId="5" type="noConversion"/>
  </si>
  <si>
    <r>
      <t>東縣</t>
    </r>
    <r>
      <rPr>
        <sz val="12"/>
        <rFont val="Times New Roman"/>
        <family val="1"/>
      </rPr>
      <t>DF111</t>
    </r>
  </si>
  <si>
    <r>
      <t>0809</t>
    </r>
    <r>
      <rPr>
        <sz val="12"/>
        <rFont val="標楷體"/>
        <family val="4"/>
        <charset val="136"/>
      </rPr>
      <t>豪雨</t>
    </r>
    <phoneticPr fontId="5" type="noConversion"/>
  </si>
  <si>
    <r>
      <rPr>
        <sz val="12"/>
        <rFont val="標楷體"/>
        <family val="4"/>
        <charset val="136"/>
      </rPr>
      <t>土石流流入民宅，漫淹道路。人命損失</t>
    </r>
    <r>
      <rPr>
        <sz val="12"/>
        <rFont val="Times New Roman"/>
        <family val="1"/>
      </rPr>
      <t>:0</t>
    </r>
    <r>
      <rPr>
        <sz val="12"/>
        <rFont val="標楷體"/>
        <family val="4"/>
        <charset val="136"/>
      </rPr>
      <t>人。房舍受損</t>
    </r>
    <r>
      <rPr>
        <sz val="12"/>
        <rFont val="Times New Roman"/>
        <family val="1"/>
      </rPr>
      <t>:</t>
    </r>
    <r>
      <rPr>
        <sz val="12"/>
        <rFont val="標楷體"/>
        <family val="4"/>
        <charset val="136"/>
      </rPr>
      <t>土石流入</t>
    </r>
    <r>
      <rPr>
        <sz val="12"/>
        <rFont val="Times New Roman"/>
        <family val="1"/>
      </rPr>
      <t>2</t>
    </r>
    <r>
      <rPr>
        <sz val="12"/>
        <rFont val="標楷體"/>
        <family val="4"/>
        <charset val="136"/>
      </rPr>
      <t>戶。</t>
    </r>
    <phoneticPr fontId="5" type="noConversion"/>
  </si>
  <si>
    <r>
      <rPr>
        <sz val="12"/>
        <rFont val="標楷體"/>
        <family val="4"/>
        <charset val="136"/>
      </rPr>
      <t>太麻里</t>
    </r>
  </si>
  <si>
    <r>
      <rPr>
        <sz val="12"/>
        <rFont val="標楷體"/>
        <family val="4"/>
        <charset val="136"/>
      </rPr>
      <t>三地門鄉達來村</t>
    </r>
    <r>
      <rPr>
        <sz val="12"/>
        <rFont val="Times New Roman"/>
        <family val="1"/>
      </rPr>
      <t>(</t>
    </r>
    <r>
      <rPr>
        <sz val="12"/>
        <rFont val="標楷體"/>
        <family val="4"/>
        <charset val="136"/>
      </rPr>
      <t>好茶溪</t>
    </r>
    <r>
      <rPr>
        <sz val="12"/>
        <rFont val="Times New Roman"/>
        <family val="1"/>
      </rPr>
      <t>-</t>
    </r>
    <r>
      <rPr>
        <sz val="12"/>
        <rFont val="標楷體"/>
        <family val="4"/>
        <charset val="136"/>
      </rPr>
      <t>屏東</t>
    </r>
    <r>
      <rPr>
        <sz val="12"/>
        <rFont val="Times New Roman"/>
        <family val="1"/>
      </rPr>
      <t>006)</t>
    </r>
    <phoneticPr fontId="5" type="noConversion"/>
  </si>
  <si>
    <r>
      <rPr>
        <sz val="12"/>
        <rFont val="標楷體"/>
        <family val="4"/>
        <charset val="136"/>
      </rPr>
      <t>屏東縣</t>
    </r>
    <phoneticPr fontId="5" type="noConversion"/>
  </si>
  <si>
    <r>
      <rPr>
        <sz val="12"/>
        <rFont val="標楷體"/>
        <family val="4"/>
        <charset val="136"/>
      </rPr>
      <t>三地門鄉</t>
    </r>
    <phoneticPr fontId="5" type="noConversion"/>
  </si>
  <si>
    <r>
      <rPr>
        <sz val="12"/>
        <rFont val="標楷體"/>
        <family val="4"/>
        <charset val="136"/>
      </rPr>
      <t>達來村</t>
    </r>
    <phoneticPr fontId="5" type="noConversion"/>
  </si>
  <si>
    <r>
      <rPr>
        <sz val="12"/>
        <rFont val="標楷體"/>
        <family val="4"/>
        <charset val="136"/>
      </rPr>
      <t>屏縣</t>
    </r>
    <r>
      <rPr>
        <sz val="12"/>
        <rFont val="Times New Roman"/>
        <family val="1"/>
      </rPr>
      <t>DF013</t>
    </r>
  </si>
  <si>
    <r>
      <rPr>
        <sz val="12"/>
        <rFont val="標楷體"/>
        <family val="4"/>
        <charset val="136"/>
      </rPr>
      <t>好茶橋右岸好茶道路遭土石溢流淤埋，長度約</t>
    </r>
    <r>
      <rPr>
        <sz val="12"/>
        <rFont val="Times New Roman"/>
        <family val="1"/>
      </rPr>
      <t>250</t>
    </r>
    <r>
      <rPr>
        <sz val="12"/>
        <rFont val="標楷體"/>
        <family val="4"/>
        <charset val="136"/>
      </rPr>
      <t>公尺。好茶橋橋樑遭土石沖刷斷裂損毀，橋梁長度約為</t>
    </r>
    <r>
      <rPr>
        <sz val="12"/>
        <rFont val="Times New Roman"/>
        <family val="1"/>
      </rPr>
      <t>110</t>
    </r>
    <r>
      <rPr>
        <sz val="12"/>
        <rFont val="標楷體"/>
        <family val="4"/>
        <charset val="136"/>
      </rPr>
      <t>公尺。好茶橋到好茶村道路路基沖毀，長度約為</t>
    </r>
    <r>
      <rPr>
        <sz val="12"/>
        <rFont val="Times New Roman"/>
        <family val="1"/>
      </rPr>
      <t>100</t>
    </r>
    <r>
      <rPr>
        <sz val="12"/>
        <rFont val="標楷體"/>
        <family val="4"/>
        <charset val="136"/>
      </rPr>
      <t>公尺。</t>
    </r>
    <phoneticPr fontId="5" type="noConversion"/>
  </si>
  <si>
    <r>
      <rPr>
        <sz val="12"/>
        <rFont val="標楷體"/>
        <family val="4"/>
        <charset val="136"/>
      </rPr>
      <t>瑪家</t>
    </r>
    <phoneticPr fontId="5" type="noConversion"/>
  </si>
  <si>
    <r>
      <rPr>
        <sz val="12"/>
        <rFont val="標楷體"/>
        <family val="4"/>
        <charset val="136"/>
      </rPr>
      <t>瑪家鄉瑪家村</t>
    </r>
    <r>
      <rPr>
        <sz val="12"/>
        <rFont val="Times New Roman"/>
        <family val="1"/>
      </rPr>
      <t>(</t>
    </r>
    <r>
      <rPr>
        <sz val="12"/>
        <rFont val="標楷體"/>
        <family val="4"/>
        <charset val="136"/>
      </rPr>
      <t>好茶獅子橋</t>
    </r>
    <r>
      <rPr>
        <sz val="12"/>
        <rFont val="Times New Roman"/>
        <family val="1"/>
      </rPr>
      <t>)</t>
    </r>
    <phoneticPr fontId="5" type="noConversion"/>
  </si>
  <si>
    <r>
      <rPr>
        <sz val="12"/>
        <rFont val="標楷體"/>
        <family val="4"/>
        <charset val="136"/>
      </rPr>
      <t>瑪家鄉</t>
    </r>
    <phoneticPr fontId="5" type="noConversion"/>
  </si>
  <si>
    <r>
      <rPr>
        <sz val="12"/>
        <rFont val="標楷體"/>
        <family val="4"/>
        <charset val="136"/>
      </rPr>
      <t>瑪家村</t>
    </r>
    <phoneticPr fontId="5" type="noConversion"/>
  </si>
  <si>
    <r>
      <rPr>
        <sz val="12"/>
        <rFont val="標楷體"/>
        <family val="4"/>
        <charset val="136"/>
      </rPr>
      <t>屏縣</t>
    </r>
    <r>
      <rPr>
        <sz val="12"/>
        <rFont val="Times New Roman"/>
        <family val="1"/>
      </rPr>
      <t>DF019</t>
    </r>
    <phoneticPr fontId="5" type="noConversion"/>
  </si>
  <si>
    <r>
      <rPr>
        <sz val="12"/>
        <rFont val="標楷體"/>
        <family val="4"/>
        <charset val="136"/>
      </rPr>
      <t>好茶獅子橋遭淤埋，其面積約</t>
    </r>
    <r>
      <rPr>
        <sz val="12"/>
        <rFont val="Times New Roman"/>
        <family val="1"/>
      </rPr>
      <t>0.32ha</t>
    </r>
    <r>
      <rPr>
        <sz val="12"/>
        <rFont val="標楷體"/>
        <family val="4"/>
        <charset val="136"/>
      </rPr>
      <t>。好茶獅子橋下游側遭土石堆積，其面積約</t>
    </r>
    <r>
      <rPr>
        <sz val="12"/>
        <rFont val="Times New Roman"/>
        <family val="1"/>
      </rPr>
      <t>3.6ha</t>
    </r>
    <r>
      <rPr>
        <sz val="12"/>
        <rFont val="標楷體"/>
        <family val="4"/>
        <charset val="136"/>
      </rPr>
      <t>。好茶獅子橋孔遭土石堵塞。電力設施</t>
    </r>
    <r>
      <rPr>
        <sz val="12"/>
        <rFont val="Times New Roman"/>
        <family val="1"/>
      </rPr>
      <t>:</t>
    </r>
    <r>
      <rPr>
        <sz val="12"/>
        <rFont val="標楷體"/>
        <family val="4"/>
        <charset val="136"/>
      </rPr>
      <t>電桿毀損</t>
    </r>
    <r>
      <rPr>
        <sz val="12"/>
        <rFont val="Times New Roman"/>
        <family val="1"/>
      </rPr>
      <t>3</t>
    </r>
    <r>
      <rPr>
        <sz val="12"/>
        <rFont val="標楷體"/>
        <family val="4"/>
        <charset val="136"/>
      </rPr>
      <t>支。道路毀損</t>
    </r>
    <r>
      <rPr>
        <sz val="12"/>
        <rFont val="Times New Roman"/>
        <family val="1"/>
      </rPr>
      <t>:</t>
    </r>
    <r>
      <rPr>
        <sz val="12"/>
        <rFont val="標楷體"/>
        <family val="4"/>
        <charset val="136"/>
      </rPr>
      <t>約</t>
    </r>
    <r>
      <rPr>
        <sz val="12"/>
        <rFont val="Times New Roman"/>
        <family val="1"/>
      </rPr>
      <t>200</t>
    </r>
    <r>
      <rPr>
        <sz val="12"/>
        <rFont val="標楷體"/>
        <family val="4"/>
        <charset val="136"/>
      </rPr>
      <t>公尺。</t>
    </r>
    <phoneticPr fontId="5" type="noConversion"/>
  </si>
  <si>
    <r>
      <rPr>
        <sz val="12"/>
        <rFont val="標楷體"/>
        <family val="4"/>
        <charset val="136"/>
      </rPr>
      <t>南化鄉西埔村</t>
    </r>
    <phoneticPr fontId="5" type="noConversion"/>
  </si>
  <si>
    <r>
      <rPr>
        <sz val="12"/>
        <rFont val="標楷體"/>
        <family val="4"/>
        <charset val="136"/>
      </rPr>
      <t>臺南市</t>
    </r>
  </si>
  <si>
    <r>
      <rPr>
        <sz val="12"/>
        <rFont val="標楷體"/>
        <family val="4"/>
        <charset val="136"/>
      </rPr>
      <t>南化區</t>
    </r>
  </si>
  <si>
    <r>
      <rPr>
        <sz val="12"/>
        <rFont val="標楷體"/>
        <family val="4"/>
        <charset val="136"/>
      </rPr>
      <t>西埔里</t>
    </r>
  </si>
  <si>
    <r>
      <rPr>
        <sz val="12"/>
        <rFont val="標楷體"/>
        <family val="4"/>
        <charset val="136"/>
      </rPr>
      <t>道路路基掏空約</t>
    </r>
    <r>
      <rPr>
        <sz val="12"/>
        <rFont val="Times New Roman"/>
        <family val="1"/>
      </rPr>
      <t>12</t>
    </r>
    <r>
      <rPr>
        <sz val="12"/>
        <rFont val="標楷體"/>
        <family val="4"/>
        <charset val="136"/>
      </rPr>
      <t>公尺。擋土牆損壞約</t>
    </r>
    <r>
      <rPr>
        <sz val="12"/>
        <rFont val="Times New Roman"/>
        <family val="1"/>
      </rPr>
      <t>12</t>
    </r>
    <r>
      <rPr>
        <sz val="12"/>
        <rFont val="標楷體"/>
        <family val="4"/>
        <charset val="136"/>
      </rPr>
      <t>公尺。</t>
    </r>
    <phoneticPr fontId="5" type="noConversion"/>
  </si>
  <si>
    <r>
      <rPr>
        <sz val="12"/>
        <rFont val="標楷體"/>
        <family val="4"/>
        <charset val="136"/>
      </rPr>
      <t>北寮</t>
    </r>
  </si>
  <si>
    <r>
      <rPr>
        <sz val="12"/>
        <rFont val="標楷體"/>
        <family val="4"/>
        <charset val="136"/>
      </rPr>
      <t>埔里鎮蜈蚣里</t>
    </r>
    <phoneticPr fontId="5" type="noConversion"/>
  </si>
  <si>
    <r>
      <rPr>
        <sz val="12"/>
        <rFont val="標楷體"/>
        <family val="4"/>
        <charset val="136"/>
      </rPr>
      <t>蜈蚣里</t>
    </r>
    <phoneticPr fontId="5" type="noConversion"/>
  </si>
  <si>
    <r>
      <rPr>
        <sz val="12"/>
        <rFont val="標楷體"/>
        <family val="4"/>
        <charset val="136"/>
      </rPr>
      <t>蜈蚣里鯉魚路</t>
    </r>
    <r>
      <rPr>
        <sz val="12"/>
        <rFont val="Times New Roman"/>
        <family val="1"/>
      </rPr>
      <t>50-1</t>
    </r>
    <r>
      <rPr>
        <sz val="12"/>
        <rFont val="標楷體"/>
        <family val="4"/>
        <charset val="136"/>
      </rPr>
      <t>號旁之山坡地發生邊坡，造成一婦女傷亡。</t>
    </r>
    <phoneticPr fontId="5" type="noConversion"/>
  </si>
  <si>
    <t>C1L250</t>
  </si>
  <si>
    <r>
      <rPr>
        <sz val="12"/>
        <rFont val="標楷體"/>
        <family val="4"/>
        <charset val="136"/>
      </rPr>
      <t>埔里雨量站</t>
    </r>
  </si>
  <si>
    <r>
      <rPr>
        <sz val="12"/>
        <rFont val="標楷體"/>
        <family val="4"/>
        <charset val="136"/>
      </rPr>
      <t>鹿谷鄉清水村</t>
    </r>
    <r>
      <rPr>
        <sz val="12"/>
        <rFont val="Times New Roman"/>
        <family val="1"/>
      </rPr>
      <t>(</t>
    </r>
    <r>
      <rPr>
        <sz val="12"/>
        <rFont val="標楷體"/>
        <family val="4"/>
        <charset val="136"/>
      </rPr>
      <t>小嶺產業道路</t>
    </r>
    <r>
      <rPr>
        <sz val="12"/>
        <rFont val="Times New Roman"/>
        <family val="1"/>
      </rPr>
      <t>)</t>
    </r>
    <phoneticPr fontId="5" type="noConversion"/>
  </si>
  <si>
    <r>
      <rPr>
        <sz val="12"/>
        <rFont val="標楷體"/>
        <family val="4"/>
        <charset val="136"/>
      </rPr>
      <t>鹿谷鄉</t>
    </r>
    <phoneticPr fontId="5" type="noConversion"/>
  </si>
  <si>
    <r>
      <rPr>
        <sz val="12"/>
        <rFont val="標楷體"/>
        <family val="4"/>
        <charset val="136"/>
      </rPr>
      <t>清水村</t>
    </r>
    <phoneticPr fontId="5" type="noConversion"/>
  </si>
  <si>
    <r>
      <t xml:space="preserve">2007/08/10 </t>
    </r>
    <r>
      <rPr>
        <sz val="12"/>
        <rFont val="標楷體"/>
        <family val="4"/>
        <charset val="136"/>
      </rPr>
      <t>晚間</t>
    </r>
    <phoneticPr fontId="5" type="noConversion"/>
  </si>
  <si>
    <r>
      <rPr>
        <sz val="12"/>
        <rFont val="標楷體"/>
        <family val="4"/>
        <charset val="136"/>
      </rPr>
      <t>小嶺產業道路損毀約</t>
    </r>
    <r>
      <rPr>
        <sz val="12"/>
        <rFont val="Times New Roman"/>
        <family val="1"/>
      </rPr>
      <t>100</t>
    </r>
    <r>
      <rPr>
        <sz val="12"/>
        <rFont val="標楷體"/>
        <family val="4"/>
        <charset val="136"/>
      </rPr>
      <t>公尺。新建之產業運輸大橋橋面版及護欄損壞約</t>
    </r>
    <r>
      <rPr>
        <sz val="12"/>
        <rFont val="Times New Roman"/>
        <family val="1"/>
      </rPr>
      <t>20</t>
    </r>
    <r>
      <rPr>
        <sz val="12"/>
        <rFont val="標楷體"/>
        <family val="4"/>
        <charset val="136"/>
      </rPr>
      <t>公尺。位於小嶺產業道路之石籠擋土牆損毀約</t>
    </r>
    <r>
      <rPr>
        <sz val="12"/>
        <rFont val="Times New Roman"/>
        <family val="1"/>
      </rPr>
      <t>100</t>
    </r>
    <r>
      <rPr>
        <sz val="12"/>
        <rFont val="標楷體"/>
        <family val="4"/>
        <charset val="136"/>
      </rPr>
      <t>公尺。</t>
    </r>
    <phoneticPr fontId="5" type="noConversion"/>
  </si>
  <si>
    <t>C1I170</t>
  </si>
  <si>
    <r>
      <rPr>
        <sz val="12"/>
        <rFont val="標楷體"/>
        <family val="4"/>
        <charset val="136"/>
      </rPr>
      <t>集集</t>
    </r>
  </si>
  <si>
    <r>
      <rPr>
        <sz val="12"/>
        <rFont val="標楷體"/>
        <family val="4"/>
        <charset val="136"/>
      </rPr>
      <t>好茶道路</t>
    </r>
    <r>
      <rPr>
        <sz val="12"/>
        <rFont val="Times New Roman"/>
        <family val="1"/>
      </rPr>
      <t>(</t>
    </r>
    <r>
      <rPr>
        <sz val="12"/>
        <rFont val="標楷體"/>
        <family val="4"/>
        <charset val="136"/>
      </rPr>
      <t>距好茶獅子橋</t>
    </r>
    <r>
      <rPr>
        <sz val="12"/>
        <rFont val="Times New Roman"/>
        <family val="1"/>
      </rPr>
      <t>2.8km)</t>
    </r>
    <phoneticPr fontId="5" type="noConversion"/>
  </si>
  <si>
    <r>
      <rPr>
        <sz val="12"/>
        <rFont val="標楷體"/>
        <family val="4"/>
        <charset val="136"/>
      </rPr>
      <t>道路上邊坡山崩滑落</t>
    </r>
    <r>
      <rPr>
        <sz val="12"/>
        <rFont val="Times New Roman"/>
        <family val="1"/>
      </rPr>
      <t>0.62</t>
    </r>
    <r>
      <rPr>
        <sz val="12"/>
        <rFont val="標楷體"/>
        <family val="4"/>
        <charset val="136"/>
      </rPr>
      <t>公頃。造成交通中斷且坡趾擋土牆毀壞。道路下邊坡山崩滑落</t>
    </r>
    <r>
      <rPr>
        <sz val="12"/>
        <rFont val="Times New Roman"/>
        <family val="1"/>
      </rPr>
      <t>1.04</t>
    </r>
    <r>
      <rPr>
        <sz val="12"/>
        <rFont val="標楷體"/>
        <family val="4"/>
        <charset val="136"/>
      </rPr>
      <t>公頃。造成道路擋土牆及護欄毀壞。電力設施</t>
    </r>
    <r>
      <rPr>
        <sz val="12"/>
        <rFont val="Times New Roman"/>
        <family val="1"/>
      </rPr>
      <t>:</t>
    </r>
    <r>
      <rPr>
        <sz val="12"/>
        <rFont val="標楷體"/>
        <family val="4"/>
        <charset val="136"/>
      </rPr>
      <t>電桿斷裂</t>
    </r>
    <r>
      <rPr>
        <sz val="12"/>
        <rFont val="Times New Roman"/>
        <family val="1"/>
      </rPr>
      <t>1</t>
    </r>
    <r>
      <rPr>
        <sz val="12"/>
        <rFont val="標楷體"/>
        <family val="4"/>
        <charset val="136"/>
      </rPr>
      <t>支。</t>
    </r>
    <phoneticPr fontId="5" type="noConversion"/>
  </si>
  <si>
    <r>
      <rPr>
        <sz val="12"/>
        <rFont val="標楷體"/>
        <family val="4"/>
        <charset val="136"/>
      </rPr>
      <t>瑪家</t>
    </r>
  </si>
  <si>
    <r>
      <rPr>
        <sz val="12"/>
        <rFont val="標楷體"/>
        <family val="4"/>
        <charset val="136"/>
      </rPr>
      <t>好茶道路</t>
    </r>
    <r>
      <rPr>
        <sz val="12"/>
        <rFont val="Times New Roman"/>
        <family val="1"/>
      </rPr>
      <t>(</t>
    </r>
    <r>
      <rPr>
        <sz val="12"/>
        <rFont val="標楷體"/>
        <family val="4"/>
        <charset val="136"/>
      </rPr>
      <t>距好茶獅子橋</t>
    </r>
    <r>
      <rPr>
        <sz val="12"/>
        <rFont val="Times New Roman"/>
        <family val="1"/>
      </rPr>
      <t>1.4km)</t>
    </r>
    <phoneticPr fontId="5" type="noConversion"/>
  </si>
  <si>
    <r>
      <rPr>
        <sz val="12"/>
        <rFont val="標楷體"/>
        <family val="4"/>
        <charset val="136"/>
      </rPr>
      <t>道路上邊坡山崩滑落</t>
    </r>
    <r>
      <rPr>
        <sz val="12"/>
        <rFont val="Times New Roman"/>
        <family val="1"/>
      </rPr>
      <t>0.88</t>
    </r>
    <r>
      <rPr>
        <sz val="12"/>
        <rFont val="標楷體"/>
        <family val="4"/>
        <charset val="136"/>
      </rPr>
      <t>公頃。造成交通中斷且路面損壞</t>
    </r>
    <r>
      <rPr>
        <sz val="12"/>
        <rFont val="Times New Roman"/>
        <family val="1"/>
      </rPr>
      <t>100m</t>
    </r>
    <r>
      <rPr>
        <sz val="12"/>
        <rFont val="標楷體"/>
        <family val="4"/>
        <charset val="136"/>
      </rPr>
      <t>。道路下邊坡山崩滑落</t>
    </r>
    <r>
      <rPr>
        <sz val="12"/>
        <rFont val="Times New Roman"/>
        <family val="1"/>
      </rPr>
      <t>0.3</t>
    </r>
    <r>
      <rPr>
        <sz val="12"/>
        <rFont val="標楷體"/>
        <family val="4"/>
        <charset val="136"/>
      </rPr>
      <t>公頃。造成道路擋土牆及護欄毀壞。電力設施</t>
    </r>
    <r>
      <rPr>
        <sz val="12"/>
        <rFont val="Times New Roman"/>
        <family val="1"/>
      </rPr>
      <t>:</t>
    </r>
    <r>
      <rPr>
        <sz val="12"/>
        <rFont val="標楷體"/>
        <family val="4"/>
        <charset val="136"/>
      </rPr>
      <t>電桿及電信桿各斷裂</t>
    </r>
    <r>
      <rPr>
        <sz val="12"/>
        <rFont val="Times New Roman"/>
        <family val="1"/>
      </rPr>
      <t>1</t>
    </r>
    <r>
      <rPr>
        <sz val="12"/>
        <rFont val="標楷體"/>
        <family val="4"/>
        <charset val="136"/>
      </rPr>
      <t>支。</t>
    </r>
    <phoneticPr fontId="5" type="noConversion"/>
  </si>
  <si>
    <t xml:space="preserve">— </t>
    <phoneticPr fontId="5" type="noConversion"/>
  </si>
  <si>
    <r>
      <rPr>
        <sz val="12"/>
        <rFont val="標楷體"/>
        <family val="4"/>
        <charset val="136"/>
      </rPr>
      <t>瑪家鄉瑪家村</t>
    </r>
    <r>
      <rPr>
        <sz val="12"/>
        <rFont val="Times New Roman"/>
        <family val="1"/>
      </rPr>
      <t>(</t>
    </r>
    <r>
      <rPr>
        <sz val="12"/>
        <rFont val="標楷體"/>
        <family val="4"/>
        <charset val="136"/>
      </rPr>
      <t>好茶道路，距原住民族文化園區入口約</t>
    </r>
    <r>
      <rPr>
        <sz val="12"/>
        <rFont val="Times New Roman"/>
        <family val="1"/>
      </rPr>
      <t>3</t>
    </r>
    <r>
      <rPr>
        <sz val="12"/>
        <rFont val="標楷體"/>
        <family val="4"/>
        <charset val="136"/>
      </rPr>
      <t>公里處</t>
    </r>
    <r>
      <rPr>
        <sz val="12"/>
        <rFont val="Times New Roman"/>
        <family val="1"/>
      </rPr>
      <t>)</t>
    </r>
    <phoneticPr fontId="5" type="noConversion"/>
  </si>
  <si>
    <t>2007/08/13 16~19:00</t>
    <phoneticPr fontId="5" type="noConversion"/>
  </si>
  <si>
    <r>
      <rPr>
        <sz val="12"/>
        <rFont val="標楷體"/>
        <family val="4"/>
        <charset val="136"/>
      </rPr>
      <t>好茶道路遭土石掩埋約</t>
    </r>
    <r>
      <rPr>
        <sz val="12"/>
        <rFont val="Times New Roman"/>
        <family val="1"/>
      </rPr>
      <t>40</t>
    </r>
    <r>
      <rPr>
        <sz val="12"/>
        <rFont val="標楷體"/>
        <family val="4"/>
        <charset val="136"/>
      </rPr>
      <t>公尺，交通中斷數日。造成好茶村停電、停話數日。人命損失</t>
    </r>
    <r>
      <rPr>
        <sz val="12"/>
        <rFont val="Times New Roman"/>
        <family val="1"/>
      </rPr>
      <t>:0</t>
    </r>
    <r>
      <rPr>
        <sz val="12"/>
        <rFont val="標楷體"/>
        <family val="4"/>
        <charset val="136"/>
      </rPr>
      <t>人。</t>
    </r>
    <phoneticPr fontId="5" type="noConversion"/>
  </si>
  <si>
    <r>
      <rPr>
        <sz val="12"/>
        <rFont val="標楷體"/>
        <family val="4"/>
        <charset val="136"/>
      </rPr>
      <t>瑪家鄉瑪家村</t>
    </r>
    <r>
      <rPr>
        <sz val="12"/>
        <rFont val="Times New Roman"/>
        <family val="1"/>
      </rPr>
      <t>(</t>
    </r>
    <r>
      <rPr>
        <sz val="12"/>
        <rFont val="標楷體"/>
        <family val="4"/>
        <charset val="136"/>
      </rPr>
      <t>好茶道路，距原住民族文化園區入口約</t>
    </r>
    <r>
      <rPr>
        <sz val="12"/>
        <rFont val="Times New Roman"/>
        <family val="1"/>
      </rPr>
      <t>1</t>
    </r>
    <r>
      <rPr>
        <sz val="12"/>
        <rFont val="標楷體"/>
        <family val="4"/>
        <charset val="136"/>
      </rPr>
      <t>公里處</t>
    </r>
    <r>
      <rPr>
        <sz val="12"/>
        <rFont val="Times New Roman"/>
        <family val="1"/>
      </rPr>
      <t>)</t>
    </r>
    <phoneticPr fontId="5" type="noConversion"/>
  </si>
  <si>
    <r>
      <rPr>
        <sz val="12"/>
        <rFont val="標楷體"/>
        <family val="4"/>
        <charset val="136"/>
      </rPr>
      <t>好茶道路遭土石掩埋約</t>
    </r>
    <r>
      <rPr>
        <sz val="12"/>
        <rFont val="Times New Roman"/>
        <family val="1"/>
      </rPr>
      <t>95</t>
    </r>
    <r>
      <rPr>
        <sz val="12"/>
        <rFont val="標楷體"/>
        <family val="4"/>
        <charset val="136"/>
      </rPr>
      <t>公尺，交通中斷數日。原住民文化園區部分停電、停話數日。</t>
    </r>
    <phoneticPr fontId="5" type="noConversion"/>
  </si>
  <si>
    <t xml:space="preserve">— </t>
  </si>
  <si>
    <r>
      <rPr>
        <sz val="12"/>
        <rFont val="標楷體"/>
        <family val="4"/>
        <charset val="136"/>
      </rPr>
      <t>霧台鄉好茶村</t>
    </r>
    <phoneticPr fontId="5" type="noConversion"/>
  </si>
  <si>
    <r>
      <rPr>
        <sz val="12"/>
        <rFont val="標楷體"/>
        <family val="4"/>
        <charset val="136"/>
      </rPr>
      <t>霧臺鄉</t>
    </r>
  </si>
  <si>
    <r>
      <rPr>
        <sz val="12"/>
        <rFont val="標楷體"/>
        <family val="4"/>
        <charset val="136"/>
      </rPr>
      <t>好茶村</t>
    </r>
    <phoneticPr fontId="5" type="noConversion"/>
  </si>
  <si>
    <r>
      <rPr>
        <sz val="12"/>
        <rFont val="標楷體"/>
        <family val="4"/>
        <charset val="136"/>
      </rPr>
      <t>好茶教會右側邊坡發生崩塌災害，範圍寬約</t>
    </r>
    <r>
      <rPr>
        <sz val="12"/>
        <rFont val="Times New Roman"/>
        <family val="1"/>
      </rPr>
      <t>40</t>
    </r>
    <r>
      <rPr>
        <sz val="12"/>
        <rFont val="標楷體"/>
        <family val="4"/>
        <charset val="136"/>
      </rPr>
      <t>公尺、長約</t>
    </r>
    <r>
      <rPr>
        <sz val="12"/>
        <rFont val="Times New Roman"/>
        <family val="1"/>
      </rPr>
      <t>274</t>
    </r>
    <r>
      <rPr>
        <sz val="12"/>
        <rFont val="標楷體"/>
        <family val="4"/>
        <charset val="136"/>
      </rPr>
      <t>公尺、初估約</t>
    </r>
    <r>
      <rPr>
        <sz val="12"/>
        <rFont val="Times New Roman"/>
        <family val="1"/>
      </rPr>
      <t>22000</t>
    </r>
    <r>
      <rPr>
        <sz val="12"/>
        <rFont val="標楷體"/>
        <family val="4"/>
        <charset val="136"/>
      </rPr>
      <t>立方公尺土方掩埋下方之民宅約</t>
    </r>
    <r>
      <rPr>
        <sz val="12"/>
        <rFont val="Times New Roman"/>
        <family val="1"/>
      </rPr>
      <t>8</t>
    </r>
    <r>
      <rPr>
        <sz val="12"/>
        <rFont val="標楷體"/>
        <family val="4"/>
        <charset val="136"/>
      </rPr>
      <t>戶及道路約</t>
    </r>
    <r>
      <rPr>
        <sz val="12"/>
        <rFont val="Times New Roman"/>
        <family val="1"/>
      </rPr>
      <t>100</t>
    </r>
    <r>
      <rPr>
        <sz val="12"/>
        <rFont val="標楷體"/>
        <family val="4"/>
        <charset val="136"/>
      </rPr>
      <t>公尺。</t>
    </r>
    <phoneticPr fontId="5" type="noConversion"/>
  </si>
  <si>
    <t>—</t>
    <phoneticPr fontId="5" type="noConversion"/>
  </si>
  <si>
    <r>
      <rPr>
        <sz val="12"/>
        <rFont val="標楷體"/>
        <family val="4"/>
        <charset val="136"/>
      </rPr>
      <t>好茶國小後方操場邊坡發生崩塌災害，範圍寬約</t>
    </r>
    <r>
      <rPr>
        <sz val="12"/>
        <rFont val="Times New Roman"/>
        <family val="1"/>
      </rPr>
      <t>100</t>
    </r>
    <r>
      <rPr>
        <sz val="12"/>
        <rFont val="標楷體"/>
        <family val="4"/>
        <charset val="136"/>
      </rPr>
      <t>公尺、長約</t>
    </r>
    <r>
      <rPr>
        <sz val="12"/>
        <rFont val="Times New Roman"/>
        <family val="1"/>
      </rPr>
      <t>240</t>
    </r>
    <r>
      <rPr>
        <sz val="12"/>
        <rFont val="標楷體"/>
        <family val="4"/>
        <charset val="136"/>
      </rPr>
      <t>公尺，初估約</t>
    </r>
    <r>
      <rPr>
        <sz val="12"/>
        <rFont val="Times New Roman"/>
        <family val="1"/>
      </rPr>
      <t>48000</t>
    </r>
    <r>
      <rPr>
        <sz val="12"/>
        <rFont val="標楷體"/>
        <family val="4"/>
        <charset val="136"/>
      </rPr>
      <t>立方公尺之土方掩埋下方好茶國小、民宅約</t>
    </r>
    <r>
      <rPr>
        <sz val="12"/>
        <rFont val="Times New Roman"/>
        <family val="1"/>
      </rPr>
      <t>40</t>
    </r>
    <r>
      <rPr>
        <sz val="12"/>
        <rFont val="標楷體"/>
        <family val="4"/>
        <charset val="136"/>
      </rPr>
      <t>戶及道路長約</t>
    </r>
    <r>
      <rPr>
        <sz val="12"/>
        <rFont val="Times New Roman"/>
        <family val="1"/>
      </rPr>
      <t>100</t>
    </r>
    <r>
      <rPr>
        <sz val="12"/>
        <rFont val="標楷體"/>
        <family val="4"/>
        <charset val="136"/>
      </rPr>
      <t>公尺。</t>
    </r>
    <phoneticPr fontId="5" type="noConversion"/>
  </si>
  <si>
    <t>CIR140</t>
    <phoneticPr fontId="5" type="noConversion"/>
  </si>
  <si>
    <r>
      <rPr>
        <sz val="12"/>
        <rFont val="標楷體"/>
        <family val="4"/>
        <charset val="136"/>
      </rPr>
      <t>林園鄉潭頭村</t>
    </r>
    <r>
      <rPr>
        <sz val="12"/>
        <rFont val="Times New Roman"/>
        <family val="1"/>
      </rPr>
      <t>(</t>
    </r>
    <r>
      <rPr>
        <sz val="12"/>
        <rFont val="標楷體"/>
        <family val="4"/>
        <charset val="136"/>
      </rPr>
      <t>清水巖路</t>
    </r>
    <r>
      <rPr>
        <sz val="12"/>
        <rFont val="Times New Roman"/>
        <family val="1"/>
      </rPr>
      <t>)</t>
    </r>
    <phoneticPr fontId="5" type="noConversion"/>
  </si>
  <si>
    <r>
      <rPr>
        <sz val="12"/>
        <rFont val="標楷體"/>
        <family val="4"/>
        <charset val="136"/>
      </rPr>
      <t>林園區</t>
    </r>
  </si>
  <si>
    <r>
      <rPr>
        <sz val="12"/>
        <rFont val="標楷體"/>
        <family val="4"/>
        <charset val="136"/>
      </rPr>
      <t>潭頭里</t>
    </r>
  </si>
  <si>
    <r>
      <rPr>
        <sz val="12"/>
        <rFont val="標楷體"/>
        <family val="4"/>
        <charset val="136"/>
      </rPr>
      <t>位於坡腳清水巖路</t>
    </r>
    <r>
      <rPr>
        <sz val="12"/>
        <rFont val="Times New Roman"/>
        <family val="1"/>
      </rPr>
      <t>254</t>
    </r>
    <r>
      <rPr>
        <sz val="12"/>
        <rFont val="標楷體"/>
        <family val="4"/>
        <charset val="136"/>
      </rPr>
      <t>號之民宅二樓遭巨石壓毀。人命損失</t>
    </r>
    <r>
      <rPr>
        <sz val="12"/>
        <rFont val="Times New Roman"/>
        <family val="1"/>
      </rPr>
      <t>:0</t>
    </r>
    <r>
      <rPr>
        <sz val="12"/>
        <rFont val="標楷體"/>
        <family val="4"/>
        <charset val="136"/>
      </rPr>
      <t>人。房屋受損</t>
    </r>
    <r>
      <rPr>
        <sz val="12"/>
        <rFont val="Times New Roman"/>
        <family val="1"/>
      </rPr>
      <t>:1</t>
    </r>
    <r>
      <rPr>
        <sz val="12"/>
        <rFont val="標楷體"/>
        <family val="4"/>
        <charset val="136"/>
      </rPr>
      <t>棟</t>
    </r>
    <r>
      <rPr>
        <sz val="12"/>
        <rFont val="Times New Roman"/>
        <family val="1"/>
      </rPr>
      <t>(</t>
    </r>
    <r>
      <rPr>
        <sz val="12"/>
        <rFont val="標楷體"/>
        <family val="4"/>
        <charset val="136"/>
      </rPr>
      <t>清水巖</t>
    </r>
    <r>
      <rPr>
        <sz val="12"/>
        <rFont val="Times New Roman"/>
        <family val="1"/>
      </rPr>
      <t>254</t>
    </r>
    <r>
      <rPr>
        <sz val="12"/>
        <rFont val="標楷體"/>
        <family val="4"/>
        <charset val="136"/>
      </rPr>
      <t>號</t>
    </r>
    <r>
      <rPr>
        <sz val="12"/>
        <rFont val="Times New Roman"/>
        <family val="1"/>
      </rPr>
      <t>)</t>
    </r>
    <phoneticPr fontId="5" type="noConversion"/>
  </si>
  <si>
    <t>C1V450</t>
  </si>
  <si>
    <r>
      <rPr>
        <sz val="12"/>
        <rFont val="標楷體"/>
        <family val="4"/>
        <charset val="136"/>
      </rPr>
      <t>鳳森</t>
    </r>
    <phoneticPr fontId="5" type="noConversion"/>
  </si>
  <si>
    <r>
      <rPr>
        <sz val="12"/>
        <rFont val="標楷體"/>
        <family val="4"/>
        <charset val="136"/>
      </rPr>
      <t>鳳林鎮森榮里</t>
    </r>
    <r>
      <rPr>
        <sz val="12"/>
        <rFont val="Times New Roman"/>
        <family val="1"/>
      </rPr>
      <t>(</t>
    </r>
    <r>
      <rPr>
        <sz val="12"/>
        <rFont val="標楷體"/>
        <family val="4"/>
        <charset val="136"/>
      </rPr>
      <t>林田山林業文化園區內之森榮國小</t>
    </r>
    <r>
      <rPr>
        <sz val="12"/>
        <rFont val="Times New Roman"/>
        <family val="1"/>
      </rPr>
      <t>)</t>
    </r>
    <phoneticPr fontId="5" type="noConversion"/>
  </si>
  <si>
    <r>
      <rPr>
        <sz val="12"/>
        <rFont val="標楷體"/>
        <family val="4"/>
        <charset val="136"/>
      </rPr>
      <t>花蓮縣</t>
    </r>
    <phoneticPr fontId="5" type="noConversion"/>
  </si>
  <si>
    <r>
      <rPr>
        <sz val="12"/>
        <rFont val="標楷體"/>
        <family val="4"/>
        <charset val="136"/>
      </rPr>
      <t>鳳林鎮</t>
    </r>
    <phoneticPr fontId="5" type="noConversion"/>
  </si>
  <si>
    <r>
      <rPr>
        <sz val="12"/>
        <rFont val="標楷體"/>
        <family val="4"/>
        <charset val="136"/>
      </rPr>
      <t>森榮里</t>
    </r>
    <phoneticPr fontId="5" type="noConversion"/>
  </si>
  <si>
    <r>
      <t>96</t>
    </r>
    <r>
      <rPr>
        <sz val="12"/>
        <rFont val="標楷體"/>
        <family val="4"/>
        <charset val="136"/>
      </rPr>
      <t>年其他</t>
    </r>
    <phoneticPr fontId="5" type="noConversion"/>
  </si>
  <si>
    <r>
      <rPr>
        <sz val="12"/>
        <rFont val="標楷體"/>
        <family val="4"/>
        <charset val="136"/>
      </rPr>
      <t>森榮國小內舊有校舍遭巨石毀損。人命損失</t>
    </r>
    <r>
      <rPr>
        <sz val="12"/>
        <rFont val="Times New Roman"/>
        <family val="1"/>
      </rPr>
      <t>:0</t>
    </r>
    <r>
      <rPr>
        <sz val="12"/>
        <rFont val="標楷體"/>
        <family val="4"/>
        <charset val="136"/>
      </rPr>
      <t>人。房舍受損</t>
    </r>
    <r>
      <rPr>
        <sz val="12"/>
        <rFont val="Times New Roman"/>
        <family val="1"/>
      </rPr>
      <t>:1</t>
    </r>
    <r>
      <rPr>
        <sz val="12"/>
        <rFont val="標楷體"/>
        <family val="4"/>
        <charset val="136"/>
      </rPr>
      <t>棟。</t>
    </r>
    <phoneticPr fontId="5" type="noConversion"/>
  </si>
  <si>
    <t>C1T940</t>
  </si>
  <si>
    <r>
      <rPr>
        <sz val="12"/>
        <rFont val="標楷體"/>
        <family val="4"/>
        <charset val="136"/>
      </rPr>
      <t>大觀</t>
    </r>
  </si>
  <si>
    <r>
      <rPr>
        <sz val="12"/>
        <rFont val="標楷體"/>
        <family val="4"/>
        <charset val="136"/>
      </rPr>
      <t>雲林縣林內鄉坪頂村</t>
    </r>
    <phoneticPr fontId="5" type="noConversion"/>
  </si>
  <si>
    <r>
      <rPr>
        <sz val="12"/>
        <rFont val="標楷體"/>
        <family val="4"/>
        <charset val="136"/>
      </rPr>
      <t>雲</t>
    </r>
    <r>
      <rPr>
        <sz val="12"/>
        <rFont val="Times New Roman"/>
        <family val="1"/>
      </rPr>
      <t>61</t>
    </r>
    <r>
      <rPr>
        <sz val="12"/>
        <rFont val="標楷體"/>
        <family val="4"/>
        <charset val="136"/>
      </rPr>
      <t>線公路之坪頂村入口段路基邊坡土石崩塌，路基流失約</t>
    </r>
    <r>
      <rPr>
        <sz val="12"/>
        <rFont val="Times New Roman"/>
        <family val="1"/>
      </rPr>
      <t>40</t>
    </r>
    <r>
      <rPr>
        <sz val="12"/>
        <rFont val="標楷體"/>
        <family val="4"/>
        <charset val="136"/>
      </rPr>
      <t>公尺。</t>
    </r>
    <phoneticPr fontId="5" type="noConversion"/>
  </si>
  <si>
    <r>
      <rPr>
        <sz val="12"/>
        <rFont val="標楷體"/>
        <family val="4"/>
        <charset val="136"/>
      </rPr>
      <t>竹山</t>
    </r>
    <phoneticPr fontId="5" type="noConversion"/>
  </si>
  <si>
    <r>
      <rPr>
        <sz val="12"/>
        <rFont val="標楷體"/>
        <family val="4"/>
        <charset val="136"/>
      </rPr>
      <t>石岡鄉金星村</t>
    </r>
    <phoneticPr fontId="5" type="noConversion"/>
  </si>
  <si>
    <r>
      <rPr>
        <sz val="12"/>
        <rFont val="標楷體"/>
        <family val="4"/>
        <charset val="136"/>
      </rPr>
      <t>石岡區</t>
    </r>
  </si>
  <si>
    <r>
      <rPr>
        <sz val="12"/>
        <rFont val="標楷體"/>
        <family val="4"/>
        <charset val="136"/>
      </rPr>
      <t>金星里</t>
    </r>
  </si>
  <si>
    <r>
      <rPr>
        <sz val="12"/>
        <rFont val="標楷體"/>
        <family val="4"/>
        <charset val="136"/>
      </rPr>
      <t>柯羅莎颱風</t>
    </r>
    <phoneticPr fontId="5" type="noConversion"/>
  </si>
  <si>
    <r>
      <rPr>
        <sz val="12"/>
        <rFont val="標楷體"/>
        <family val="4"/>
        <charset val="136"/>
      </rPr>
      <t>石岡鄉金星村中</t>
    </r>
    <r>
      <rPr>
        <sz val="12"/>
        <rFont val="Times New Roman"/>
        <family val="1"/>
      </rPr>
      <t>91</t>
    </r>
    <r>
      <rPr>
        <sz val="12"/>
        <rFont val="標楷體"/>
        <family val="4"/>
        <charset val="136"/>
      </rPr>
      <t>鄉道約</t>
    </r>
    <r>
      <rPr>
        <sz val="12"/>
        <rFont val="Times New Roman"/>
        <family val="1"/>
      </rPr>
      <t>2k</t>
    </r>
    <r>
      <rPr>
        <sz val="12"/>
        <rFont val="標楷體"/>
        <family val="4"/>
        <charset val="136"/>
      </rPr>
      <t>處之坡地發生邊坡滑動，造成路面毀損約</t>
    </r>
    <r>
      <rPr>
        <sz val="12"/>
        <rFont val="Times New Roman"/>
        <family val="1"/>
      </rPr>
      <t>60</t>
    </r>
    <r>
      <rPr>
        <sz val="12"/>
        <rFont val="標楷體"/>
        <family val="4"/>
        <charset val="136"/>
      </rPr>
      <t>公尺，交通中斷。房屋受損</t>
    </r>
    <r>
      <rPr>
        <sz val="12"/>
        <rFont val="Times New Roman"/>
        <family val="1"/>
      </rPr>
      <t>:1</t>
    </r>
    <r>
      <rPr>
        <sz val="12"/>
        <rFont val="標楷體"/>
        <family val="4"/>
        <charset val="136"/>
      </rPr>
      <t>棟。道路毀損</t>
    </r>
    <r>
      <rPr>
        <sz val="12"/>
        <rFont val="Times New Roman"/>
        <family val="1"/>
      </rPr>
      <t>:60</t>
    </r>
    <r>
      <rPr>
        <sz val="12"/>
        <rFont val="標楷體"/>
        <family val="4"/>
        <charset val="136"/>
      </rPr>
      <t>公尺。</t>
    </r>
    <phoneticPr fontId="5" type="noConversion"/>
  </si>
  <si>
    <r>
      <rPr>
        <sz val="12"/>
        <rFont val="標楷體"/>
        <family val="4"/>
        <charset val="136"/>
      </rPr>
      <t>台北市新安路</t>
    </r>
    <r>
      <rPr>
        <sz val="12"/>
        <rFont val="Times New Roman"/>
        <family val="1"/>
      </rPr>
      <t>21</t>
    </r>
    <r>
      <rPr>
        <sz val="12"/>
        <rFont val="標楷體"/>
        <family val="4"/>
        <charset val="136"/>
      </rPr>
      <t>之</t>
    </r>
    <r>
      <rPr>
        <sz val="12"/>
        <rFont val="Times New Roman"/>
        <family val="1"/>
      </rPr>
      <t>1</t>
    </r>
    <r>
      <rPr>
        <sz val="12"/>
        <rFont val="標楷體"/>
        <family val="4"/>
        <charset val="136"/>
      </rPr>
      <t>號</t>
    </r>
    <phoneticPr fontId="5" type="noConversion"/>
  </si>
  <si>
    <r>
      <rPr>
        <sz val="12"/>
        <rFont val="標楷體"/>
        <family val="4"/>
        <charset val="136"/>
      </rPr>
      <t>臺北市</t>
    </r>
  </si>
  <si>
    <r>
      <rPr>
        <sz val="12"/>
        <rFont val="標楷體"/>
        <family val="4"/>
        <charset val="136"/>
      </rPr>
      <t>士林區</t>
    </r>
    <phoneticPr fontId="5" type="noConversion"/>
  </si>
  <si>
    <r>
      <rPr>
        <sz val="12"/>
        <rFont val="標楷體"/>
        <family val="4"/>
        <charset val="136"/>
      </rPr>
      <t>新安里</t>
    </r>
    <phoneticPr fontId="5" type="noConversion"/>
  </si>
  <si>
    <r>
      <rPr>
        <sz val="12"/>
        <rFont val="標楷體"/>
        <family val="4"/>
        <charset val="136"/>
      </rPr>
      <t>新安路民宅上邊坡崩塌造成八人受困，兩人死亡，六人獲救。人員死亡</t>
    </r>
    <r>
      <rPr>
        <sz val="12"/>
        <rFont val="Times New Roman"/>
        <family val="1"/>
      </rPr>
      <t>:2</t>
    </r>
    <r>
      <rPr>
        <sz val="12"/>
        <rFont val="標楷體"/>
        <family val="4"/>
        <charset val="136"/>
      </rPr>
      <t>人。房舍受損</t>
    </r>
    <r>
      <rPr>
        <sz val="12"/>
        <rFont val="Times New Roman"/>
        <family val="1"/>
      </rPr>
      <t>:3</t>
    </r>
    <r>
      <rPr>
        <sz val="12"/>
        <rFont val="標楷體"/>
        <family val="4"/>
        <charset val="136"/>
      </rPr>
      <t>戶。</t>
    </r>
    <phoneticPr fontId="5" type="noConversion"/>
  </si>
  <si>
    <t>C0A9C0</t>
  </si>
  <si>
    <r>
      <rPr>
        <sz val="12"/>
        <rFont val="標楷體"/>
        <family val="4"/>
        <charset val="136"/>
      </rPr>
      <t>天母</t>
    </r>
  </si>
  <si>
    <r>
      <rPr>
        <sz val="12"/>
        <rFont val="標楷體"/>
        <family val="4"/>
        <charset val="136"/>
      </rPr>
      <t>自強路</t>
    </r>
    <r>
      <rPr>
        <sz val="12"/>
        <rFont val="Times New Roman"/>
        <family val="1"/>
      </rPr>
      <t>307</t>
    </r>
    <r>
      <rPr>
        <sz val="12"/>
        <rFont val="標楷體"/>
        <family val="4"/>
        <charset val="136"/>
      </rPr>
      <t>巷</t>
    </r>
    <r>
      <rPr>
        <sz val="12"/>
        <rFont val="Times New Roman"/>
        <family val="1"/>
      </rPr>
      <t>16</t>
    </r>
    <r>
      <rPr>
        <sz val="12"/>
        <rFont val="標楷體"/>
        <family val="4"/>
        <charset val="136"/>
      </rPr>
      <t>號</t>
    </r>
    <phoneticPr fontId="5" type="noConversion"/>
  </si>
  <si>
    <r>
      <rPr>
        <sz val="12"/>
        <rFont val="標楷體"/>
        <family val="4"/>
        <charset val="136"/>
      </rPr>
      <t>淡水區</t>
    </r>
  </si>
  <si>
    <r>
      <rPr>
        <sz val="12"/>
        <rFont val="標楷體"/>
        <family val="4"/>
        <charset val="136"/>
      </rPr>
      <t>福德里</t>
    </r>
    <phoneticPr fontId="5" type="noConversion"/>
  </si>
  <si>
    <r>
      <rPr>
        <sz val="12"/>
        <rFont val="標楷體"/>
        <family val="4"/>
        <charset val="136"/>
      </rPr>
      <t>福德里山坡發生崩塌，造成上邊坡民宅地基裸露，下方土石侵入寺廟。人命損失</t>
    </r>
    <r>
      <rPr>
        <sz val="12"/>
        <rFont val="Times New Roman"/>
        <family val="1"/>
      </rPr>
      <t>:0</t>
    </r>
    <r>
      <rPr>
        <sz val="12"/>
        <rFont val="標楷體"/>
        <family val="4"/>
        <charset val="136"/>
      </rPr>
      <t>人。房舍受損</t>
    </r>
    <r>
      <rPr>
        <sz val="12"/>
        <rFont val="Times New Roman"/>
        <family val="1"/>
      </rPr>
      <t>:4</t>
    </r>
    <r>
      <rPr>
        <sz val="12"/>
        <rFont val="標楷體"/>
        <family val="4"/>
        <charset val="136"/>
      </rPr>
      <t>戶。</t>
    </r>
    <phoneticPr fontId="5" type="noConversion"/>
  </si>
  <si>
    <t>C1A970</t>
  </si>
  <si>
    <r>
      <rPr>
        <sz val="12"/>
        <rFont val="標楷體"/>
        <family val="4"/>
        <charset val="136"/>
      </rPr>
      <t>關渡</t>
    </r>
  </si>
  <si>
    <r>
      <rPr>
        <sz val="12"/>
        <rFont val="標楷體"/>
        <family val="4"/>
        <charset val="136"/>
      </rPr>
      <t>五股鄉觀音村</t>
    </r>
    <phoneticPr fontId="5" type="noConversion"/>
  </si>
  <si>
    <r>
      <rPr>
        <sz val="12"/>
        <rFont val="標楷體"/>
        <family val="4"/>
        <charset val="136"/>
      </rPr>
      <t>五股區</t>
    </r>
  </si>
  <si>
    <r>
      <rPr>
        <sz val="12"/>
        <rFont val="標楷體"/>
        <family val="4"/>
        <charset val="136"/>
      </rPr>
      <t>觀音里</t>
    </r>
  </si>
  <si>
    <r>
      <rPr>
        <sz val="12"/>
        <rFont val="標楷體"/>
        <family val="4"/>
        <charset val="136"/>
      </rPr>
      <t>中直路</t>
    </r>
    <r>
      <rPr>
        <sz val="12"/>
        <rFont val="Times New Roman"/>
        <family val="1"/>
      </rPr>
      <t>15</t>
    </r>
    <r>
      <rPr>
        <sz val="12"/>
        <rFont val="標楷體"/>
        <family val="4"/>
        <charset val="136"/>
      </rPr>
      <t>之</t>
    </r>
    <r>
      <rPr>
        <sz val="12"/>
        <rFont val="Times New Roman"/>
        <family val="1"/>
      </rPr>
      <t>3</t>
    </r>
    <r>
      <rPr>
        <sz val="12"/>
        <rFont val="標楷體"/>
        <family val="4"/>
        <charset val="136"/>
      </rPr>
      <t>號靜修堂前下邊坡發生崩塌，崩塌範圍寬約</t>
    </r>
    <r>
      <rPr>
        <sz val="12"/>
        <rFont val="Times New Roman"/>
        <family val="1"/>
      </rPr>
      <t>36</t>
    </r>
    <r>
      <rPr>
        <sz val="12"/>
        <rFont val="標楷體"/>
        <family val="4"/>
        <charset val="136"/>
      </rPr>
      <t>公尺、長約</t>
    </r>
    <r>
      <rPr>
        <sz val="12"/>
        <rFont val="Times New Roman"/>
        <family val="1"/>
      </rPr>
      <t>50</t>
    </r>
    <r>
      <rPr>
        <sz val="12"/>
        <rFont val="標楷體"/>
        <family val="4"/>
        <charset val="136"/>
      </rPr>
      <t>公尺、粗估約</t>
    </r>
    <r>
      <rPr>
        <sz val="12"/>
        <rFont val="Times New Roman"/>
        <family val="1"/>
      </rPr>
      <t>3500</t>
    </r>
    <r>
      <rPr>
        <sz val="12"/>
        <rFont val="標楷體"/>
        <family val="4"/>
        <charset val="136"/>
      </rPr>
      <t>立方公尺之土方滑落下方中直路</t>
    </r>
    <r>
      <rPr>
        <sz val="12"/>
        <rFont val="Times New Roman"/>
        <family val="1"/>
      </rPr>
      <t>15</t>
    </r>
    <r>
      <rPr>
        <sz val="12"/>
        <rFont val="標楷體"/>
        <family val="4"/>
        <charset val="136"/>
      </rPr>
      <t>號聯絡道路，造成路面毀損掩埋約</t>
    </r>
    <r>
      <rPr>
        <sz val="12"/>
        <rFont val="Times New Roman"/>
        <family val="1"/>
      </rPr>
      <t>150</t>
    </r>
    <r>
      <rPr>
        <sz val="12"/>
        <rFont val="標楷體"/>
        <family val="4"/>
        <charset val="136"/>
      </rPr>
      <t>公尺，滑落之土石並流入下方東西向快速道路工地及民宅等兩戶庭院道路。</t>
    </r>
    <phoneticPr fontId="5" type="noConversion"/>
  </si>
  <si>
    <t>C1A680</t>
    <phoneticPr fontId="5" type="noConversion"/>
  </si>
  <si>
    <r>
      <rPr>
        <sz val="12"/>
        <rFont val="標楷體"/>
        <family val="4"/>
        <charset val="136"/>
      </rPr>
      <t>五股</t>
    </r>
  </si>
  <si>
    <r>
      <rPr>
        <sz val="12"/>
        <rFont val="標楷體"/>
        <family val="4"/>
        <charset val="136"/>
      </rPr>
      <t>獅潭鄉新豐村</t>
    </r>
    <r>
      <rPr>
        <sz val="12"/>
        <rFont val="Times New Roman"/>
        <family val="1"/>
      </rPr>
      <t>(</t>
    </r>
    <r>
      <rPr>
        <sz val="12"/>
        <rFont val="標楷體"/>
        <family val="4"/>
        <charset val="136"/>
      </rPr>
      <t>八角坑溪</t>
    </r>
    <r>
      <rPr>
        <sz val="12"/>
        <rFont val="Times New Roman"/>
        <family val="1"/>
      </rPr>
      <t>)</t>
    </r>
    <phoneticPr fontId="5" type="noConversion"/>
  </si>
  <si>
    <r>
      <rPr>
        <sz val="12"/>
        <rFont val="標楷體"/>
        <family val="4"/>
        <charset val="136"/>
      </rPr>
      <t>獅潭鄉</t>
    </r>
    <phoneticPr fontId="5" type="noConversion"/>
  </si>
  <si>
    <r>
      <rPr>
        <sz val="12"/>
        <rFont val="標楷體"/>
        <family val="4"/>
        <charset val="136"/>
      </rPr>
      <t>新豐村</t>
    </r>
    <phoneticPr fontId="5" type="noConversion"/>
  </si>
  <si>
    <r>
      <t>苗縣</t>
    </r>
    <r>
      <rPr>
        <sz val="12"/>
        <rFont val="Times New Roman"/>
        <family val="1"/>
      </rPr>
      <t>DF018</t>
    </r>
  </si>
  <si>
    <r>
      <rPr>
        <sz val="12"/>
        <rFont val="標楷體"/>
        <family val="4"/>
        <charset val="136"/>
      </rPr>
      <t>韋帕颱風</t>
    </r>
    <phoneticPr fontId="5" type="noConversion"/>
  </si>
  <si>
    <r>
      <rPr>
        <sz val="12"/>
        <rFont val="標楷體"/>
        <family val="4"/>
        <charset val="136"/>
      </rPr>
      <t>八角坑產業道路與野溪會合處遭受土石淤埋。採礦設置之施工便道遭土石淤埋。八角坑野溪支流上游土石堵塞河道。房舍受損</t>
    </r>
    <r>
      <rPr>
        <sz val="12"/>
        <rFont val="Times New Roman"/>
        <family val="1"/>
      </rPr>
      <t>:0</t>
    </r>
    <r>
      <rPr>
        <sz val="12"/>
        <rFont val="標楷體"/>
        <family val="4"/>
        <charset val="136"/>
      </rPr>
      <t>棟。</t>
    </r>
    <r>
      <rPr>
        <sz val="12"/>
        <rFont val="Times New Roman"/>
        <family val="1"/>
      </rPr>
      <t>1</t>
    </r>
    <r>
      <rPr>
        <sz val="12"/>
        <rFont val="標楷體"/>
        <family val="4"/>
        <charset val="136"/>
      </rPr>
      <t>名工人清除土石時遭暴漲溪水沖走死亡。</t>
    </r>
    <phoneticPr fontId="5" type="noConversion"/>
  </si>
  <si>
    <r>
      <rPr>
        <sz val="12"/>
        <rFont val="標楷體"/>
        <family val="4"/>
        <charset val="136"/>
      </rPr>
      <t>梅花</t>
    </r>
  </si>
  <si>
    <r>
      <rPr>
        <sz val="12"/>
        <rFont val="標楷體"/>
        <family val="4"/>
        <charset val="136"/>
      </rPr>
      <t>林務局第</t>
    </r>
    <r>
      <rPr>
        <sz val="12"/>
        <rFont val="Times New Roman"/>
        <family val="1"/>
      </rPr>
      <t>4</t>
    </r>
    <r>
      <rPr>
        <sz val="12"/>
        <rFont val="標楷體"/>
        <family val="4"/>
        <charset val="136"/>
      </rPr>
      <t>林班地</t>
    </r>
    <phoneticPr fontId="5" type="noConversion"/>
  </si>
  <si>
    <r>
      <rPr>
        <sz val="12"/>
        <rFont val="標楷體"/>
        <family val="4"/>
        <charset val="136"/>
      </rPr>
      <t>三義鄉</t>
    </r>
    <phoneticPr fontId="5" type="noConversion"/>
  </si>
  <si>
    <r>
      <rPr>
        <sz val="12"/>
        <rFont val="標楷體"/>
        <family val="4"/>
        <charset val="136"/>
      </rPr>
      <t>鯉魚潭村</t>
    </r>
    <phoneticPr fontId="5" type="noConversion"/>
  </si>
  <si>
    <r>
      <rPr>
        <sz val="12"/>
        <rFont val="標楷體"/>
        <family val="4"/>
        <charset val="136"/>
      </rPr>
      <t>第</t>
    </r>
    <r>
      <rPr>
        <sz val="12"/>
        <rFont val="Times New Roman"/>
        <family val="1"/>
      </rPr>
      <t>4</t>
    </r>
    <r>
      <rPr>
        <sz val="12"/>
        <rFont val="標楷體"/>
        <family val="4"/>
        <charset val="136"/>
      </rPr>
      <t>林班地發生地層滑動，大量崩塌土石堵塞，造成洪水溢堤漫淹至左岸旁之農田與民宅。道路毀損</t>
    </r>
    <r>
      <rPr>
        <sz val="12"/>
        <rFont val="Times New Roman"/>
        <family val="1"/>
      </rPr>
      <t>:180m</t>
    </r>
    <r>
      <rPr>
        <sz val="12"/>
        <rFont val="標楷體"/>
        <family val="4"/>
        <charset val="136"/>
      </rPr>
      <t>，農田流失</t>
    </r>
    <r>
      <rPr>
        <sz val="12"/>
        <rFont val="Times New Roman"/>
        <family val="1"/>
      </rPr>
      <t>:</t>
    </r>
    <r>
      <rPr>
        <sz val="12"/>
        <rFont val="標楷體"/>
        <family val="4"/>
        <charset val="136"/>
      </rPr>
      <t>約</t>
    </r>
    <r>
      <rPr>
        <sz val="12"/>
        <rFont val="Times New Roman"/>
        <family val="1"/>
      </rPr>
      <t>0.42</t>
    </r>
    <r>
      <rPr>
        <sz val="12"/>
        <rFont val="標楷體"/>
        <family val="4"/>
        <charset val="136"/>
      </rPr>
      <t>公頃。</t>
    </r>
    <phoneticPr fontId="5" type="noConversion"/>
  </si>
  <si>
    <t>C0E530</t>
  </si>
  <si>
    <r>
      <rPr>
        <sz val="12"/>
        <rFont val="標楷體"/>
        <family val="4"/>
        <charset val="136"/>
      </rPr>
      <t>三義</t>
    </r>
  </si>
  <si>
    <r>
      <rPr>
        <sz val="12"/>
        <rFont val="標楷體"/>
        <family val="4"/>
        <charset val="136"/>
      </rPr>
      <t>復興鄉華陵村</t>
    </r>
    <phoneticPr fontId="5" type="noConversion"/>
  </si>
  <si>
    <r>
      <rPr>
        <sz val="12"/>
        <rFont val="標楷體"/>
        <family val="4"/>
        <charset val="136"/>
      </rPr>
      <t>桃園市</t>
    </r>
    <phoneticPr fontId="5" type="noConversion"/>
  </si>
  <si>
    <r>
      <rPr>
        <sz val="12"/>
        <rFont val="標楷體"/>
        <family val="4"/>
        <charset val="136"/>
      </rPr>
      <t>復興區</t>
    </r>
    <phoneticPr fontId="5" type="noConversion"/>
  </si>
  <si>
    <r>
      <rPr>
        <sz val="12"/>
        <rFont val="標楷體"/>
        <family val="4"/>
        <charset val="136"/>
      </rPr>
      <t>華陵里</t>
    </r>
  </si>
  <si>
    <r>
      <rPr>
        <sz val="12"/>
        <rFont val="標楷體"/>
        <family val="4"/>
        <charset val="136"/>
      </rPr>
      <t>桃</t>
    </r>
    <r>
      <rPr>
        <sz val="12"/>
        <rFont val="Times New Roman"/>
        <family val="1"/>
      </rPr>
      <t>113</t>
    </r>
    <r>
      <rPr>
        <sz val="12"/>
        <rFont val="標楷體"/>
        <family val="4"/>
        <charset val="136"/>
      </rPr>
      <t>縣道</t>
    </r>
    <r>
      <rPr>
        <sz val="12"/>
        <rFont val="Times New Roman"/>
        <family val="1"/>
      </rPr>
      <t>0k+880</t>
    </r>
    <r>
      <rPr>
        <sz val="12"/>
        <rFont val="標楷體"/>
        <family val="4"/>
        <charset val="136"/>
      </rPr>
      <t>處道路上方邊坡發生崩塌災害，崩塌下移隻土石造成下方道路堵塞中斷、路面龜裂、排水設施及檔土損毀。</t>
    </r>
    <phoneticPr fontId="5" type="noConversion"/>
  </si>
  <si>
    <t>21C070</t>
  </si>
  <si>
    <r>
      <rPr>
        <sz val="12"/>
        <rFont val="標楷體"/>
        <family val="4"/>
        <charset val="136"/>
      </rPr>
      <t>巴陵</t>
    </r>
  </si>
  <si>
    <r>
      <rPr>
        <sz val="12"/>
        <rFont val="標楷體"/>
        <family val="4"/>
        <charset val="136"/>
      </rPr>
      <t>復興鄉三光村</t>
    </r>
    <phoneticPr fontId="5" type="noConversion"/>
  </si>
  <si>
    <r>
      <rPr>
        <sz val="12"/>
        <rFont val="標楷體"/>
        <family val="4"/>
        <charset val="136"/>
      </rPr>
      <t>三光里</t>
    </r>
  </si>
  <si>
    <r>
      <rPr>
        <sz val="12"/>
        <rFont val="標楷體"/>
        <family val="4"/>
        <charset val="136"/>
      </rPr>
      <t>復華道路</t>
    </r>
    <r>
      <rPr>
        <sz val="12"/>
        <rFont val="Times New Roman"/>
        <family val="1"/>
      </rPr>
      <t>4k+250</t>
    </r>
    <r>
      <rPr>
        <sz val="12"/>
        <rFont val="標楷體"/>
        <family val="4"/>
        <charset val="136"/>
      </rPr>
      <t>處之土方滑落，造成路面毀損約</t>
    </r>
    <r>
      <rPr>
        <sz val="12"/>
        <rFont val="Times New Roman"/>
        <family val="1"/>
      </rPr>
      <t>35</t>
    </r>
    <r>
      <rPr>
        <sz val="12"/>
        <rFont val="標楷體"/>
        <family val="4"/>
        <charset val="136"/>
      </rPr>
      <t>公尺，交通中斷。崩塌地旁之復華道路因天雨造成路基流失約</t>
    </r>
    <r>
      <rPr>
        <sz val="12"/>
        <rFont val="Times New Roman"/>
        <family val="1"/>
      </rPr>
      <t>71</t>
    </r>
    <r>
      <rPr>
        <sz val="12"/>
        <rFont val="標楷體"/>
        <family val="4"/>
        <charset val="136"/>
      </rPr>
      <t>公尺造成部分地基懸空。水電設施</t>
    </r>
    <r>
      <rPr>
        <sz val="12"/>
        <rFont val="Times New Roman"/>
        <family val="1"/>
      </rPr>
      <t>:</t>
    </r>
    <r>
      <rPr>
        <sz val="12"/>
        <rFont val="標楷體"/>
        <family val="4"/>
        <charset val="136"/>
      </rPr>
      <t>電線桿毀損</t>
    </r>
    <r>
      <rPr>
        <sz val="12"/>
        <rFont val="Times New Roman"/>
        <family val="1"/>
      </rPr>
      <t>3</t>
    </r>
    <r>
      <rPr>
        <sz val="12"/>
        <rFont val="標楷體"/>
        <family val="4"/>
        <charset val="136"/>
      </rPr>
      <t>支。</t>
    </r>
    <phoneticPr fontId="5" type="noConversion"/>
  </si>
  <si>
    <r>
      <rPr>
        <sz val="12"/>
        <rFont val="標楷體"/>
        <family val="4"/>
        <charset val="136"/>
      </rPr>
      <t>甲仙鄉東安村</t>
    </r>
    <r>
      <rPr>
        <sz val="12"/>
        <rFont val="Times New Roman"/>
        <family val="1"/>
      </rPr>
      <t>(</t>
    </r>
    <r>
      <rPr>
        <sz val="12"/>
        <rFont val="標楷體"/>
        <family val="4"/>
        <charset val="136"/>
      </rPr>
      <t>鹽桑坑溪上游支流</t>
    </r>
    <r>
      <rPr>
        <sz val="12"/>
        <rFont val="Times New Roman"/>
        <family val="1"/>
      </rPr>
      <t>)</t>
    </r>
    <phoneticPr fontId="5" type="noConversion"/>
  </si>
  <si>
    <r>
      <rPr>
        <sz val="12"/>
        <rFont val="標楷體"/>
        <family val="4"/>
        <charset val="136"/>
      </rPr>
      <t>甲仙區</t>
    </r>
  </si>
  <si>
    <r>
      <rPr>
        <sz val="12"/>
        <rFont val="標楷體"/>
        <family val="4"/>
        <charset val="136"/>
      </rPr>
      <t>東安里</t>
    </r>
  </si>
  <si>
    <r>
      <t>高市</t>
    </r>
    <r>
      <rPr>
        <sz val="12"/>
        <rFont val="Times New Roman"/>
        <family val="1"/>
      </rPr>
      <t>DF018</t>
    </r>
  </si>
  <si>
    <r>
      <rPr>
        <sz val="12"/>
        <rFont val="標楷體"/>
        <family val="4"/>
        <charset val="136"/>
      </rPr>
      <t>聖帕颱風</t>
    </r>
    <phoneticPr fontId="5" type="noConversion"/>
  </si>
  <si>
    <r>
      <rPr>
        <sz val="12"/>
        <rFont val="標楷體"/>
        <family val="4"/>
        <charset val="136"/>
      </rPr>
      <t>白雲巷</t>
    </r>
    <r>
      <rPr>
        <sz val="12"/>
        <rFont val="Times New Roman"/>
        <family val="1"/>
      </rPr>
      <t>20-1</t>
    </r>
    <r>
      <rPr>
        <sz val="12"/>
        <rFont val="標楷體"/>
        <family val="4"/>
        <charset val="136"/>
      </rPr>
      <t>、</t>
    </r>
    <r>
      <rPr>
        <sz val="12"/>
        <rFont val="Times New Roman"/>
        <family val="1"/>
      </rPr>
      <t>20-2</t>
    </r>
    <r>
      <rPr>
        <sz val="12"/>
        <rFont val="標楷體"/>
        <family val="4"/>
        <charset val="136"/>
      </rPr>
      <t>號</t>
    </r>
    <r>
      <rPr>
        <sz val="12"/>
        <rFont val="Times New Roman"/>
        <family val="1"/>
      </rPr>
      <t>3</t>
    </r>
    <r>
      <rPr>
        <sz val="12"/>
        <rFont val="標楷體"/>
        <family val="4"/>
        <charset val="136"/>
      </rPr>
      <t>棟宅遭土石淤埋全毀。房舍受損</t>
    </r>
    <r>
      <rPr>
        <sz val="12"/>
        <rFont val="Times New Roman"/>
        <family val="1"/>
      </rPr>
      <t>:3</t>
    </r>
    <r>
      <rPr>
        <sz val="12"/>
        <rFont val="標楷體"/>
        <family val="4"/>
        <charset val="136"/>
      </rPr>
      <t>棟。</t>
    </r>
    <phoneticPr fontId="5" type="noConversion"/>
  </si>
  <si>
    <r>
      <rPr>
        <sz val="12"/>
        <rFont val="標楷體"/>
        <family val="4"/>
        <charset val="136"/>
      </rPr>
      <t>甲仙</t>
    </r>
    <phoneticPr fontId="5" type="noConversion"/>
  </si>
  <si>
    <r>
      <rPr>
        <sz val="12"/>
        <rFont val="標楷體"/>
        <family val="4"/>
        <charset val="136"/>
      </rPr>
      <t>六龜鄉寶來村</t>
    </r>
    <r>
      <rPr>
        <sz val="12"/>
        <rFont val="Times New Roman"/>
        <family val="1"/>
      </rPr>
      <t>(</t>
    </r>
    <r>
      <rPr>
        <sz val="12"/>
        <rFont val="標楷體"/>
        <family val="4"/>
        <charset val="136"/>
      </rPr>
      <t>新寶來溫泉渡假村</t>
    </r>
    <r>
      <rPr>
        <sz val="12"/>
        <rFont val="Times New Roman"/>
        <family val="1"/>
      </rPr>
      <t>)</t>
    </r>
    <phoneticPr fontId="5" type="noConversion"/>
  </si>
  <si>
    <r>
      <rPr>
        <sz val="12"/>
        <rFont val="標楷體"/>
        <family val="4"/>
        <charset val="136"/>
      </rPr>
      <t>寶來里</t>
    </r>
  </si>
  <si>
    <r>
      <t>高市</t>
    </r>
    <r>
      <rPr>
        <sz val="12"/>
        <rFont val="Times New Roman"/>
        <family val="1"/>
      </rPr>
      <t>DF047</t>
    </r>
  </si>
  <si>
    <r>
      <rPr>
        <sz val="12"/>
        <rFont val="標楷體"/>
        <family val="4"/>
        <charset val="136"/>
      </rPr>
      <t>新寶來溫泉度假村</t>
    </r>
    <r>
      <rPr>
        <sz val="12"/>
        <rFont val="Times New Roman"/>
        <family val="1"/>
      </rPr>
      <t>12</t>
    </r>
    <r>
      <rPr>
        <sz val="12"/>
        <rFont val="標楷體"/>
        <family val="4"/>
        <charset val="136"/>
      </rPr>
      <t>棟渡假小木屋遭洪水沖毀流失；兩棟建物</t>
    </r>
    <r>
      <rPr>
        <sz val="12"/>
        <rFont val="Times New Roman"/>
        <family val="1"/>
      </rPr>
      <t>(</t>
    </r>
    <r>
      <rPr>
        <sz val="12"/>
        <rFont val="標楷體"/>
        <family val="4"/>
        <charset val="136"/>
      </rPr>
      <t>迎賓樓及茶藝館</t>
    </r>
    <r>
      <rPr>
        <sz val="12"/>
        <rFont val="Times New Roman"/>
        <family val="1"/>
      </rPr>
      <t>)</t>
    </r>
    <r>
      <rPr>
        <sz val="12"/>
        <rFont val="標楷體"/>
        <family val="4"/>
        <charset val="136"/>
      </rPr>
      <t>部分地基流失。河道左側護岸遭洪水沖毀流失約</t>
    </r>
    <r>
      <rPr>
        <sz val="12"/>
        <rFont val="Times New Roman"/>
        <family val="1"/>
      </rPr>
      <t>200</t>
    </r>
    <r>
      <rPr>
        <sz val="12"/>
        <rFont val="標楷體"/>
        <family val="4"/>
        <charset val="136"/>
      </rPr>
      <t>公尺。人命損失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:14</t>
    </r>
    <r>
      <rPr>
        <sz val="12"/>
        <rFont val="標楷體"/>
        <family val="4"/>
        <charset val="136"/>
      </rPr>
      <t>棟。</t>
    </r>
    <phoneticPr fontId="5" type="noConversion"/>
  </si>
  <si>
    <r>
      <rPr>
        <sz val="12"/>
        <rFont val="標楷體"/>
        <family val="4"/>
        <charset val="136"/>
      </rPr>
      <t>新發</t>
    </r>
  </si>
  <si>
    <r>
      <rPr>
        <sz val="12"/>
        <rFont val="標楷體"/>
        <family val="4"/>
        <charset val="136"/>
      </rPr>
      <t>中寮鄉龍岩村</t>
    </r>
    <r>
      <rPr>
        <sz val="12"/>
        <rFont val="Times New Roman"/>
        <family val="1"/>
      </rPr>
      <t>(</t>
    </r>
    <r>
      <rPr>
        <sz val="12"/>
        <rFont val="標楷體"/>
        <family val="4"/>
        <charset val="136"/>
      </rPr>
      <t>小溪旁產業道路</t>
    </r>
    <r>
      <rPr>
        <sz val="12"/>
        <rFont val="Times New Roman"/>
        <family val="1"/>
      </rPr>
      <t>)</t>
    </r>
    <phoneticPr fontId="5" type="noConversion"/>
  </si>
  <si>
    <r>
      <rPr>
        <sz val="12"/>
        <rFont val="標楷體"/>
        <family val="4"/>
        <charset val="136"/>
      </rPr>
      <t>中寮鄉</t>
    </r>
    <phoneticPr fontId="5" type="noConversion"/>
  </si>
  <si>
    <r>
      <rPr>
        <sz val="12"/>
        <rFont val="標楷體"/>
        <family val="4"/>
        <charset val="136"/>
      </rPr>
      <t>龍岩村</t>
    </r>
    <phoneticPr fontId="5" type="noConversion"/>
  </si>
  <si>
    <r>
      <rPr>
        <sz val="12"/>
        <rFont val="標楷體"/>
        <family val="4"/>
        <charset val="136"/>
      </rPr>
      <t>產業道路道路損毀約</t>
    </r>
    <r>
      <rPr>
        <sz val="12"/>
        <rFont val="Times New Roman"/>
        <family val="1"/>
      </rPr>
      <t>60</t>
    </r>
    <r>
      <rPr>
        <sz val="12"/>
        <rFont val="標楷體"/>
        <family val="4"/>
        <charset val="136"/>
      </rPr>
      <t>公尺。果園損失面積約</t>
    </r>
    <r>
      <rPr>
        <sz val="12"/>
        <rFont val="Times New Roman"/>
        <family val="1"/>
      </rPr>
      <t>0.4</t>
    </r>
    <r>
      <rPr>
        <sz val="12"/>
        <rFont val="標楷體"/>
        <family val="4"/>
        <charset val="136"/>
      </rPr>
      <t>公頃。擋土牆毀損約</t>
    </r>
    <r>
      <rPr>
        <sz val="12"/>
        <rFont val="Times New Roman"/>
        <family val="1"/>
      </rPr>
      <t>60</t>
    </r>
    <r>
      <rPr>
        <sz val="12"/>
        <rFont val="標楷體"/>
        <family val="4"/>
        <charset val="136"/>
      </rPr>
      <t>公尺。砌石護岸毀損約</t>
    </r>
    <r>
      <rPr>
        <sz val="12"/>
        <rFont val="Times New Roman"/>
        <family val="1"/>
      </rPr>
      <t>60</t>
    </r>
    <r>
      <rPr>
        <sz val="12"/>
        <rFont val="標楷體"/>
        <family val="4"/>
        <charset val="136"/>
      </rPr>
      <t>公尺。</t>
    </r>
    <phoneticPr fontId="5" type="noConversion"/>
  </si>
  <si>
    <t>C1H940</t>
  </si>
  <si>
    <r>
      <rPr>
        <sz val="12"/>
        <rFont val="標楷體"/>
        <family val="4"/>
        <charset val="136"/>
      </rPr>
      <t>雙冬</t>
    </r>
    <phoneticPr fontId="5" type="noConversion"/>
  </si>
  <si>
    <r>
      <rPr>
        <sz val="12"/>
        <rFont val="標楷體"/>
        <family val="4"/>
        <charset val="136"/>
      </rPr>
      <t>茄苳仔</t>
    </r>
    <r>
      <rPr>
        <sz val="12"/>
        <rFont val="Times New Roman"/>
        <family val="1"/>
      </rPr>
      <t>11</t>
    </r>
    <r>
      <rPr>
        <sz val="12"/>
        <rFont val="標楷體"/>
        <family val="4"/>
        <charset val="136"/>
      </rPr>
      <t>鄰</t>
    </r>
    <r>
      <rPr>
        <sz val="12"/>
        <rFont val="Times New Roman"/>
        <family val="1"/>
      </rPr>
      <t>10</t>
    </r>
    <r>
      <rPr>
        <sz val="12"/>
        <rFont val="標楷體"/>
        <family val="4"/>
        <charset val="136"/>
      </rPr>
      <t>之</t>
    </r>
    <r>
      <rPr>
        <sz val="12"/>
        <rFont val="Times New Roman"/>
        <family val="1"/>
      </rPr>
      <t>1</t>
    </r>
    <r>
      <rPr>
        <sz val="12"/>
        <rFont val="標楷體"/>
        <family val="4"/>
        <charset val="136"/>
      </rPr>
      <t>號後方山坡地</t>
    </r>
    <phoneticPr fontId="5" type="noConversion"/>
  </si>
  <si>
    <r>
      <rPr>
        <sz val="12"/>
        <rFont val="標楷體"/>
        <family val="4"/>
        <charset val="136"/>
      </rPr>
      <t>嘉義縣</t>
    </r>
    <phoneticPr fontId="5" type="noConversion"/>
  </si>
  <si>
    <r>
      <rPr>
        <sz val="12"/>
        <rFont val="標楷體"/>
        <family val="4"/>
        <charset val="136"/>
      </rPr>
      <t>竹崎鄉</t>
    </r>
    <phoneticPr fontId="5" type="noConversion"/>
  </si>
  <si>
    <r>
      <rPr>
        <sz val="12"/>
        <rFont val="標楷體"/>
        <family val="4"/>
        <charset val="136"/>
      </rPr>
      <t>光華村</t>
    </r>
    <phoneticPr fontId="5" type="noConversion"/>
  </si>
  <si>
    <r>
      <rPr>
        <sz val="12"/>
        <rFont val="標楷體"/>
        <family val="4"/>
        <charset val="136"/>
      </rPr>
      <t>此次地層滑動土石未直接衝向下方之</t>
    </r>
    <r>
      <rPr>
        <sz val="12"/>
        <rFont val="Times New Roman"/>
        <family val="1"/>
      </rPr>
      <t>11</t>
    </r>
    <r>
      <rPr>
        <sz val="12"/>
        <rFont val="標楷體"/>
        <family val="4"/>
        <charset val="136"/>
      </rPr>
      <t>鄰民宅，而是左偏向濁水溪橋上游河道，以致未造成災害。人命損失</t>
    </r>
    <r>
      <rPr>
        <sz val="12"/>
        <rFont val="Times New Roman"/>
        <family val="1"/>
      </rPr>
      <t>:0</t>
    </r>
    <r>
      <rPr>
        <sz val="12"/>
        <rFont val="標楷體"/>
        <family val="4"/>
        <charset val="136"/>
      </rPr>
      <t>人。房舍受損</t>
    </r>
    <r>
      <rPr>
        <sz val="12"/>
        <rFont val="Times New Roman"/>
        <family val="1"/>
      </rPr>
      <t>:0</t>
    </r>
    <r>
      <rPr>
        <sz val="12"/>
        <rFont val="標楷體"/>
        <family val="4"/>
        <charset val="136"/>
      </rPr>
      <t>棟。</t>
    </r>
    <phoneticPr fontId="5" type="noConversion"/>
  </si>
  <si>
    <t>C1M610</t>
  </si>
  <si>
    <r>
      <rPr>
        <sz val="12"/>
        <rFont val="標楷體"/>
        <family val="4"/>
        <charset val="136"/>
      </rPr>
      <t>石磐龍</t>
    </r>
  </si>
  <si>
    <r>
      <rPr>
        <sz val="12"/>
        <rFont val="標楷體"/>
        <family val="4"/>
        <charset val="136"/>
      </rPr>
      <t>嘉</t>
    </r>
    <r>
      <rPr>
        <sz val="12"/>
        <rFont val="Times New Roman"/>
        <family val="1"/>
      </rPr>
      <t>135</t>
    </r>
    <r>
      <rPr>
        <sz val="12"/>
        <rFont val="標楷體"/>
        <family val="4"/>
        <charset val="136"/>
      </rPr>
      <t>鄉道</t>
    </r>
    <r>
      <rPr>
        <sz val="12"/>
        <rFont val="Times New Roman"/>
        <family val="1"/>
      </rPr>
      <t>9.3k</t>
    </r>
    <r>
      <rPr>
        <sz val="12"/>
        <rFont val="標楷體"/>
        <family val="4"/>
        <charset val="136"/>
      </rPr>
      <t>處</t>
    </r>
    <phoneticPr fontId="5" type="noConversion"/>
  </si>
  <si>
    <r>
      <rPr>
        <sz val="12"/>
        <rFont val="標楷體"/>
        <family val="4"/>
        <charset val="136"/>
      </rPr>
      <t>中埔鄉</t>
    </r>
  </si>
  <si>
    <r>
      <rPr>
        <sz val="12"/>
        <rFont val="標楷體"/>
        <family val="4"/>
        <charset val="136"/>
      </rPr>
      <t>石弄村</t>
    </r>
    <phoneticPr fontId="5" type="noConversion"/>
  </si>
  <si>
    <r>
      <rPr>
        <sz val="12"/>
        <rFont val="標楷體"/>
        <family val="4"/>
        <charset val="136"/>
      </rPr>
      <t>路基與道路邊坡崩塌，範圍寬約</t>
    </r>
    <r>
      <rPr>
        <sz val="12"/>
        <rFont val="Times New Roman"/>
        <family val="1"/>
      </rPr>
      <t>120m</t>
    </r>
    <r>
      <rPr>
        <sz val="12"/>
        <rFont val="標楷體"/>
        <family val="4"/>
        <charset val="136"/>
      </rPr>
      <t>，長約</t>
    </r>
    <r>
      <rPr>
        <sz val="12"/>
        <rFont val="Times New Roman"/>
        <family val="1"/>
      </rPr>
      <t>20m</t>
    </r>
    <r>
      <rPr>
        <sz val="12"/>
        <rFont val="標楷體"/>
        <family val="4"/>
        <charset val="136"/>
      </rPr>
      <t>，路面毀損約</t>
    </r>
    <r>
      <rPr>
        <sz val="12"/>
        <rFont val="Times New Roman"/>
        <family val="1"/>
      </rPr>
      <t>150m</t>
    </r>
    <r>
      <rPr>
        <sz val="12"/>
        <rFont val="標楷體"/>
        <family val="4"/>
        <charset val="136"/>
      </rPr>
      <t>，交通中斷。人命損失</t>
    </r>
    <r>
      <rPr>
        <sz val="12"/>
        <rFont val="Times New Roman"/>
        <family val="1"/>
      </rPr>
      <t>:0</t>
    </r>
    <r>
      <rPr>
        <sz val="12"/>
        <rFont val="標楷體"/>
        <family val="4"/>
        <charset val="136"/>
      </rPr>
      <t>人。道路毀損</t>
    </r>
    <r>
      <rPr>
        <sz val="12"/>
        <rFont val="Times New Roman"/>
        <family val="1"/>
      </rPr>
      <t>:150m</t>
    </r>
    <r>
      <rPr>
        <sz val="12"/>
        <rFont val="標楷體"/>
        <family val="4"/>
        <charset val="136"/>
      </rPr>
      <t>。</t>
    </r>
    <phoneticPr fontId="5" type="noConversion"/>
  </si>
  <si>
    <t>C1M600</t>
  </si>
  <si>
    <r>
      <rPr>
        <sz val="12"/>
        <rFont val="標楷體"/>
        <family val="4"/>
        <charset val="136"/>
      </rPr>
      <t>頭凍</t>
    </r>
    <phoneticPr fontId="5" type="noConversion"/>
  </si>
  <si>
    <r>
      <rPr>
        <sz val="12"/>
        <rFont val="標楷體"/>
        <family val="4"/>
        <charset val="136"/>
      </rPr>
      <t>洪水</t>
    </r>
    <phoneticPr fontId="5" type="noConversion"/>
  </si>
  <si>
    <r>
      <rPr>
        <sz val="12"/>
        <rFont val="標楷體"/>
        <family val="4"/>
        <charset val="136"/>
      </rPr>
      <t>苗栗市水源里</t>
    </r>
    <r>
      <rPr>
        <sz val="12"/>
        <rFont val="Times New Roman"/>
        <family val="1"/>
      </rPr>
      <t>(</t>
    </r>
    <r>
      <rPr>
        <sz val="12"/>
        <rFont val="標楷體"/>
        <family val="4"/>
        <charset val="136"/>
      </rPr>
      <t>龜山便橋</t>
    </r>
    <r>
      <rPr>
        <sz val="12"/>
        <rFont val="Times New Roman"/>
        <family val="1"/>
      </rPr>
      <t>)</t>
    </r>
  </si>
  <si>
    <r>
      <rPr>
        <sz val="12"/>
        <rFont val="標楷體"/>
        <family val="4"/>
        <charset val="136"/>
      </rPr>
      <t>水源里</t>
    </r>
    <phoneticPr fontId="5" type="noConversion"/>
  </si>
  <si>
    <r>
      <rPr>
        <sz val="12"/>
        <rFont val="標楷體"/>
        <family val="4"/>
        <charset val="136"/>
      </rPr>
      <t>柯羅莎颱風</t>
    </r>
  </si>
  <si>
    <r>
      <rPr>
        <sz val="12"/>
        <rFont val="標楷體"/>
        <family val="4"/>
        <charset val="136"/>
      </rPr>
      <t>龜山便橋斷裂約</t>
    </r>
    <r>
      <rPr>
        <sz val="12"/>
        <rFont val="Times New Roman"/>
        <family val="1"/>
      </rPr>
      <t xml:space="preserve"> 32</t>
    </r>
    <r>
      <rPr>
        <sz val="12"/>
        <rFont val="標楷體"/>
        <family val="4"/>
        <charset val="136"/>
      </rPr>
      <t>公尺。</t>
    </r>
    <r>
      <rPr>
        <sz val="12"/>
        <rFont val="Times New Roman"/>
        <family val="1"/>
      </rPr>
      <t xml:space="preserve"> </t>
    </r>
    <r>
      <rPr>
        <sz val="12"/>
        <rFont val="標楷體"/>
        <family val="4"/>
        <charset val="136"/>
      </rPr>
      <t>電線桿損毀</t>
    </r>
    <r>
      <rPr>
        <sz val="12"/>
        <rFont val="Times New Roman"/>
        <family val="1"/>
      </rPr>
      <t xml:space="preserve"> 3</t>
    </r>
    <r>
      <rPr>
        <sz val="12"/>
        <rFont val="標楷體"/>
        <family val="4"/>
        <charset val="136"/>
      </rPr>
      <t>根。</t>
    </r>
    <r>
      <rPr>
        <sz val="12"/>
        <rFont val="Times New Roman"/>
        <family val="1"/>
      </rPr>
      <t xml:space="preserve"> </t>
    </r>
    <phoneticPr fontId="5" type="noConversion"/>
  </si>
  <si>
    <t>C1E570</t>
  </si>
  <si>
    <r>
      <rPr>
        <sz val="12"/>
        <rFont val="標楷體"/>
        <family val="4"/>
        <charset val="136"/>
      </rPr>
      <t>公館</t>
    </r>
  </si>
  <si>
    <r>
      <rPr>
        <sz val="12"/>
        <rFont val="標楷體"/>
        <family val="4"/>
        <charset val="136"/>
      </rPr>
      <t>太平市頭汴里</t>
    </r>
  </si>
  <si>
    <r>
      <rPr>
        <sz val="12"/>
        <rFont val="標楷體"/>
        <family val="4"/>
        <charset val="136"/>
      </rPr>
      <t>太平區</t>
    </r>
    <phoneticPr fontId="5" type="noConversion"/>
  </si>
  <si>
    <r>
      <rPr>
        <sz val="12"/>
        <rFont val="標楷體"/>
        <family val="4"/>
        <charset val="136"/>
      </rPr>
      <t>頭汴里</t>
    </r>
    <phoneticPr fontId="5" type="noConversion"/>
  </si>
  <si>
    <r>
      <rPr>
        <sz val="12"/>
        <rFont val="標楷體"/>
        <family val="4"/>
        <charset val="136"/>
      </rPr>
      <t>太平市頭汴里北田路中坑巷</t>
    </r>
    <r>
      <rPr>
        <sz val="12"/>
        <rFont val="Times New Roman"/>
        <family val="1"/>
      </rPr>
      <t xml:space="preserve"> 15</t>
    </r>
    <r>
      <rPr>
        <sz val="12"/>
        <rFont val="標楷體"/>
        <family val="4"/>
        <charset val="136"/>
      </rPr>
      <t>號旁</t>
    </r>
    <r>
      <rPr>
        <sz val="12"/>
        <rFont val="Times New Roman"/>
        <family val="1"/>
      </rPr>
      <t xml:space="preserve"> </t>
    </r>
    <r>
      <rPr>
        <sz val="12"/>
        <rFont val="標楷體"/>
        <family val="4"/>
        <charset val="136"/>
      </rPr>
      <t>檳榔園發生邊坡崩塌，造成北田路路基塌陷毀損約</t>
    </r>
    <r>
      <rPr>
        <sz val="12"/>
        <rFont val="Times New Roman"/>
        <family val="1"/>
      </rPr>
      <t xml:space="preserve"> 30</t>
    </r>
    <r>
      <rPr>
        <sz val="12"/>
        <rFont val="標楷體"/>
        <family val="4"/>
        <charset val="136"/>
      </rPr>
      <t>公尺，交通中斷。</t>
    </r>
    <phoneticPr fontId="5" type="noConversion"/>
  </si>
  <si>
    <t>C1F9B0</t>
  </si>
  <si>
    <r>
      <rPr>
        <sz val="12"/>
        <rFont val="標楷體"/>
        <family val="4"/>
        <charset val="136"/>
      </rPr>
      <t>桐林</t>
    </r>
  </si>
  <si>
    <r>
      <rPr>
        <sz val="12"/>
        <rFont val="標楷體"/>
        <family val="4"/>
        <charset val="136"/>
      </rPr>
      <t>緞繻村</t>
    </r>
    <r>
      <rPr>
        <sz val="12"/>
        <rFont val="Times New Roman"/>
        <family val="1"/>
      </rPr>
      <t xml:space="preserve"> 1</t>
    </r>
    <r>
      <rPr>
        <sz val="12"/>
        <rFont val="標楷體"/>
        <family val="4"/>
        <charset val="136"/>
      </rPr>
      <t>鄰雙溪</t>
    </r>
    <r>
      <rPr>
        <sz val="12"/>
        <rFont val="Times New Roman"/>
        <family val="1"/>
      </rPr>
      <t xml:space="preserve"> 4</t>
    </r>
    <r>
      <rPr>
        <sz val="12"/>
        <rFont val="標楷體"/>
        <family val="4"/>
        <charset val="136"/>
      </rPr>
      <t>號、</t>
    </r>
    <r>
      <rPr>
        <sz val="12"/>
        <rFont val="Times New Roman"/>
        <family val="1"/>
      </rPr>
      <t>6-1</t>
    </r>
    <r>
      <rPr>
        <sz val="12"/>
        <rFont val="標楷體"/>
        <family val="4"/>
        <charset val="136"/>
      </rPr>
      <t>號</t>
    </r>
    <r>
      <rPr>
        <sz val="12"/>
        <rFont val="Times New Roman"/>
        <family val="1"/>
      </rPr>
      <t xml:space="preserve"> 
6-1</t>
    </r>
    <r>
      <rPr>
        <sz val="12"/>
        <rFont val="標楷體"/>
        <family val="4"/>
        <charset val="136"/>
      </rPr>
      <t>號</t>
    </r>
    <phoneticPr fontId="5" type="noConversion"/>
  </si>
  <si>
    <r>
      <rPr>
        <sz val="12"/>
        <rFont val="標楷體"/>
        <family val="4"/>
        <charset val="136"/>
      </rPr>
      <t>緞繻村</t>
    </r>
  </si>
  <si>
    <r>
      <t>96</t>
    </r>
    <r>
      <rPr>
        <sz val="12"/>
        <rFont val="標楷體"/>
        <family val="4"/>
        <charset val="136"/>
      </rPr>
      <t>年其他</t>
    </r>
    <r>
      <rPr>
        <sz val="12"/>
        <rFont val="Times New Roman"/>
        <family val="1"/>
      </rPr>
      <t xml:space="preserve"> </t>
    </r>
    <phoneticPr fontId="5" type="noConversion"/>
  </si>
  <si>
    <r>
      <rPr>
        <sz val="12"/>
        <rFont val="標楷體"/>
        <family val="4"/>
        <charset val="136"/>
      </rPr>
      <t>雙溪</t>
    </r>
    <r>
      <rPr>
        <sz val="12"/>
        <rFont val="Times New Roman"/>
        <family val="1"/>
      </rPr>
      <t>4</t>
    </r>
    <r>
      <rPr>
        <sz val="12"/>
        <rFont val="標楷體"/>
        <family val="4"/>
        <charset val="136"/>
      </rPr>
      <t>號屋後山坡之坑溝排洪夾帶大量土石堆積於屋後巷道；雙溪</t>
    </r>
    <r>
      <rPr>
        <sz val="12"/>
        <rFont val="Times New Roman"/>
        <family val="1"/>
      </rPr>
      <t xml:space="preserve"> 6-1 </t>
    </r>
    <r>
      <rPr>
        <sz val="12"/>
        <rFont val="標楷體"/>
        <family val="4"/>
        <charset val="136"/>
      </rPr>
      <t>號屋後山坡坡面沖蝕土砂堆積於屋後走廊。</t>
    </r>
    <r>
      <rPr>
        <sz val="12"/>
        <rFont val="Times New Roman"/>
        <family val="1"/>
      </rPr>
      <t xml:space="preserve"> </t>
    </r>
    <r>
      <rPr>
        <sz val="12"/>
        <rFont val="標楷體"/>
        <family val="4"/>
        <charset val="136"/>
      </rPr>
      <t>房舍受損：</t>
    </r>
    <r>
      <rPr>
        <sz val="12"/>
        <rFont val="Times New Roman"/>
        <family val="1"/>
      </rPr>
      <t>2</t>
    </r>
    <r>
      <rPr>
        <sz val="12"/>
        <rFont val="標楷體"/>
        <family val="4"/>
        <charset val="136"/>
      </rPr>
      <t>棟</t>
    </r>
    <phoneticPr fontId="5" type="noConversion"/>
  </si>
  <si>
    <r>
      <rPr>
        <sz val="12"/>
        <rFont val="標楷體"/>
        <family val="4"/>
        <charset val="136"/>
      </rPr>
      <t>樟腦寮</t>
    </r>
  </si>
  <si>
    <r>
      <rPr>
        <sz val="12"/>
        <rFont val="標楷體"/>
        <family val="4"/>
        <charset val="136"/>
      </rPr>
      <t>竹崎鄉龍山村</t>
    </r>
  </si>
  <si>
    <r>
      <rPr>
        <sz val="12"/>
        <rFont val="標楷體"/>
        <family val="4"/>
        <charset val="136"/>
      </rPr>
      <t>龍山村</t>
    </r>
    <phoneticPr fontId="5" type="noConversion"/>
  </si>
  <si>
    <r>
      <rPr>
        <sz val="12"/>
        <rFont val="標楷體"/>
        <family val="4"/>
        <charset val="136"/>
      </rPr>
      <t>嘉義縣竹崎鄉瑞水公路嘉</t>
    </r>
    <r>
      <rPr>
        <sz val="12"/>
        <rFont val="Times New Roman"/>
        <family val="1"/>
      </rPr>
      <t xml:space="preserve"> 122</t>
    </r>
    <r>
      <rPr>
        <sz val="12"/>
        <rFont val="標楷體"/>
        <family val="4"/>
        <charset val="136"/>
      </rPr>
      <t>線四十五公里處的「金福橋」，因受到柯羅莎颱風帶來豪雨影響，造成牛稠
溪溪水暴漲，洪水沖斷金福橋，使
竹崎鄉龍山村及金獅村交通中斷。</t>
    </r>
    <phoneticPr fontId="5" type="noConversion"/>
  </si>
  <si>
    <r>
      <rPr>
        <sz val="12"/>
        <rFont val="標楷體"/>
        <family val="4"/>
        <charset val="136"/>
      </rPr>
      <t>埔里鎮成功里</t>
    </r>
    <r>
      <rPr>
        <sz val="12"/>
        <rFont val="Times New Roman"/>
        <family val="1"/>
      </rPr>
      <t xml:space="preserve"> </t>
    </r>
  </si>
  <si>
    <r>
      <rPr>
        <sz val="12"/>
        <rFont val="標楷體"/>
        <family val="4"/>
        <charset val="136"/>
      </rPr>
      <t>成功里</t>
    </r>
    <phoneticPr fontId="5" type="noConversion"/>
  </si>
  <si>
    <r>
      <t>投縣</t>
    </r>
    <r>
      <rPr>
        <sz val="12"/>
        <rFont val="Times New Roman"/>
        <family val="1"/>
      </rPr>
      <t>DF040</t>
    </r>
  </si>
  <si>
    <r>
      <rPr>
        <sz val="12"/>
        <rFont val="標楷體"/>
        <family val="4"/>
        <charset val="136"/>
      </rPr>
      <t>右側護岸倒塌，長約為</t>
    </r>
    <r>
      <rPr>
        <sz val="12"/>
        <rFont val="Times New Roman"/>
        <family val="1"/>
      </rPr>
      <t xml:space="preserve"> 11</t>
    </r>
    <r>
      <rPr>
        <sz val="12"/>
        <rFont val="標楷體"/>
        <family val="4"/>
        <charset val="136"/>
      </rPr>
      <t>公尺。</t>
    </r>
    <r>
      <rPr>
        <sz val="12"/>
        <rFont val="Times New Roman"/>
        <family val="1"/>
      </rPr>
      <t xml:space="preserve">  </t>
    </r>
    <r>
      <rPr>
        <sz val="12"/>
        <rFont val="標楷體"/>
        <family val="4"/>
        <charset val="136"/>
      </rPr>
      <t>左側護岸基礎淘空，長約為</t>
    </r>
    <r>
      <rPr>
        <sz val="12"/>
        <rFont val="Times New Roman"/>
        <family val="1"/>
      </rPr>
      <t xml:space="preserve"> 30</t>
    </r>
    <r>
      <rPr>
        <sz val="12"/>
        <rFont val="標楷體"/>
        <family val="4"/>
        <charset val="136"/>
      </rPr>
      <t>公尺。</t>
    </r>
    <phoneticPr fontId="5" type="noConversion"/>
  </si>
  <si>
    <r>
      <rPr>
        <sz val="12"/>
        <rFont val="標楷體"/>
        <family val="4"/>
        <charset val="136"/>
      </rPr>
      <t>大肚城</t>
    </r>
  </si>
  <si>
    <r>
      <rPr>
        <sz val="12"/>
        <rFont val="標楷體"/>
        <family val="4"/>
        <charset val="136"/>
      </rPr>
      <t>玉井鄉沙田村</t>
    </r>
    <r>
      <rPr>
        <sz val="12"/>
        <rFont val="Times New Roman"/>
        <family val="1"/>
      </rPr>
      <t xml:space="preserve"> </t>
    </r>
  </si>
  <si>
    <r>
      <rPr>
        <sz val="12"/>
        <rFont val="標楷體"/>
        <family val="4"/>
        <charset val="136"/>
      </rPr>
      <t>玉井區</t>
    </r>
    <phoneticPr fontId="5" type="noConversion"/>
  </si>
  <si>
    <r>
      <rPr>
        <sz val="12"/>
        <rFont val="標楷體"/>
        <family val="4"/>
        <charset val="136"/>
      </rPr>
      <t>沙田里</t>
    </r>
  </si>
  <si>
    <r>
      <rPr>
        <sz val="12"/>
        <rFont val="標楷體"/>
        <family val="4"/>
        <charset val="136"/>
      </rPr>
      <t>護岸毀損約</t>
    </r>
    <r>
      <rPr>
        <sz val="12"/>
        <rFont val="Times New Roman"/>
        <family val="1"/>
      </rPr>
      <t xml:space="preserve"> 60</t>
    </r>
    <r>
      <rPr>
        <sz val="12"/>
        <rFont val="標楷體"/>
        <family val="4"/>
        <charset val="136"/>
      </rPr>
      <t>公尺。</t>
    </r>
  </si>
  <si>
    <t>C0O930</t>
  </si>
  <si>
    <r>
      <rPr>
        <sz val="12"/>
        <rFont val="標楷體"/>
        <family val="4"/>
        <charset val="136"/>
      </rPr>
      <t>玉井</t>
    </r>
  </si>
  <si>
    <r>
      <rPr>
        <sz val="12"/>
        <rFont val="標楷體"/>
        <family val="4"/>
        <charset val="136"/>
      </rPr>
      <t>龍崎鄉土崎村</t>
    </r>
    <r>
      <rPr>
        <sz val="12"/>
        <rFont val="Times New Roman"/>
        <family val="1"/>
      </rPr>
      <t>(</t>
    </r>
    <r>
      <rPr>
        <sz val="12"/>
        <rFont val="標楷體"/>
        <family val="4"/>
        <charset val="136"/>
      </rPr>
      <t>內拷潭橋</t>
    </r>
    <r>
      <rPr>
        <sz val="12"/>
        <rFont val="Times New Roman"/>
        <family val="1"/>
      </rPr>
      <t>)</t>
    </r>
  </si>
  <si>
    <r>
      <rPr>
        <sz val="12"/>
        <rFont val="標楷體"/>
        <family val="4"/>
        <charset val="136"/>
      </rPr>
      <t>龍崎區</t>
    </r>
    <phoneticPr fontId="5" type="noConversion"/>
  </si>
  <si>
    <r>
      <rPr>
        <sz val="12"/>
        <rFont val="標楷體"/>
        <family val="4"/>
        <charset val="136"/>
      </rPr>
      <t>土崎里</t>
    </r>
  </si>
  <si>
    <r>
      <rPr>
        <sz val="12"/>
        <rFont val="標楷體"/>
        <family val="4"/>
        <charset val="136"/>
      </rPr>
      <t>內拷潭橋左岸上游側護岸約</t>
    </r>
    <r>
      <rPr>
        <sz val="12"/>
        <rFont val="Times New Roman"/>
        <family val="1"/>
      </rPr>
      <t xml:space="preserve"> 35</t>
    </r>
    <r>
      <rPr>
        <sz val="12"/>
        <rFont val="標楷體"/>
        <family val="4"/>
        <charset val="136"/>
      </rPr>
      <t>公尺遭洪水沖毀。</t>
    </r>
    <phoneticPr fontId="5" type="noConversion"/>
  </si>
  <si>
    <t>C1O960</t>
  </si>
  <si>
    <r>
      <rPr>
        <sz val="12"/>
        <rFont val="標楷體"/>
        <family val="4"/>
        <charset val="136"/>
      </rPr>
      <t>崎頂</t>
    </r>
  </si>
  <si>
    <r>
      <rPr>
        <sz val="12"/>
        <rFont val="標楷體"/>
        <family val="4"/>
        <charset val="136"/>
      </rPr>
      <t>東勢鎮泰昌里</t>
    </r>
  </si>
  <si>
    <r>
      <rPr>
        <sz val="12"/>
        <rFont val="標楷體"/>
        <family val="4"/>
        <charset val="136"/>
      </rPr>
      <t>泰昌里</t>
    </r>
    <phoneticPr fontId="5" type="noConversion"/>
  </si>
  <si>
    <r>
      <rPr>
        <sz val="12"/>
        <rFont val="標楷體"/>
        <family val="4"/>
        <charset val="136"/>
      </rPr>
      <t>左側護岸既有災損點擴大，基礎掏刷約為</t>
    </r>
    <r>
      <rPr>
        <sz val="12"/>
        <rFont val="Times New Roman"/>
        <family val="1"/>
      </rPr>
      <t xml:space="preserve"> 19</t>
    </r>
    <r>
      <rPr>
        <sz val="12"/>
        <rFont val="標楷體"/>
        <family val="4"/>
        <charset val="136"/>
      </rPr>
      <t>公尺、擋土牆破損約為</t>
    </r>
    <r>
      <rPr>
        <sz val="12"/>
        <rFont val="Times New Roman"/>
        <family val="1"/>
      </rPr>
      <t xml:space="preserve"> 6</t>
    </r>
    <r>
      <rPr>
        <sz val="12"/>
        <rFont val="標楷體"/>
        <family val="4"/>
        <charset val="136"/>
      </rPr>
      <t>公尺。</t>
    </r>
    <r>
      <rPr>
        <sz val="12"/>
        <rFont val="Times New Roman"/>
        <family val="1"/>
      </rPr>
      <t xml:space="preserve"> </t>
    </r>
    <r>
      <rPr>
        <sz val="12"/>
        <rFont val="標楷體"/>
        <family val="4"/>
        <charset val="136"/>
      </rPr>
      <t>右側邊坡受固床工沖毀影響導致崩塌，崩塌長約為</t>
    </r>
    <r>
      <rPr>
        <sz val="12"/>
        <rFont val="Times New Roman"/>
        <family val="1"/>
      </rPr>
      <t>15</t>
    </r>
    <r>
      <rPr>
        <sz val="12"/>
        <rFont val="標楷體"/>
        <family val="4"/>
        <charset val="136"/>
      </rPr>
      <t>公尺。</t>
    </r>
    <phoneticPr fontId="5" type="noConversion"/>
  </si>
  <si>
    <t>C1F850</t>
  </si>
  <si>
    <r>
      <rPr>
        <sz val="12"/>
        <rFont val="標楷體"/>
        <family val="4"/>
        <charset val="136"/>
      </rPr>
      <t>東勢</t>
    </r>
  </si>
  <si>
    <r>
      <rPr>
        <sz val="12"/>
        <rFont val="標楷體"/>
        <family val="4"/>
        <charset val="136"/>
      </rPr>
      <t>龍崎鄉崎頂村</t>
    </r>
    <r>
      <rPr>
        <sz val="12"/>
        <rFont val="Times New Roman"/>
        <family val="1"/>
      </rPr>
      <t>(</t>
    </r>
    <r>
      <rPr>
        <sz val="12"/>
        <rFont val="標楷體"/>
        <family val="4"/>
        <charset val="136"/>
      </rPr>
      <t>崎腳橋</t>
    </r>
    <r>
      <rPr>
        <sz val="12"/>
        <rFont val="Times New Roman"/>
        <family val="1"/>
      </rPr>
      <t xml:space="preserve">) </t>
    </r>
  </si>
  <si>
    <r>
      <rPr>
        <sz val="12"/>
        <rFont val="標楷體"/>
        <family val="4"/>
        <charset val="136"/>
      </rPr>
      <t>崎頂里</t>
    </r>
  </si>
  <si>
    <r>
      <rPr>
        <sz val="12"/>
        <rFont val="標楷體"/>
        <family val="4"/>
        <charset val="136"/>
      </rPr>
      <t>崎腳橋左岸橋台上游側岸坡遭溪水淘刷流失約</t>
    </r>
    <r>
      <rPr>
        <sz val="12"/>
        <rFont val="Times New Roman"/>
        <family val="1"/>
      </rPr>
      <t xml:space="preserve"> 300</t>
    </r>
    <r>
      <rPr>
        <sz val="12"/>
        <rFont val="標楷體"/>
        <family val="4"/>
        <charset val="136"/>
      </rPr>
      <t>立方公尺。</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phoneticPr fontId="5" type="noConversion"/>
  </si>
  <si>
    <r>
      <rPr>
        <sz val="12"/>
        <rFont val="標楷體"/>
        <family val="4"/>
        <charset val="136"/>
      </rPr>
      <t>東勢鎮慶福里</t>
    </r>
    <r>
      <rPr>
        <sz val="12"/>
        <rFont val="Times New Roman"/>
        <family val="1"/>
      </rPr>
      <t>(</t>
    </r>
    <r>
      <rPr>
        <sz val="12"/>
        <rFont val="標楷體"/>
        <family val="4"/>
        <charset val="136"/>
      </rPr>
      <t>福南橋</t>
    </r>
    <r>
      <rPr>
        <sz val="12"/>
        <rFont val="Times New Roman"/>
        <family val="1"/>
      </rPr>
      <t>)</t>
    </r>
  </si>
  <si>
    <r>
      <t>中市</t>
    </r>
    <r>
      <rPr>
        <sz val="12"/>
        <rFont val="Times New Roman"/>
        <family val="1"/>
      </rPr>
      <t>DF057</t>
    </r>
  </si>
  <si>
    <r>
      <rPr>
        <sz val="12"/>
        <rFont val="標楷體"/>
        <family val="4"/>
        <charset val="136"/>
      </rPr>
      <t>福南橋中斷。</t>
    </r>
    <r>
      <rPr>
        <sz val="12"/>
        <rFont val="Times New Roman"/>
        <family val="1"/>
      </rPr>
      <t xml:space="preserve"> </t>
    </r>
    <r>
      <rPr>
        <sz val="12"/>
        <rFont val="標楷體"/>
        <family val="4"/>
        <charset val="136"/>
      </rPr>
      <t>產業道路下邊坡崩塌約</t>
    </r>
    <r>
      <rPr>
        <sz val="12"/>
        <rFont val="Times New Roman"/>
        <family val="1"/>
      </rPr>
      <t>80</t>
    </r>
    <r>
      <rPr>
        <sz val="12"/>
        <rFont val="標楷體"/>
        <family val="4"/>
        <charset val="136"/>
      </rPr>
      <t>公尺。</t>
    </r>
    <r>
      <rPr>
        <sz val="12"/>
        <rFont val="Times New Roman"/>
        <family val="1"/>
      </rPr>
      <t xml:space="preserve"> </t>
    </r>
    <r>
      <rPr>
        <sz val="12"/>
        <rFont val="標楷體"/>
        <family val="4"/>
        <charset val="136"/>
      </rPr>
      <t>下游</t>
    </r>
    <r>
      <rPr>
        <sz val="12"/>
        <rFont val="Times New Roman"/>
        <family val="1"/>
      </rPr>
      <t xml:space="preserve"> 100</t>
    </r>
    <r>
      <rPr>
        <sz val="12"/>
        <rFont val="標楷體"/>
        <family val="4"/>
        <charset val="136"/>
      </rPr>
      <t>公尺護岸基礎淘空。</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phoneticPr fontId="5" type="noConversion"/>
  </si>
  <si>
    <t>C1F910</t>
  </si>
  <si>
    <r>
      <rPr>
        <sz val="12"/>
        <rFont val="標楷體"/>
        <family val="4"/>
        <charset val="136"/>
      </rPr>
      <t>新伯公</t>
    </r>
  </si>
  <si>
    <r>
      <t xml:space="preserve">2007/8/10 </t>
    </r>
    <r>
      <rPr>
        <sz val="12"/>
        <rFont val="標楷體"/>
        <family val="4"/>
        <charset val="136"/>
      </rPr>
      <t>晚間</t>
    </r>
    <phoneticPr fontId="5" type="noConversion"/>
  </si>
  <si>
    <r>
      <rPr>
        <sz val="12"/>
        <rFont val="標楷體"/>
        <family val="4"/>
        <charset val="136"/>
      </rPr>
      <t>小嶺產業道路毀損約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新建之產業運輸大道橋面版及護欄損壞約</t>
    </r>
    <r>
      <rPr>
        <sz val="12"/>
        <rFont val="Times New Roman"/>
        <family val="1"/>
      </rPr>
      <t xml:space="preserve"> 20</t>
    </r>
    <r>
      <rPr>
        <sz val="12"/>
        <rFont val="標楷體"/>
        <family val="4"/>
        <charset val="136"/>
      </rPr>
      <t>公尺。位於小嶺產業道路之石籠擋土牆毀損約</t>
    </r>
    <r>
      <rPr>
        <sz val="12"/>
        <rFont val="Times New Roman"/>
        <family val="1"/>
      </rPr>
      <t xml:space="preserve"> 100</t>
    </r>
    <r>
      <rPr>
        <sz val="12"/>
        <rFont val="標楷體"/>
        <family val="4"/>
        <charset val="136"/>
      </rPr>
      <t>公尺。</t>
    </r>
    <r>
      <rPr>
        <sz val="12"/>
        <rFont val="Times New Roman"/>
        <family val="1"/>
      </rPr>
      <t xml:space="preserve"> </t>
    </r>
    <phoneticPr fontId="5" type="noConversion"/>
  </si>
  <si>
    <r>
      <rPr>
        <sz val="12"/>
        <rFont val="標楷體"/>
        <family val="4"/>
        <charset val="136"/>
      </rPr>
      <t>集集</t>
    </r>
    <phoneticPr fontId="5" type="noConversion"/>
  </si>
  <si>
    <r>
      <rPr>
        <sz val="12"/>
        <rFont val="標楷體"/>
        <family val="4"/>
        <charset val="136"/>
      </rPr>
      <t>仁愛鄉大同村</t>
    </r>
  </si>
  <si>
    <r>
      <rPr>
        <sz val="12"/>
        <rFont val="標楷體"/>
        <family val="4"/>
        <charset val="136"/>
      </rPr>
      <t>九號鄉道中斷。水蜜桃果樹坡面遭沖刷。無人傷亡及房舍受損。加勁擋土牆沉陷，長約</t>
    </r>
    <r>
      <rPr>
        <sz val="12"/>
        <rFont val="Times New Roman"/>
        <family val="1"/>
      </rPr>
      <t xml:space="preserve"> 30m</t>
    </r>
    <r>
      <rPr>
        <sz val="12"/>
        <rFont val="標楷體"/>
        <family val="4"/>
        <charset val="136"/>
      </rPr>
      <t>。格樑護坡損毀，約</t>
    </r>
    <r>
      <rPr>
        <sz val="12"/>
        <rFont val="Times New Roman"/>
        <family val="1"/>
      </rPr>
      <t xml:space="preserve"> 0.5ha</t>
    </r>
    <r>
      <rPr>
        <sz val="12"/>
        <rFont val="標楷體"/>
        <family val="4"/>
        <charset val="136"/>
      </rPr>
      <t>。</t>
    </r>
    <r>
      <rPr>
        <sz val="12"/>
        <rFont val="Times New Roman"/>
        <family val="1"/>
      </rPr>
      <t xml:space="preserve"> </t>
    </r>
    <phoneticPr fontId="5" type="noConversion"/>
  </si>
  <si>
    <t>01H310</t>
  </si>
  <si>
    <r>
      <rPr>
        <sz val="12"/>
        <rFont val="標楷體"/>
        <family val="4"/>
        <charset val="136"/>
      </rPr>
      <t>復興鄉高義村</t>
    </r>
    <r>
      <rPr>
        <sz val="12"/>
        <rFont val="Times New Roman"/>
        <family val="1"/>
      </rPr>
      <t>(</t>
    </r>
    <r>
      <rPr>
        <sz val="12"/>
        <rFont val="標楷體"/>
        <family val="4"/>
        <charset val="136"/>
      </rPr>
      <t>蘇樂橋</t>
    </r>
    <r>
      <rPr>
        <sz val="12"/>
        <rFont val="Times New Roman"/>
        <family val="1"/>
      </rPr>
      <t>)</t>
    </r>
  </si>
  <si>
    <r>
      <rPr>
        <sz val="12"/>
        <rFont val="標楷體"/>
        <family val="4"/>
        <charset val="136"/>
      </rPr>
      <t>高義里</t>
    </r>
  </si>
  <si>
    <r>
      <rPr>
        <sz val="12"/>
        <rFont val="標楷體"/>
        <family val="4"/>
        <charset val="136"/>
      </rPr>
      <t>桃市</t>
    </r>
    <r>
      <rPr>
        <sz val="12"/>
        <rFont val="Times New Roman"/>
        <family val="1"/>
      </rPr>
      <t>DF035</t>
    </r>
  </si>
  <si>
    <r>
      <rPr>
        <sz val="12"/>
        <rFont val="標楷體"/>
        <family val="4"/>
        <charset val="136"/>
      </rPr>
      <t>蘇樂橋中斷。</t>
    </r>
    <r>
      <rPr>
        <sz val="12"/>
        <rFont val="Times New Roman"/>
        <family val="1"/>
      </rPr>
      <t xml:space="preserve"> </t>
    </r>
    <r>
      <rPr>
        <sz val="12"/>
        <rFont val="標楷體"/>
        <family val="4"/>
        <charset val="136"/>
      </rPr>
      <t>兩端道路毀損約</t>
    </r>
    <r>
      <rPr>
        <sz val="12"/>
        <rFont val="Times New Roman"/>
        <family val="1"/>
      </rPr>
      <t xml:space="preserve"> 50</t>
    </r>
    <r>
      <rPr>
        <sz val="12"/>
        <rFont val="標楷體"/>
        <family val="4"/>
        <charset val="136"/>
      </rPr>
      <t>公尺。</t>
    </r>
    <phoneticPr fontId="5" type="noConversion"/>
  </si>
  <si>
    <t>21C080</t>
  </si>
  <si>
    <r>
      <rPr>
        <sz val="12"/>
        <rFont val="標楷體"/>
        <family val="4"/>
        <charset val="136"/>
      </rPr>
      <t>高義</t>
    </r>
  </si>
  <si>
    <r>
      <rPr>
        <sz val="12"/>
        <rFont val="標楷體"/>
        <family val="4"/>
        <charset val="136"/>
      </rPr>
      <t>通霄鎮福源里</t>
    </r>
    <r>
      <rPr>
        <sz val="12"/>
        <rFont val="Times New Roman"/>
        <family val="1"/>
      </rPr>
      <t>(</t>
    </r>
    <r>
      <rPr>
        <sz val="12"/>
        <rFont val="標楷體"/>
        <family val="4"/>
        <charset val="136"/>
      </rPr>
      <t>福源橋旁</t>
    </r>
    <r>
      <rPr>
        <sz val="12"/>
        <rFont val="Times New Roman"/>
        <family val="1"/>
      </rPr>
      <t>)</t>
    </r>
  </si>
  <si>
    <r>
      <rPr>
        <sz val="12"/>
        <rFont val="標楷體"/>
        <family val="4"/>
        <charset val="136"/>
      </rPr>
      <t>通霄鎮</t>
    </r>
    <phoneticPr fontId="5" type="noConversion"/>
  </si>
  <si>
    <r>
      <rPr>
        <sz val="12"/>
        <rFont val="標楷體"/>
        <family val="4"/>
        <charset val="136"/>
      </rPr>
      <t>福源里</t>
    </r>
    <phoneticPr fontId="5" type="noConversion"/>
  </si>
  <si>
    <r>
      <rPr>
        <sz val="12"/>
        <rFont val="標楷體"/>
        <family val="4"/>
        <charset val="136"/>
      </rPr>
      <t>福源橋下游右岸護岸因洪水淘刷護岸基腳，以致斷裂毀損約</t>
    </r>
    <r>
      <rPr>
        <sz val="12"/>
        <rFont val="Times New Roman"/>
        <family val="1"/>
      </rPr>
      <t>30</t>
    </r>
    <r>
      <rPr>
        <sz val="12"/>
        <rFont val="標楷體"/>
        <family val="4"/>
        <charset val="136"/>
      </rPr>
      <t>公尺。</t>
    </r>
    <r>
      <rPr>
        <sz val="12"/>
        <rFont val="Times New Roman"/>
        <family val="1"/>
      </rPr>
      <t xml:space="preserve">  </t>
    </r>
    <phoneticPr fontId="5" type="noConversion"/>
  </si>
  <si>
    <t>C1E590</t>
  </si>
  <si>
    <r>
      <rPr>
        <sz val="12"/>
        <rFont val="標楷體"/>
        <family val="4"/>
        <charset val="136"/>
      </rPr>
      <t>土城</t>
    </r>
  </si>
  <si>
    <r>
      <rPr>
        <sz val="12"/>
        <rFont val="標楷體"/>
        <family val="4"/>
        <charset val="136"/>
      </rPr>
      <t>泰安鄉梅園村</t>
    </r>
    <r>
      <rPr>
        <sz val="12"/>
        <rFont val="Times New Roman"/>
        <family val="1"/>
      </rPr>
      <t xml:space="preserve"> </t>
    </r>
  </si>
  <si>
    <r>
      <rPr>
        <sz val="12"/>
        <rFont val="標楷體"/>
        <family val="4"/>
        <charset val="136"/>
      </rPr>
      <t>泰安鄉</t>
    </r>
    <phoneticPr fontId="5" type="noConversion"/>
  </si>
  <si>
    <r>
      <rPr>
        <sz val="12"/>
        <rFont val="標楷體"/>
        <family val="4"/>
        <charset val="136"/>
      </rPr>
      <t>梅園村</t>
    </r>
    <phoneticPr fontId="5" type="noConversion"/>
  </si>
  <si>
    <r>
      <rPr>
        <sz val="12"/>
        <rFont val="標楷體"/>
        <family val="4"/>
        <charset val="136"/>
      </rPr>
      <t>司馬限林道</t>
    </r>
    <r>
      <rPr>
        <sz val="12"/>
        <rFont val="Times New Roman"/>
        <family val="1"/>
      </rPr>
      <t>14k</t>
    </r>
    <r>
      <rPr>
        <sz val="12"/>
        <rFont val="標楷體"/>
        <family val="4"/>
        <charset val="136"/>
      </rPr>
      <t>處遭鞍部野溪洪水夾雜之土石掩埋約</t>
    </r>
    <r>
      <rPr>
        <sz val="12"/>
        <rFont val="Times New Roman"/>
        <family val="1"/>
      </rPr>
      <t xml:space="preserve"> 30</t>
    </r>
    <r>
      <rPr>
        <sz val="12"/>
        <rFont val="標楷體"/>
        <family val="4"/>
        <charset val="136"/>
      </rPr>
      <t>公尺。</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道路毀損：約</t>
    </r>
    <r>
      <rPr>
        <sz val="12"/>
        <rFont val="Times New Roman"/>
        <family val="1"/>
      </rPr>
      <t xml:space="preserve"> 30</t>
    </r>
    <r>
      <rPr>
        <sz val="12"/>
        <rFont val="標楷體"/>
        <family val="4"/>
        <charset val="136"/>
      </rPr>
      <t>公尺。</t>
    </r>
    <r>
      <rPr>
        <sz val="12"/>
        <rFont val="Times New Roman"/>
        <family val="1"/>
      </rPr>
      <t xml:space="preserve"> </t>
    </r>
    <phoneticPr fontId="5" type="noConversion"/>
  </si>
  <si>
    <t>C1F460</t>
  </si>
  <si>
    <r>
      <rPr>
        <sz val="12"/>
        <rFont val="標楷體"/>
        <family val="4"/>
        <charset val="136"/>
      </rPr>
      <t>松安</t>
    </r>
    <phoneticPr fontId="5" type="noConversion"/>
  </si>
  <si>
    <r>
      <rPr>
        <sz val="12"/>
        <rFont val="標楷體"/>
        <family val="4"/>
        <charset val="136"/>
      </rPr>
      <t>泰安鄉象鼻村大安部落</t>
    </r>
    <r>
      <rPr>
        <sz val="12"/>
        <rFont val="Times New Roman"/>
        <family val="1"/>
      </rPr>
      <t>(</t>
    </r>
    <r>
      <rPr>
        <sz val="12"/>
        <rFont val="標楷體"/>
        <family val="4"/>
        <charset val="136"/>
      </rPr>
      <t>四號野溪下游出口處</t>
    </r>
    <r>
      <rPr>
        <sz val="12"/>
        <rFont val="Times New Roman"/>
        <family val="1"/>
      </rPr>
      <t>)</t>
    </r>
    <phoneticPr fontId="5" type="noConversion"/>
  </si>
  <si>
    <r>
      <rPr>
        <sz val="12"/>
        <rFont val="標楷體"/>
        <family val="4"/>
        <charset val="136"/>
      </rPr>
      <t>象鼻村</t>
    </r>
    <phoneticPr fontId="5" type="noConversion"/>
  </si>
  <si>
    <r>
      <rPr>
        <sz val="12"/>
        <rFont val="標楷體"/>
        <family val="4"/>
        <charset val="136"/>
      </rPr>
      <t>大安部落四號野溪洪水夾雜之溪床土石掩埋通往梅園村之產業道路約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道路毀損：約</t>
    </r>
    <r>
      <rPr>
        <sz val="12"/>
        <rFont val="Times New Roman"/>
        <family val="1"/>
      </rPr>
      <t xml:space="preserve"> 200</t>
    </r>
    <r>
      <rPr>
        <sz val="12"/>
        <rFont val="標楷體"/>
        <family val="4"/>
        <charset val="136"/>
      </rPr>
      <t>公尺。</t>
    </r>
    <phoneticPr fontId="5" type="noConversion"/>
  </si>
  <si>
    <t>C1F450</t>
  </si>
  <si>
    <r>
      <rPr>
        <sz val="12"/>
        <rFont val="標楷體"/>
        <family val="4"/>
        <charset val="136"/>
      </rPr>
      <t>象鼻</t>
    </r>
    <phoneticPr fontId="5" type="noConversion"/>
  </si>
  <si>
    <r>
      <rPr>
        <sz val="12"/>
        <rFont val="標楷體"/>
        <family val="4"/>
        <charset val="136"/>
      </rPr>
      <t>泰安鄉象鼻村</t>
    </r>
    <r>
      <rPr>
        <sz val="12"/>
        <rFont val="Times New Roman"/>
        <family val="1"/>
      </rPr>
      <t>(</t>
    </r>
    <r>
      <rPr>
        <sz val="12"/>
        <rFont val="標楷體"/>
        <family val="4"/>
        <charset val="136"/>
      </rPr>
      <t>麻必浩溪與大安溪交匯口</t>
    </r>
    <r>
      <rPr>
        <sz val="12"/>
        <rFont val="Times New Roman"/>
        <family val="1"/>
      </rPr>
      <t>)</t>
    </r>
    <phoneticPr fontId="5" type="noConversion"/>
  </si>
  <si>
    <r>
      <t>苗縣</t>
    </r>
    <r>
      <rPr>
        <sz val="12"/>
        <rFont val="Times New Roman"/>
        <family val="1"/>
      </rPr>
      <t>DF074</t>
    </r>
  </si>
  <si>
    <r>
      <rPr>
        <sz val="12"/>
        <rFont val="標楷體"/>
        <family val="4"/>
        <charset val="136"/>
      </rPr>
      <t>護岸係位於河道凹岸，受洪水直接沖擊且河床下切之因素，以致護岸基腳淘刷，造成護岸毀損約</t>
    </r>
    <r>
      <rPr>
        <sz val="12"/>
        <rFont val="Times New Roman"/>
        <family val="1"/>
      </rPr>
      <t>40</t>
    </r>
    <r>
      <rPr>
        <sz val="12"/>
        <rFont val="標楷體"/>
        <family val="4"/>
        <charset val="136"/>
      </rPr>
      <t>公尺。</t>
    </r>
    <r>
      <rPr>
        <sz val="12"/>
        <rFont val="Times New Roman"/>
        <family val="1"/>
      </rPr>
      <t xml:space="preserve">  </t>
    </r>
    <phoneticPr fontId="5" type="noConversion"/>
  </si>
  <si>
    <t>C1E450</t>
  </si>
  <si>
    <r>
      <rPr>
        <sz val="12"/>
        <rFont val="標楷體"/>
        <family val="4"/>
        <charset val="136"/>
      </rPr>
      <t>國姓鄉乾溝村</t>
    </r>
    <r>
      <rPr>
        <sz val="12"/>
        <rFont val="Times New Roman"/>
        <family val="1"/>
      </rPr>
      <t>(</t>
    </r>
    <r>
      <rPr>
        <sz val="12"/>
        <rFont val="標楷體"/>
        <family val="4"/>
        <charset val="136"/>
      </rPr>
      <t>投</t>
    </r>
    <r>
      <rPr>
        <sz val="12"/>
        <rFont val="Times New Roman"/>
        <family val="1"/>
      </rPr>
      <t>136</t>
    </r>
    <r>
      <rPr>
        <sz val="12"/>
        <rFont val="標楷體"/>
        <family val="4"/>
        <charset val="136"/>
      </rPr>
      <t>線</t>
    </r>
    <r>
      <rPr>
        <sz val="12"/>
        <rFont val="Times New Roman"/>
        <family val="1"/>
      </rPr>
      <t xml:space="preserve"> 54.4k </t>
    </r>
    <r>
      <rPr>
        <sz val="12"/>
        <rFont val="標楷體"/>
        <family val="4"/>
        <charset val="136"/>
      </rPr>
      <t>處</t>
    </r>
    <r>
      <rPr>
        <sz val="12"/>
        <rFont val="Times New Roman"/>
        <family val="1"/>
      </rPr>
      <t xml:space="preserve">) 
</t>
    </r>
    <phoneticPr fontId="5" type="noConversion"/>
  </si>
  <si>
    <r>
      <rPr>
        <sz val="12"/>
        <rFont val="標楷體"/>
        <family val="4"/>
        <charset val="136"/>
      </rPr>
      <t>乾溝村</t>
    </r>
    <phoneticPr fontId="5" type="noConversion"/>
  </si>
  <si>
    <r>
      <rPr>
        <sz val="12"/>
        <rFont val="標楷體"/>
        <family val="4"/>
        <charset val="136"/>
      </rPr>
      <t>投</t>
    </r>
    <r>
      <rPr>
        <sz val="12"/>
        <rFont val="Times New Roman"/>
        <family val="1"/>
      </rPr>
      <t xml:space="preserve"> 136</t>
    </r>
    <r>
      <rPr>
        <sz val="12"/>
        <rFont val="標楷體"/>
        <family val="4"/>
        <charset val="136"/>
      </rPr>
      <t>縣道上邊坡土石鬆動，滑落投</t>
    </r>
    <r>
      <rPr>
        <sz val="12"/>
        <rFont val="Times New Roman"/>
        <family val="1"/>
      </rPr>
      <t>136</t>
    </r>
    <r>
      <rPr>
        <sz val="12"/>
        <rFont val="標楷體"/>
        <family val="4"/>
        <charset val="136"/>
      </rPr>
      <t>縣道並阻斷道路。</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30</t>
    </r>
    <r>
      <rPr>
        <sz val="12"/>
        <rFont val="標楷體"/>
        <family val="4"/>
        <charset val="136"/>
      </rPr>
      <t>公尺。</t>
    </r>
    <r>
      <rPr>
        <sz val="12"/>
        <rFont val="Times New Roman"/>
        <family val="1"/>
      </rPr>
      <t xml:space="preserve"> </t>
    </r>
    <phoneticPr fontId="5" type="noConversion"/>
  </si>
  <si>
    <t>C1I190</t>
  </si>
  <si>
    <r>
      <rPr>
        <sz val="12"/>
        <rFont val="標楷體"/>
        <family val="4"/>
        <charset val="136"/>
      </rPr>
      <t>水長流</t>
    </r>
    <phoneticPr fontId="5" type="noConversion"/>
  </si>
  <si>
    <r>
      <rPr>
        <sz val="12"/>
        <rFont val="標楷體"/>
        <family val="4"/>
        <charset val="136"/>
      </rPr>
      <t>國姓鄉乾溝村</t>
    </r>
  </si>
  <si>
    <r>
      <rPr>
        <sz val="12"/>
        <rFont val="標楷體"/>
        <family val="4"/>
        <charset val="136"/>
      </rPr>
      <t>投</t>
    </r>
    <r>
      <rPr>
        <sz val="12"/>
        <rFont val="Times New Roman"/>
        <family val="1"/>
      </rPr>
      <t xml:space="preserve"> 136</t>
    </r>
    <r>
      <rPr>
        <sz val="12"/>
        <rFont val="標楷體"/>
        <family val="4"/>
        <charset val="136"/>
      </rPr>
      <t>縣道下方邊坡地滑。路基約</t>
    </r>
    <r>
      <rPr>
        <sz val="12"/>
        <rFont val="Times New Roman"/>
        <family val="1"/>
      </rPr>
      <t xml:space="preserve"> 40</t>
    </r>
    <r>
      <rPr>
        <sz val="12"/>
        <rFont val="標楷體"/>
        <family val="4"/>
        <charset val="136"/>
      </rPr>
      <t>公尺崩塌至河谷，路側護欄斷裂。</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40</t>
    </r>
    <r>
      <rPr>
        <sz val="12"/>
        <rFont val="標楷體"/>
        <family val="4"/>
        <charset val="136"/>
      </rPr>
      <t>公尺。</t>
    </r>
    <phoneticPr fontId="5" type="noConversion"/>
  </si>
  <si>
    <r>
      <rPr>
        <sz val="12"/>
        <rFont val="標楷體"/>
        <family val="4"/>
        <charset val="136"/>
      </rPr>
      <t>水長流</t>
    </r>
  </si>
  <si>
    <r>
      <rPr>
        <sz val="12"/>
        <rFont val="標楷體"/>
        <family val="4"/>
        <charset val="136"/>
      </rPr>
      <t>仁愛鄉互助村</t>
    </r>
    <r>
      <rPr>
        <sz val="12"/>
        <rFont val="Times New Roman"/>
        <family val="1"/>
      </rPr>
      <t>(</t>
    </r>
    <r>
      <rPr>
        <sz val="12"/>
        <rFont val="標楷體"/>
        <family val="4"/>
        <charset val="136"/>
      </rPr>
      <t>投</t>
    </r>
    <r>
      <rPr>
        <sz val="12"/>
        <rFont val="Times New Roman"/>
        <family val="1"/>
      </rPr>
      <t xml:space="preserve"> 80</t>
    </r>
    <r>
      <rPr>
        <sz val="12"/>
        <rFont val="標楷體"/>
        <family val="4"/>
        <charset val="136"/>
      </rPr>
      <t>線</t>
    </r>
    <r>
      <rPr>
        <sz val="12"/>
        <rFont val="Times New Roman"/>
        <family val="1"/>
      </rPr>
      <t xml:space="preserve"> 2k </t>
    </r>
    <r>
      <rPr>
        <sz val="12"/>
        <rFont val="標楷體"/>
        <family val="4"/>
        <charset val="136"/>
      </rPr>
      <t>處</t>
    </r>
    <r>
      <rPr>
        <sz val="12"/>
        <rFont val="Times New Roman"/>
        <family val="1"/>
      </rPr>
      <t>)</t>
    </r>
    <phoneticPr fontId="5" type="noConversion"/>
  </si>
  <si>
    <r>
      <rPr>
        <sz val="12"/>
        <rFont val="標楷體"/>
        <family val="4"/>
        <charset val="136"/>
      </rPr>
      <t>互助村</t>
    </r>
    <phoneticPr fontId="5" type="noConversion"/>
  </si>
  <si>
    <r>
      <rPr>
        <sz val="12"/>
        <rFont val="標楷體"/>
        <family val="4"/>
        <charset val="136"/>
      </rPr>
      <t>投</t>
    </r>
    <r>
      <rPr>
        <sz val="12"/>
        <rFont val="Times New Roman"/>
        <family val="1"/>
      </rPr>
      <t xml:space="preserve"> 80</t>
    </r>
    <r>
      <rPr>
        <sz val="12"/>
        <rFont val="標楷體"/>
        <family val="4"/>
        <charset val="136"/>
      </rPr>
      <t>線道路遭掩埋中斷。</t>
    </r>
    <r>
      <rPr>
        <sz val="12"/>
        <rFont val="Times New Roman"/>
        <family val="1"/>
      </rPr>
      <t xml:space="preserve"> </t>
    </r>
    <r>
      <rPr>
        <sz val="12"/>
        <rFont val="標楷體"/>
        <family val="4"/>
        <charset val="136"/>
      </rPr>
      <t>河道護岸損毀，長約</t>
    </r>
    <r>
      <rPr>
        <sz val="12"/>
        <rFont val="Times New Roman"/>
        <family val="1"/>
      </rPr>
      <t xml:space="preserve"> 50</t>
    </r>
    <r>
      <rPr>
        <sz val="12"/>
        <rFont val="標楷體"/>
        <family val="4"/>
        <charset val="136"/>
      </rPr>
      <t>公尺。</t>
    </r>
    <r>
      <rPr>
        <sz val="12"/>
        <rFont val="Times New Roman"/>
        <family val="1"/>
      </rPr>
      <t xml:space="preserve"> </t>
    </r>
    <r>
      <rPr>
        <sz val="12"/>
        <rFont val="標楷體"/>
        <family val="4"/>
        <charset val="136"/>
      </rPr>
      <t>道路損毀，長約</t>
    </r>
    <r>
      <rPr>
        <sz val="12"/>
        <rFont val="Times New Roman"/>
        <family val="1"/>
      </rPr>
      <t xml:space="preserve"> 60</t>
    </r>
    <r>
      <rPr>
        <sz val="12"/>
        <rFont val="標楷體"/>
        <family val="4"/>
        <charset val="136"/>
      </rPr>
      <t>公尺。</t>
    </r>
    <r>
      <rPr>
        <sz val="12"/>
        <rFont val="Times New Roman"/>
        <family val="1"/>
      </rPr>
      <t xml:space="preserve"> </t>
    </r>
    <phoneticPr fontId="5" type="noConversion"/>
  </si>
  <si>
    <r>
      <rPr>
        <sz val="12"/>
        <rFont val="標楷體"/>
        <family val="4"/>
        <charset val="136"/>
      </rPr>
      <t>清流</t>
    </r>
  </si>
  <si>
    <r>
      <rPr>
        <sz val="12"/>
        <rFont val="標楷體"/>
        <family val="4"/>
        <charset val="136"/>
      </rPr>
      <t>崩塌、山地洪流</t>
    </r>
    <phoneticPr fontId="5" type="noConversion"/>
  </si>
  <si>
    <r>
      <rPr>
        <sz val="12"/>
        <rFont val="標楷體"/>
        <family val="4"/>
        <charset val="136"/>
      </rPr>
      <t>仁愛鄉互助村</t>
    </r>
    <r>
      <rPr>
        <sz val="12"/>
        <rFont val="Times New Roman"/>
        <family val="1"/>
      </rPr>
      <t>(</t>
    </r>
    <r>
      <rPr>
        <sz val="12"/>
        <rFont val="標楷體"/>
        <family val="4"/>
        <charset val="136"/>
      </rPr>
      <t>投</t>
    </r>
    <r>
      <rPr>
        <sz val="12"/>
        <rFont val="Times New Roman"/>
        <family val="1"/>
      </rPr>
      <t xml:space="preserve"> 80</t>
    </r>
    <r>
      <rPr>
        <sz val="12"/>
        <rFont val="標楷體"/>
        <family val="4"/>
        <charset val="136"/>
      </rPr>
      <t>線</t>
    </r>
    <r>
      <rPr>
        <sz val="12"/>
        <rFont val="Times New Roman"/>
        <family val="1"/>
      </rPr>
      <t xml:space="preserve"> 4.5K </t>
    </r>
    <r>
      <rPr>
        <sz val="12"/>
        <rFont val="標楷體"/>
        <family val="4"/>
        <charset val="136"/>
      </rPr>
      <t>處</t>
    </r>
    <r>
      <rPr>
        <sz val="12"/>
        <rFont val="Times New Roman"/>
        <family val="1"/>
      </rPr>
      <t>)</t>
    </r>
    <phoneticPr fontId="5" type="noConversion"/>
  </si>
  <si>
    <r>
      <rPr>
        <sz val="12"/>
        <rFont val="標楷體"/>
        <family val="4"/>
        <charset val="136"/>
      </rPr>
      <t>投縣</t>
    </r>
    <r>
      <rPr>
        <sz val="12"/>
        <rFont val="Times New Roman"/>
        <family val="1"/>
      </rPr>
      <t>DF005</t>
    </r>
    <phoneticPr fontId="5" type="noConversion"/>
  </si>
  <si>
    <r>
      <rPr>
        <sz val="12"/>
        <rFont val="標楷體"/>
        <family val="4"/>
        <charset val="136"/>
      </rPr>
      <t>南投</t>
    </r>
    <r>
      <rPr>
        <sz val="12"/>
        <rFont val="Times New Roman"/>
        <family val="1"/>
      </rPr>
      <t xml:space="preserve"> 061</t>
    </r>
    <r>
      <rPr>
        <sz val="12"/>
        <rFont val="標楷體"/>
        <family val="4"/>
        <charset val="136"/>
      </rPr>
      <t>左岸崩塌。</t>
    </r>
    <r>
      <rPr>
        <sz val="12"/>
        <rFont val="Times New Roman"/>
        <family val="1"/>
      </rPr>
      <t xml:space="preserve"> </t>
    </r>
    <r>
      <rPr>
        <sz val="12"/>
        <rFont val="標楷體"/>
        <family val="4"/>
        <charset val="136"/>
      </rPr>
      <t>西寶農路過水路面毀損。</t>
    </r>
    <r>
      <rPr>
        <sz val="12"/>
        <rFont val="Times New Roman"/>
        <family val="1"/>
      </rPr>
      <t>(</t>
    </r>
    <r>
      <rPr>
        <sz val="12"/>
        <rFont val="標楷體"/>
        <family val="4"/>
        <charset val="136"/>
      </rPr>
      <t>七二水災時發生</t>
    </r>
    <r>
      <rPr>
        <sz val="12"/>
        <rFont val="Times New Roman"/>
        <family val="1"/>
      </rPr>
      <t xml:space="preserve">) </t>
    </r>
    <phoneticPr fontId="5" type="noConversion"/>
  </si>
  <si>
    <r>
      <rPr>
        <sz val="12"/>
        <rFont val="標楷體"/>
        <family val="4"/>
        <charset val="136"/>
      </rPr>
      <t>南縣</t>
    </r>
    <r>
      <rPr>
        <sz val="12"/>
        <rFont val="Times New Roman"/>
        <family val="1"/>
      </rPr>
      <t>DF019</t>
    </r>
  </si>
  <si>
    <r>
      <rPr>
        <sz val="12"/>
        <rFont val="標楷體"/>
        <family val="4"/>
        <charset val="136"/>
      </rPr>
      <t>東山區</t>
    </r>
  </si>
  <si>
    <r>
      <rPr>
        <sz val="12"/>
        <rFont val="標楷體"/>
        <family val="4"/>
        <charset val="136"/>
      </rPr>
      <t>南勢里</t>
    </r>
  </si>
  <si>
    <r>
      <rPr>
        <sz val="12"/>
        <rFont val="標楷體"/>
        <family val="4"/>
        <charset val="136"/>
      </rPr>
      <t>南市</t>
    </r>
    <r>
      <rPr>
        <sz val="12"/>
        <rFont val="Times New Roman"/>
        <family val="1"/>
      </rPr>
      <t>DF019</t>
    </r>
    <phoneticPr fontId="5" type="noConversion"/>
  </si>
  <si>
    <r>
      <rPr>
        <sz val="12"/>
        <rFont val="標楷體"/>
        <family val="4"/>
        <charset val="136"/>
      </rPr>
      <t>卡玫基颱風</t>
    </r>
    <phoneticPr fontId="5" type="noConversion"/>
  </si>
  <si>
    <r>
      <t>3</t>
    </r>
    <r>
      <rPr>
        <sz val="12"/>
        <rFont val="標楷體"/>
        <family val="4"/>
        <charset val="136"/>
      </rPr>
      <t>戶民宅遭溢流河道之土石泥流侵入。</t>
    </r>
    <r>
      <rPr>
        <sz val="12"/>
        <rFont val="Times New Roman"/>
        <family val="1"/>
      </rPr>
      <t xml:space="preserve"> </t>
    </r>
    <r>
      <rPr>
        <sz val="12"/>
        <rFont val="標楷體"/>
        <family val="4"/>
        <charset val="136"/>
      </rPr>
      <t>約</t>
    </r>
    <r>
      <rPr>
        <sz val="12"/>
        <rFont val="Times New Roman"/>
        <family val="1"/>
      </rPr>
      <t xml:space="preserve"> 0.2</t>
    </r>
    <r>
      <rPr>
        <sz val="12"/>
        <rFont val="標楷體"/>
        <family val="4"/>
        <charset val="136"/>
      </rPr>
      <t>公頃果園遭土石淤埋。</t>
    </r>
    <r>
      <rPr>
        <sz val="12"/>
        <rFont val="Times New Roman"/>
        <family val="1"/>
      </rPr>
      <t xml:space="preserve"> 175</t>
    </r>
    <r>
      <rPr>
        <sz val="12"/>
        <rFont val="標楷體"/>
        <family val="4"/>
        <charset val="136"/>
      </rPr>
      <t>縣道遭土石淤埋約</t>
    </r>
    <r>
      <rPr>
        <sz val="12"/>
        <rFont val="Times New Roman"/>
        <family val="1"/>
      </rPr>
      <t xml:space="preserve"> 60</t>
    </r>
    <r>
      <rPr>
        <sz val="12"/>
        <rFont val="標楷體"/>
        <family val="4"/>
        <charset val="136"/>
      </rPr>
      <t>公尺長，造成交通中斷。</t>
    </r>
    <r>
      <rPr>
        <sz val="12"/>
        <rFont val="Times New Roman"/>
        <family val="1"/>
      </rPr>
      <t xml:space="preserve"> </t>
    </r>
    <r>
      <rPr>
        <sz val="12"/>
        <rFont val="標楷體"/>
        <family val="4"/>
        <charset val="136"/>
      </rPr>
      <t>房舍受損：</t>
    </r>
    <r>
      <rPr>
        <sz val="12"/>
        <rFont val="Times New Roman"/>
        <family val="1"/>
      </rPr>
      <t>3</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60</t>
    </r>
    <r>
      <rPr>
        <sz val="12"/>
        <rFont val="標楷體"/>
        <family val="4"/>
        <charset val="136"/>
      </rPr>
      <t>公尺。</t>
    </r>
    <r>
      <rPr>
        <sz val="12"/>
        <rFont val="Times New Roman"/>
        <family val="1"/>
      </rPr>
      <t xml:space="preserve">  </t>
    </r>
    <phoneticPr fontId="5" type="noConversion"/>
  </si>
  <si>
    <t>C1X040</t>
  </si>
  <si>
    <r>
      <rPr>
        <sz val="12"/>
        <rFont val="標楷體"/>
        <family val="4"/>
        <charset val="136"/>
      </rPr>
      <t>東原</t>
    </r>
    <phoneticPr fontId="5" type="noConversion"/>
  </si>
  <si>
    <r>
      <rPr>
        <sz val="12"/>
        <rFont val="標楷體"/>
        <family val="4"/>
        <charset val="136"/>
      </rPr>
      <t>碧蓮寺處野溪</t>
    </r>
  </si>
  <si>
    <r>
      <rPr>
        <sz val="12"/>
        <rFont val="標楷體"/>
        <family val="4"/>
        <charset val="136"/>
      </rPr>
      <t>南市</t>
    </r>
    <r>
      <rPr>
        <sz val="12"/>
        <rFont val="Times New Roman"/>
        <family val="1"/>
      </rPr>
      <t>DF016</t>
    </r>
    <phoneticPr fontId="5" type="noConversion"/>
  </si>
  <si>
    <r>
      <rPr>
        <sz val="12"/>
        <rFont val="標楷體"/>
        <family val="4"/>
        <charset val="136"/>
      </rPr>
      <t>碧蓮寺旁野溪，因超大豪雨導致土石流，造成河道沖刷，淤埋農路、果園。</t>
    </r>
    <r>
      <rPr>
        <sz val="12"/>
        <rFont val="Times New Roman"/>
        <family val="1"/>
      </rPr>
      <t xml:space="preserve"> </t>
    </r>
    <r>
      <rPr>
        <sz val="12"/>
        <rFont val="標楷體"/>
        <family val="4"/>
        <charset val="136"/>
      </rPr>
      <t>約</t>
    </r>
    <r>
      <rPr>
        <sz val="12"/>
        <rFont val="Times New Roman"/>
        <family val="1"/>
      </rPr>
      <t xml:space="preserve"> 0.3</t>
    </r>
    <r>
      <rPr>
        <sz val="12"/>
        <rFont val="標楷體"/>
        <family val="4"/>
        <charset val="136"/>
      </rPr>
      <t>公頃果園遭土石淤埋。</t>
    </r>
    <r>
      <rPr>
        <sz val="12"/>
        <rFont val="Times New Roman"/>
        <family val="1"/>
      </rPr>
      <t xml:space="preserve"> </t>
    </r>
    <r>
      <rPr>
        <sz val="12"/>
        <rFont val="標楷體"/>
        <family val="4"/>
        <charset val="136"/>
      </rPr>
      <t>農路中斷毀損約</t>
    </r>
    <r>
      <rPr>
        <sz val="12"/>
        <rFont val="Times New Roman"/>
        <family val="1"/>
      </rPr>
      <t xml:space="preserve"> 70</t>
    </r>
    <r>
      <rPr>
        <sz val="12"/>
        <rFont val="標楷體"/>
        <family val="4"/>
        <charset val="136"/>
      </rPr>
      <t>公尺。</t>
    </r>
    <r>
      <rPr>
        <sz val="12"/>
        <rFont val="Times New Roman"/>
        <family val="1"/>
      </rPr>
      <t xml:space="preserve">  </t>
    </r>
    <phoneticPr fontId="5" type="noConversion"/>
  </si>
  <si>
    <t>C1X041</t>
  </si>
  <si>
    <r>
      <rPr>
        <sz val="12"/>
        <rFont val="標楷體"/>
        <family val="4"/>
        <charset val="136"/>
      </rPr>
      <t>灣丘村內野溪</t>
    </r>
  </si>
  <si>
    <r>
      <rPr>
        <sz val="12"/>
        <rFont val="標楷體"/>
        <family val="4"/>
        <charset val="136"/>
      </rPr>
      <t>楠西區</t>
    </r>
  </si>
  <si>
    <r>
      <rPr>
        <sz val="12"/>
        <rFont val="標楷體"/>
        <family val="4"/>
        <charset val="136"/>
      </rPr>
      <t>灣丘里</t>
    </r>
  </si>
  <si>
    <r>
      <rPr>
        <sz val="12"/>
        <rFont val="標楷體"/>
        <family val="4"/>
        <charset val="136"/>
      </rPr>
      <t>南市</t>
    </r>
    <r>
      <rPr>
        <sz val="12"/>
        <rFont val="Times New Roman"/>
        <family val="1"/>
      </rPr>
      <t>DF035</t>
    </r>
    <phoneticPr fontId="5" type="noConversion"/>
  </si>
  <si>
    <r>
      <rPr>
        <sz val="12"/>
        <rFont val="標楷體"/>
        <family val="4"/>
        <charset val="136"/>
      </rPr>
      <t>卡玫基颱風</t>
    </r>
  </si>
  <si>
    <r>
      <t>3</t>
    </r>
    <r>
      <rPr>
        <sz val="12"/>
        <rFont val="標楷體"/>
        <family val="4"/>
        <charset val="136"/>
      </rPr>
      <t>戶民宅遭溢流河道之土石泥流侵入。</t>
    </r>
    <r>
      <rPr>
        <sz val="12"/>
        <rFont val="Times New Roman"/>
        <family val="1"/>
      </rPr>
      <t xml:space="preserve"> </t>
    </r>
    <r>
      <rPr>
        <sz val="12"/>
        <rFont val="標楷體"/>
        <family val="4"/>
        <charset val="136"/>
      </rPr>
      <t>溪流橋孔遭土石淤埋。</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3</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50</t>
    </r>
    <r>
      <rPr>
        <sz val="12"/>
        <rFont val="標楷體"/>
        <family val="4"/>
        <charset val="136"/>
      </rPr>
      <t>公尺。</t>
    </r>
    <r>
      <rPr>
        <sz val="12"/>
        <rFont val="Times New Roman"/>
        <family val="1"/>
      </rPr>
      <t xml:space="preserve"> </t>
    </r>
    <phoneticPr fontId="5" type="noConversion"/>
  </si>
  <si>
    <t>C1O920</t>
  </si>
  <si>
    <r>
      <rPr>
        <sz val="12"/>
        <rFont val="標楷體"/>
        <family val="4"/>
        <charset val="136"/>
      </rPr>
      <t>楠西</t>
    </r>
  </si>
  <si>
    <r>
      <rPr>
        <sz val="12"/>
        <rFont val="標楷體"/>
        <family val="4"/>
        <charset val="136"/>
      </rPr>
      <t>鐵谷山橋處野溪</t>
    </r>
    <phoneticPr fontId="5" type="noConversion"/>
  </si>
  <si>
    <r>
      <rPr>
        <sz val="12"/>
        <rFont val="標楷體"/>
        <family val="4"/>
        <charset val="136"/>
      </rPr>
      <t>龜丹里</t>
    </r>
  </si>
  <si>
    <r>
      <rPr>
        <sz val="12"/>
        <rFont val="標楷體"/>
        <family val="4"/>
        <charset val="136"/>
      </rPr>
      <t>南市</t>
    </r>
    <r>
      <rPr>
        <sz val="12"/>
        <rFont val="Times New Roman"/>
        <family val="1"/>
      </rPr>
      <t>DF033</t>
    </r>
  </si>
  <si>
    <r>
      <rPr>
        <sz val="12"/>
        <rFont val="標楷體"/>
        <family val="4"/>
        <charset val="136"/>
      </rPr>
      <t>溫泉橋護欄損毀。</t>
    </r>
    <r>
      <rPr>
        <sz val="12"/>
        <rFont val="Times New Roman"/>
        <family val="1"/>
      </rPr>
      <t xml:space="preserve">  </t>
    </r>
    <r>
      <rPr>
        <sz val="12"/>
        <rFont val="標楷體"/>
        <family val="4"/>
        <charset val="136"/>
      </rPr>
      <t>大量土石淤積河道，果園淤埋。</t>
    </r>
    <r>
      <rPr>
        <sz val="12"/>
        <rFont val="Times New Roman"/>
        <family val="1"/>
      </rPr>
      <t xml:space="preserve"> </t>
    </r>
    <r>
      <rPr>
        <sz val="12"/>
        <rFont val="標楷體"/>
        <family val="4"/>
        <charset val="136"/>
      </rPr>
      <t>溪流護岸部分毀損。</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phoneticPr fontId="5" type="noConversion"/>
  </si>
  <si>
    <t>C1O921</t>
  </si>
  <si>
    <r>
      <t>77</t>
    </r>
    <r>
      <rPr>
        <sz val="12"/>
        <rFont val="標楷體"/>
        <family val="4"/>
        <charset val="136"/>
      </rPr>
      <t>號後方山坡</t>
    </r>
    <phoneticPr fontId="5" type="noConversion"/>
  </si>
  <si>
    <r>
      <rPr>
        <sz val="12"/>
        <rFont val="標楷體"/>
        <family val="4"/>
        <charset val="136"/>
      </rPr>
      <t>埔里鎮</t>
    </r>
  </si>
  <si>
    <r>
      <rPr>
        <sz val="12"/>
        <rFont val="標楷體"/>
        <family val="4"/>
        <charset val="136"/>
      </rPr>
      <t>麒麟里</t>
    </r>
  </si>
  <si>
    <r>
      <rPr>
        <sz val="12"/>
        <rFont val="標楷體"/>
        <family val="4"/>
        <charset val="136"/>
      </rPr>
      <t>投縣</t>
    </r>
    <r>
      <rPr>
        <sz val="12"/>
        <rFont val="Times New Roman"/>
        <family val="1"/>
      </rPr>
      <t>DF045</t>
    </r>
  </si>
  <si>
    <r>
      <rPr>
        <sz val="12"/>
        <rFont val="標楷體"/>
        <family val="4"/>
        <charset val="136"/>
      </rPr>
      <t>建築物損毀</t>
    </r>
    <r>
      <rPr>
        <sz val="12"/>
        <rFont val="Times New Roman"/>
        <family val="1"/>
      </rPr>
      <t xml:space="preserve"> 1</t>
    </r>
    <r>
      <rPr>
        <sz val="12"/>
        <rFont val="標楷體"/>
        <family val="4"/>
        <charset val="136"/>
      </rPr>
      <t>棟，淤埋</t>
    </r>
    <r>
      <rPr>
        <sz val="12"/>
        <rFont val="Times New Roman"/>
        <family val="1"/>
      </rPr>
      <t xml:space="preserve"> 5</t>
    </r>
    <r>
      <rPr>
        <sz val="12"/>
        <rFont val="標楷體"/>
        <family val="4"/>
        <charset val="136"/>
      </rPr>
      <t>棟。疏散</t>
    </r>
    <r>
      <rPr>
        <sz val="12"/>
        <rFont val="Times New Roman"/>
        <family val="1"/>
      </rPr>
      <t xml:space="preserve"> 77-1</t>
    </r>
    <r>
      <rPr>
        <sz val="12"/>
        <rFont val="標楷體"/>
        <family val="4"/>
        <charset val="136"/>
      </rPr>
      <t>號與</t>
    </r>
    <r>
      <rPr>
        <sz val="12"/>
        <rFont val="Times New Roman"/>
        <family val="1"/>
      </rPr>
      <t xml:space="preserve"> 76</t>
    </r>
    <r>
      <rPr>
        <sz val="12"/>
        <rFont val="標楷體"/>
        <family val="4"/>
        <charset val="136"/>
      </rPr>
      <t>號住戶</t>
    </r>
    <r>
      <rPr>
        <sz val="12"/>
        <rFont val="Times New Roman"/>
        <family val="1"/>
      </rPr>
      <t xml:space="preserve"> 7</t>
    </r>
    <r>
      <rPr>
        <sz val="12"/>
        <rFont val="標楷體"/>
        <family val="4"/>
        <charset val="136"/>
      </rPr>
      <t>人。</t>
    </r>
    <r>
      <rPr>
        <sz val="12"/>
        <rFont val="Times New Roman"/>
        <family val="1"/>
      </rPr>
      <t>1</t>
    </r>
    <r>
      <rPr>
        <sz val="12"/>
        <rFont val="標楷體"/>
        <family val="4"/>
        <charset val="136"/>
      </rPr>
      <t>民眾受傷</t>
    </r>
    <r>
      <rPr>
        <sz val="12"/>
        <rFont val="Times New Roman"/>
        <family val="1"/>
      </rPr>
      <t xml:space="preserve"> </t>
    </r>
    <phoneticPr fontId="5" type="noConversion"/>
  </si>
  <si>
    <r>
      <rPr>
        <sz val="12"/>
        <rFont val="標楷體"/>
        <family val="4"/>
        <charset val="136"/>
      </rPr>
      <t>北坑</t>
    </r>
    <phoneticPr fontId="5" type="noConversion"/>
  </si>
  <si>
    <r>
      <rPr>
        <sz val="12"/>
        <rFont val="標楷體"/>
        <family val="4"/>
        <charset val="136"/>
      </rPr>
      <t>投</t>
    </r>
    <r>
      <rPr>
        <sz val="12"/>
        <rFont val="Times New Roman"/>
        <family val="1"/>
      </rPr>
      <t>71</t>
    </r>
    <r>
      <rPr>
        <sz val="12"/>
        <rFont val="標楷體"/>
        <family val="4"/>
        <charset val="136"/>
      </rPr>
      <t>線</t>
    </r>
    <r>
      <rPr>
        <sz val="12"/>
        <rFont val="Times New Roman"/>
        <family val="1"/>
      </rPr>
      <t>6.2~7.2K</t>
    </r>
    <r>
      <rPr>
        <sz val="12"/>
        <rFont val="標楷體"/>
        <family val="4"/>
        <charset val="136"/>
      </rPr>
      <t>處</t>
    </r>
    <phoneticPr fontId="5" type="noConversion"/>
  </si>
  <si>
    <r>
      <rPr>
        <sz val="12"/>
        <rFont val="標楷體"/>
        <family val="4"/>
        <charset val="136"/>
      </rPr>
      <t>投縣</t>
    </r>
    <r>
      <rPr>
        <sz val="12"/>
        <rFont val="Times New Roman"/>
        <family val="1"/>
      </rPr>
      <t>DF050</t>
    </r>
  </si>
  <si>
    <r>
      <rPr>
        <sz val="12"/>
        <rFont val="標楷體"/>
        <family val="4"/>
        <charset val="136"/>
      </rPr>
      <t>東埔溪上游野溪土砂淤積河道及右岸投</t>
    </r>
    <r>
      <rPr>
        <sz val="12"/>
        <rFont val="Times New Roman"/>
        <family val="1"/>
      </rPr>
      <t xml:space="preserve"> 71</t>
    </r>
    <r>
      <rPr>
        <sz val="12"/>
        <rFont val="標楷體"/>
        <family val="4"/>
        <charset val="136"/>
      </rPr>
      <t>線，導致部份路段毀損，河道沿岸建物毀損。房屋受損：</t>
    </r>
    <r>
      <rPr>
        <sz val="12"/>
        <rFont val="Times New Roman"/>
        <family val="1"/>
      </rPr>
      <t>10</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</si>
  <si>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投</t>
    </r>
    <r>
      <rPr>
        <sz val="12"/>
        <rFont val="Times New Roman"/>
        <family val="1"/>
      </rPr>
      <t>71</t>
    </r>
    <r>
      <rPr>
        <sz val="12"/>
        <rFont val="標楷體"/>
        <family val="4"/>
        <charset val="136"/>
      </rPr>
      <t>線卓社隧道出口</t>
    </r>
  </si>
  <si>
    <r>
      <rPr>
        <sz val="12"/>
        <rFont val="標楷體"/>
        <family val="4"/>
        <charset val="136"/>
      </rPr>
      <t>法治村</t>
    </r>
  </si>
  <si>
    <r>
      <rPr>
        <sz val="12"/>
        <rFont val="標楷體"/>
        <family val="4"/>
        <charset val="136"/>
      </rPr>
      <t>投縣</t>
    </r>
    <r>
      <rPr>
        <sz val="12"/>
        <rFont val="Times New Roman"/>
        <family val="1"/>
      </rPr>
      <t>DF026</t>
    </r>
  </si>
  <si>
    <r>
      <rPr>
        <sz val="12"/>
        <rFont val="標楷體"/>
        <family val="4"/>
        <charset val="136"/>
      </rPr>
      <t>卓社隧道出口處左側野溪發生土石流災害，堆積土方約</t>
    </r>
    <r>
      <rPr>
        <sz val="12"/>
        <rFont val="Times New Roman"/>
        <family val="1"/>
      </rPr>
      <t xml:space="preserve"> 3</t>
    </r>
    <r>
      <rPr>
        <sz val="12"/>
        <rFont val="標楷體"/>
        <family val="4"/>
        <charset val="136"/>
      </rPr>
      <t>萬方。卓社隧道出口處約</t>
    </r>
    <r>
      <rPr>
        <sz val="12"/>
        <rFont val="Times New Roman"/>
        <family val="1"/>
      </rPr>
      <t xml:space="preserve"> 100m </t>
    </r>
    <r>
      <rPr>
        <sz val="12"/>
        <rFont val="標楷體"/>
        <family val="4"/>
        <charset val="136"/>
      </rPr>
      <t>處道路</t>
    </r>
    <r>
      <rPr>
        <sz val="12"/>
        <rFont val="Times New Roman"/>
        <family val="1"/>
      </rPr>
      <t xml:space="preserve"> </t>
    </r>
    <r>
      <rPr>
        <sz val="12"/>
        <rFont val="標楷體"/>
        <family val="4"/>
        <charset val="136"/>
      </rPr>
      <t>邊坡野溪發生洪水沖刷坡面，土石堆積路面。無人員傷亡。現場已有機具進行土方清運。</t>
    </r>
    <r>
      <rPr>
        <sz val="12"/>
        <rFont val="Times New Roman"/>
        <family val="1"/>
      </rPr>
      <t xml:space="preserve"> </t>
    </r>
    <phoneticPr fontId="5" type="noConversion"/>
  </si>
  <si>
    <r>
      <rPr>
        <sz val="12"/>
        <rFont val="標楷體"/>
        <family val="4"/>
        <charset val="136"/>
      </rPr>
      <t>武界</t>
    </r>
    <phoneticPr fontId="5" type="noConversion"/>
  </si>
  <si>
    <r>
      <rPr>
        <sz val="12"/>
        <rFont val="標楷體"/>
        <family val="4"/>
        <charset val="136"/>
      </rPr>
      <t>投</t>
    </r>
    <r>
      <rPr>
        <sz val="12"/>
        <rFont val="Times New Roman"/>
        <family val="1"/>
      </rPr>
      <t>63</t>
    </r>
    <r>
      <rPr>
        <sz val="12"/>
        <rFont val="標楷體"/>
        <family val="4"/>
        <charset val="136"/>
      </rPr>
      <t>線潭南一號橋</t>
    </r>
    <phoneticPr fontId="5" type="noConversion"/>
  </si>
  <si>
    <r>
      <rPr>
        <sz val="12"/>
        <rFont val="標楷體"/>
        <family val="4"/>
        <charset val="136"/>
      </rPr>
      <t>信義鄉</t>
    </r>
  </si>
  <si>
    <r>
      <rPr>
        <sz val="12"/>
        <rFont val="標楷體"/>
        <family val="4"/>
        <charset val="136"/>
      </rPr>
      <t>潭南村</t>
    </r>
  </si>
  <si>
    <r>
      <rPr>
        <sz val="12"/>
        <rFont val="標楷體"/>
        <family val="4"/>
        <charset val="136"/>
      </rPr>
      <t>投縣</t>
    </r>
    <r>
      <rPr>
        <sz val="12"/>
        <rFont val="Times New Roman"/>
        <family val="1"/>
      </rPr>
      <t>DF178</t>
    </r>
  </si>
  <si>
    <r>
      <rPr>
        <sz val="12"/>
        <rFont val="標楷體"/>
        <family val="4"/>
        <charset val="136"/>
      </rPr>
      <t>南投</t>
    </r>
    <r>
      <rPr>
        <sz val="12"/>
        <rFont val="Times New Roman"/>
        <family val="1"/>
      </rPr>
      <t xml:space="preserve"> 022</t>
    </r>
    <r>
      <rPr>
        <sz val="12"/>
        <rFont val="標楷體"/>
        <family val="4"/>
        <charset val="136"/>
      </rPr>
      <t>土石流潛勢溪流發生土石災害、阻斷投</t>
    </r>
    <r>
      <rPr>
        <sz val="12"/>
        <rFont val="Times New Roman"/>
        <family val="1"/>
      </rPr>
      <t>63</t>
    </r>
    <r>
      <rPr>
        <sz val="12"/>
        <rFont val="標楷體"/>
        <family val="4"/>
        <charset val="136"/>
      </rPr>
      <t>線與潭南一號橋，並造成二棟房屋毀損。</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人員傷亡：無。</t>
    </r>
    <phoneticPr fontId="5" type="noConversion"/>
  </si>
  <si>
    <r>
      <rPr>
        <sz val="12"/>
        <rFont val="標楷體"/>
        <family val="4"/>
        <charset val="136"/>
      </rPr>
      <t>青雲</t>
    </r>
    <phoneticPr fontId="5" type="noConversion"/>
  </si>
  <si>
    <t>洪水</t>
    <phoneticPr fontId="5" type="noConversion"/>
  </si>
  <si>
    <r>
      <rPr>
        <sz val="12"/>
        <rFont val="標楷體"/>
        <family val="4"/>
        <charset val="136"/>
      </rPr>
      <t>建山國小後側上游處</t>
    </r>
    <phoneticPr fontId="5" type="noConversion"/>
  </si>
  <si>
    <r>
      <rPr>
        <sz val="12"/>
        <rFont val="標楷體"/>
        <family val="4"/>
        <charset val="136"/>
      </rPr>
      <t>桃源區</t>
    </r>
  </si>
  <si>
    <r>
      <rPr>
        <sz val="12"/>
        <rFont val="標楷體"/>
        <family val="4"/>
        <charset val="136"/>
      </rPr>
      <t>建山里</t>
    </r>
  </si>
  <si>
    <r>
      <rPr>
        <sz val="12"/>
        <rFont val="標楷體"/>
        <family val="4"/>
        <charset val="136"/>
      </rPr>
      <t>高市</t>
    </r>
    <r>
      <rPr>
        <sz val="12"/>
        <rFont val="Times New Roman"/>
        <family val="1"/>
      </rPr>
      <t>DF045</t>
    </r>
    <phoneticPr fontId="5" type="noConversion"/>
  </si>
  <si>
    <r>
      <rPr>
        <sz val="12"/>
        <rFont val="標楷體"/>
        <family val="4"/>
        <charset val="136"/>
      </rPr>
      <t>建山國小後方高雄</t>
    </r>
    <r>
      <rPr>
        <sz val="12"/>
        <rFont val="Times New Roman"/>
        <family val="1"/>
      </rPr>
      <t xml:space="preserve"> A027</t>
    </r>
    <r>
      <rPr>
        <sz val="12"/>
        <rFont val="標楷體"/>
        <family val="4"/>
        <charset val="136"/>
      </rPr>
      <t>潛勢溪流爆發土石流，且因堵塞下游箱涵而造成洪水外溢，夾帶泥石漫淹至</t>
    </r>
    <r>
      <rPr>
        <sz val="12"/>
        <rFont val="Times New Roman"/>
        <family val="1"/>
      </rPr>
      <t>2</t>
    </r>
    <r>
      <rPr>
        <sz val="12"/>
        <rFont val="標楷體"/>
        <family val="4"/>
        <charset val="136"/>
      </rPr>
      <t>鄰</t>
    </r>
    <r>
      <rPr>
        <sz val="12"/>
        <rFont val="Times New Roman"/>
        <family val="1"/>
      </rPr>
      <t xml:space="preserve"> 57-1</t>
    </r>
    <r>
      <rPr>
        <sz val="12"/>
        <rFont val="標楷體"/>
        <family val="4"/>
        <charset val="136"/>
      </rPr>
      <t>號民宅。</t>
    </r>
    <r>
      <rPr>
        <sz val="12"/>
        <rFont val="Times New Roman"/>
        <family val="1"/>
      </rPr>
      <t xml:space="preserve"> </t>
    </r>
    <r>
      <rPr>
        <sz val="12"/>
        <rFont val="標楷體"/>
        <family val="4"/>
        <charset val="136"/>
      </rPr>
      <t>河道逕流與土石漫溢造游成</t>
    </r>
    <r>
      <rPr>
        <sz val="12"/>
        <rFont val="Times New Roman"/>
        <family val="1"/>
      </rPr>
      <t>5</t>
    </r>
    <r>
      <rPr>
        <sz val="12"/>
        <rFont val="標楷體"/>
        <family val="4"/>
        <charset val="136"/>
      </rPr>
      <t>鄰</t>
    </r>
    <r>
      <rPr>
        <sz val="12"/>
        <rFont val="Times New Roman"/>
        <family val="1"/>
      </rPr>
      <t>8</t>
    </r>
    <r>
      <rPr>
        <sz val="12"/>
        <rFont val="標楷體"/>
        <family val="4"/>
        <charset val="136"/>
      </rPr>
      <t>戶民宅後方坡地土石鬆散堆積。</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道路毀損：</t>
    </r>
    <r>
      <rPr>
        <sz val="12"/>
        <rFont val="Times New Roman"/>
        <family val="1"/>
      </rPr>
      <t>50</t>
    </r>
    <r>
      <rPr>
        <sz val="12"/>
        <rFont val="標楷體"/>
        <family val="4"/>
        <charset val="136"/>
      </rPr>
      <t>公尺。</t>
    </r>
    <phoneticPr fontId="5" type="noConversion"/>
  </si>
  <si>
    <r>
      <rPr>
        <sz val="12"/>
        <rFont val="標楷體"/>
        <family val="4"/>
        <charset val="136"/>
      </rPr>
      <t>新發</t>
    </r>
    <phoneticPr fontId="5" type="noConversion"/>
  </si>
  <si>
    <r>
      <rPr>
        <sz val="12"/>
        <rFont val="標楷體"/>
        <family val="4"/>
        <charset val="136"/>
      </rPr>
      <t>建國橋</t>
    </r>
    <phoneticPr fontId="5" type="noConversion"/>
  </si>
  <si>
    <r>
      <rPr>
        <sz val="12"/>
        <rFont val="標楷體"/>
        <family val="4"/>
        <charset val="136"/>
      </rPr>
      <t>野溪上游因豪雨引發土石流，溪床沖刷深</t>
    </r>
    <r>
      <rPr>
        <sz val="12"/>
        <rFont val="Times New Roman"/>
        <family val="1"/>
      </rPr>
      <t xml:space="preserve"> 1~3m</t>
    </r>
    <r>
      <rPr>
        <sz val="12"/>
        <rFont val="標楷體"/>
        <family val="4"/>
        <charset val="136"/>
      </rPr>
      <t>，兩岸侵蝕約</t>
    </r>
    <r>
      <rPr>
        <sz val="12"/>
        <rFont val="Times New Roman"/>
        <family val="1"/>
      </rPr>
      <t xml:space="preserve"> 5~50m</t>
    </r>
    <r>
      <rPr>
        <sz val="12"/>
        <rFont val="標楷體"/>
        <family val="4"/>
        <charset val="136"/>
      </rPr>
      <t>不等，同時夾帶巨石造成建國橋及建山二橋毀損，農路建山巷沖毀約</t>
    </r>
    <r>
      <rPr>
        <sz val="12"/>
        <rFont val="Times New Roman"/>
        <family val="1"/>
      </rPr>
      <t>200m</t>
    </r>
    <r>
      <rPr>
        <sz val="12"/>
        <rFont val="標楷體"/>
        <family val="4"/>
        <charset val="136"/>
      </rPr>
      <t>，台</t>
    </r>
    <r>
      <rPr>
        <sz val="12"/>
        <rFont val="Times New Roman"/>
        <family val="1"/>
      </rPr>
      <t xml:space="preserve"> 20</t>
    </r>
    <r>
      <rPr>
        <sz val="12"/>
        <rFont val="標楷體"/>
        <family val="4"/>
        <charset val="136"/>
      </rPr>
      <t>線及護岸沖毀約</t>
    </r>
    <r>
      <rPr>
        <sz val="12"/>
        <rFont val="Times New Roman"/>
        <family val="1"/>
      </rPr>
      <t>50m</t>
    </r>
    <r>
      <rPr>
        <sz val="12"/>
        <rFont val="標楷體"/>
        <family val="4"/>
        <charset val="136"/>
      </rPr>
      <t>，幸未造成人員傷亡。</t>
    </r>
    <r>
      <rPr>
        <sz val="12"/>
        <rFont val="Times New Roman"/>
        <family val="1"/>
      </rPr>
      <t xml:space="preserve"> </t>
    </r>
    <r>
      <rPr>
        <sz val="12"/>
        <rFont val="標楷體"/>
        <family val="4"/>
        <charset val="136"/>
      </rPr>
      <t>橋梁毀損：</t>
    </r>
    <r>
      <rPr>
        <sz val="12"/>
        <rFont val="Times New Roman"/>
        <family val="1"/>
      </rPr>
      <t>2</t>
    </r>
    <r>
      <rPr>
        <sz val="12"/>
        <rFont val="標楷體"/>
        <family val="4"/>
        <charset val="136"/>
      </rPr>
      <t>座。</t>
    </r>
    <r>
      <rPr>
        <sz val="12"/>
        <rFont val="Times New Roman"/>
        <family val="1"/>
      </rPr>
      <t xml:space="preserve"> </t>
    </r>
    <r>
      <rPr>
        <sz val="12"/>
        <rFont val="標楷體"/>
        <family val="4"/>
        <charset val="136"/>
      </rPr>
      <t>護岸毀損：</t>
    </r>
    <r>
      <rPr>
        <sz val="12"/>
        <rFont val="Times New Roman"/>
        <family val="1"/>
      </rPr>
      <t>50</t>
    </r>
    <r>
      <rPr>
        <sz val="12"/>
        <rFont val="標楷體"/>
        <family val="4"/>
        <charset val="136"/>
      </rPr>
      <t>公尺。</t>
    </r>
    <r>
      <rPr>
        <sz val="12"/>
        <rFont val="Times New Roman"/>
        <family val="1"/>
      </rPr>
      <t xml:space="preserve"> </t>
    </r>
    <r>
      <rPr>
        <sz val="12"/>
        <rFont val="標楷體"/>
        <family val="4"/>
        <charset val="136"/>
      </rPr>
      <t>道路毀損：</t>
    </r>
    <r>
      <rPr>
        <sz val="12"/>
        <rFont val="Times New Roman"/>
        <family val="1"/>
      </rPr>
      <t>250</t>
    </r>
    <r>
      <rPr>
        <sz val="12"/>
        <rFont val="標楷體"/>
        <family val="4"/>
        <charset val="136"/>
      </rPr>
      <t xml:space="preserve">公尺。
</t>
    </r>
    <phoneticPr fontId="5" type="noConversion"/>
  </si>
  <si>
    <r>
      <rPr>
        <sz val="12"/>
        <rFont val="標楷體"/>
        <family val="4"/>
        <charset val="136"/>
      </rPr>
      <t>建山二橋</t>
    </r>
    <phoneticPr fontId="5" type="noConversion"/>
  </si>
  <si>
    <r>
      <rPr>
        <sz val="12"/>
        <rFont val="標楷體"/>
        <family val="4"/>
        <charset val="136"/>
      </rPr>
      <t>野溪上游因豪雨引發土石流，溪床沖刷深</t>
    </r>
    <r>
      <rPr>
        <sz val="12"/>
        <rFont val="Times New Roman"/>
        <family val="1"/>
      </rPr>
      <t xml:space="preserve"> 1~3m</t>
    </r>
    <r>
      <rPr>
        <sz val="12"/>
        <rFont val="標楷體"/>
        <family val="4"/>
        <charset val="136"/>
      </rPr>
      <t>，兩岸侵蝕約</t>
    </r>
    <r>
      <rPr>
        <sz val="12"/>
        <rFont val="Times New Roman"/>
        <family val="1"/>
      </rPr>
      <t xml:space="preserve"> 5~50m</t>
    </r>
    <r>
      <rPr>
        <sz val="12"/>
        <rFont val="標楷體"/>
        <family val="4"/>
        <charset val="136"/>
      </rPr>
      <t>不等，同時夾帶巨石造成建國橋及建山二橋毀損，農路建山巷沖毀約</t>
    </r>
    <r>
      <rPr>
        <sz val="12"/>
        <rFont val="Times New Roman"/>
        <family val="1"/>
      </rPr>
      <t>200m</t>
    </r>
    <r>
      <rPr>
        <sz val="12"/>
        <rFont val="標楷體"/>
        <family val="4"/>
        <charset val="136"/>
      </rPr>
      <t>，台</t>
    </r>
    <r>
      <rPr>
        <sz val="12"/>
        <rFont val="Times New Roman"/>
        <family val="1"/>
      </rPr>
      <t xml:space="preserve"> 20</t>
    </r>
    <r>
      <rPr>
        <sz val="12"/>
        <rFont val="標楷體"/>
        <family val="4"/>
        <charset val="136"/>
      </rPr>
      <t>線及護岸沖毀約</t>
    </r>
    <r>
      <rPr>
        <sz val="12"/>
        <rFont val="Times New Roman"/>
        <family val="1"/>
      </rPr>
      <t>50m</t>
    </r>
    <r>
      <rPr>
        <sz val="12"/>
        <rFont val="標楷體"/>
        <family val="4"/>
        <charset val="136"/>
      </rPr>
      <t>，幸未造成人員傷亡。</t>
    </r>
    <r>
      <rPr>
        <sz val="12"/>
        <rFont val="Times New Roman"/>
        <family val="1"/>
      </rPr>
      <t xml:space="preserve"> </t>
    </r>
    <r>
      <rPr>
        <sz val="12"/>
        <rFont val="標楷體"/>
        <family val="4"/>
        <charset val="136"/>
      </rPr>
      <t>橋梁毀損：</t>
    </r>
    <r>
      <rPr>
        <sz val="12"/>
        <rFont val="Times New Roman"/>
        <family val="1"/>
      </rPr>
      <t>2</t>
    </r>
    <r>
      <rPr>
        <sz val="12"/>
        <rFont val="標楷體"/>
        <family val="4"/>
        <charset val="136"/>
      </rPr>
      <t>座。</t>
    </r>
    <r>
      <rPr>
        <sz val="12"/>
        <rFont val="Times New Roman"/>
        <family val="1"/>
      </rPr>
      <t xml:space="preserve"> </t>
    </r>
    <r>
      <rPr>
        <sz val="12"/>
        <rFont val="標楷體"/>
        <family val="4"/>
        <charset val="136"/>
      </rPr>
      <t>護岸毀損：</t>
    </r>
    <r>
      <rPr>
        <sz val="12"/>
        <rFont val="Times New Roman"/>
        <family val="1"/>
      </rPr>
      <t>50</t>
    </r>
    <r>
      <rPr>
        <sz val="12"/>
        <rFont val="標楷體"/>
        <family val="4"/>
        <charset val="136"/>
      </rPr>
      <t>公尺。</t>
    </r>
    <r>
      <rPr>
        <sz val="12"/>
        <rFont val="Times New Roman"/>
        <family val="1"/>
      </rPr>
      <t xml:space="preserve"> </t>
    </r>
    <r>
      <rPr>
        <sz val="12"/>
        <rFont val="標楷體"/>
        <family val="4"/>
        <charset val="136"/>
      </rPr>
      <t>道路毀損：</t>
    </r>
    <r>
      <rPr>
        <sz val="12"/>
        <rFont val="Times New Roman"/>
        <family val="1"/>
      </rPr>
      <t>251</t>
    </r>
    <r>
      <rPr>
        <sz val="12"/>
        <rFont val="標楷體"/>
        <family val="4"/>
        <charset val="136"/>
      </rPr>
      <t xml:space="preserve">公尺。
</t>
    </r>
  </si>
  <si>
    <t>C1V241</t>
  </si>
  <si>
    <r>
      <rPr>
        <sz val="12"/>
        <rFont val="標楷體"/>
        <family val="4"/>
        <charset val="136"/>
      </rPr>
      <t>高</t>
    </r>
    <r>
      <rPr>
        <sz val="12"/>
        <rFont val="Times New Roman"/>
        <family val="1"/>
      </rPr>
      <t xml:space="preserve">129 </t>
    </r>
    <r>
      <rPr>
        <sz val="12"/>
        <rFont val="標楷體"/>
        <family val="4"/>
        <charset val="136"/>
      </rPr>
      <t>線</t>
    </r>
    <r>
      <rPr>
        <sz val="12"/>
        <rFont val="Times New Roman"/>
        <family val="1"/>
      </rPr>
      <t>3.2k</t>
    </r>
    <r>
      <rPr>
        <sz val="12"/>
        <rFont val="標楷體"/>
        <family val="4"/>
        <charset val="136"/>
      </rPr>
      <t>處</t>
    </r>
  </si>
  <si>
    <r>
      <rPr>
        <sz val="12"/>
        <rFont val="標楷體"/>
        <family val="4"/>
        <charset val="136"/>
      </rPr>
      <t>杉林區</t>
    </r>
  </si>
  <si>
    <r>
      <rPr>
        <sz val="12"/>
        <rFont val="標楷體"/>
        <family val="4"/>
        <charset val="136"/>
      </rPr>
      <t>木梓里</t>
    </r>
  </si>
  <si>
    <r>
      <rPr>
        <sz val="12"/>
        <rFont val="標楷體"/>
        <family val="4"/>
        <charset val="136"/>
      </rPr>
      <t>高市</t>
    </r>
    <r>
      <rPr>
        <sz val="12"/>
        <rFont val="Times New Roman"/>
        <family val="1"/>
      </rPr>
      <t>DF021</t>
    </r>
    <phoneticPr fontId="5" type="noConversion"/>
  </si>
  <si>
    <r>
      <rPr>
        <sz val="12"/>
        <rFont val="標楷體"/>
        <family val="4"/>
        <charset val="136"/>
      </rPr>
      <t>野溪上游大面積崩塌，大量土石淤積。</t>
    </r>
    <r>
      <rPr>
        <sz val="12"/>
        <rFont val="Times New Roman"/>
        <family val="1"/>
      </rPr>
      <t xml:space="preserve"> </t>
    </r>
    <r>
      <rPr>
        <sz val="12"/>
        <rFont val="標楷體"/>
        <family val="4"/>
        <charset val="136"/>
      </rPr>
      <t>河道改變，護岸嚴重毀損。</t>
    </r>
    <r>
      <rPr>
        <sz val="12"/>
        <rFont val="Times New Roman"/>
        <family val="1"/>
      </rPr>
      <t xml:space="preserve"> </t>
    </r>
    <r>
      <rPr>
        <sz val="12"/>
        <rFont val="標楷體"/>
        <family val="4"/>
        <charset val="136"/>
      </rPr>
      <t>道路及果園遭土石淤埋。</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200</t>
    </r>
    <r>
      <rPr>
        <sz val="12"/>
        <rFont val="標楷體"/>
        <family val="4"/>
        <charset val="136"/>
      </rPr>
      <t>公尺。</t>
    </r>
    <r>
      <rPr>
        <sz val="12"/>
        <rFont val="Times New Roman"/>
        <family val="1"/>
      </rPr>
      <t xml:space="preserve"> </t>
    </r>
    <phoneticPr fontId="5" type="noConversion"/>
  </si>
  <si>
    <r>
      <rPr>
        <sz val="12"/>
        <rFont val="標楷體"/>
        <family val="4"/>
        <charset val="136"/>
      </rPr>
      <t>月眉</t>
    </r>
    <phoneticPr fontId="5" type="noConversion"/>
  </si>
  <si>
    <r>
      <rPr>
        <sz val="12"/>
        <rFont val="標楷體"/>
        <family val="4"/>
        <charset val="136"/>
      </rPr>
      <t>台</t>
    </r>
    <r>
      <rPr>
        <sz val="12"/>
        <rFont val="Times New Roman"/>
        <family val="1"/>
      </rPr>
      <t>27</t>
    </r>
    <r>
      <rPr>
        <sz val="12"/>
        <rFont val="標楷體"/>
        <family val="4"/>
        <charset val="136"/>
      </rPr>
      <t>線</t>
    </r>
    <r>
      <rPr>
        <sz val="12"/>
        <rFont val="Times New Roman"/>
        <family val="1"/>
      </rPr>
      <t>21.7K</t>
    </r>
    <r>
      <rPr>
        <sz val="12"/>
        <rFont val="標楷體"/>
        <family val="4"/>
        <charset val="136"/>
      </rPr>
      <t>處</t>
    </r>
    <phoneticPr fontId="5" type="noConversion"/>
  </si>
  <si>
    <r>
      <rPr>
        <sz val="12"/>
        <rFont val="標楷體"/>
        <family val="4"/>
        <charset val="136"/>
      </rPr>
      <t>高市</t>
    </r>
    <r>
      <rPr>
        <sz val="12"/>
        <rFont val="Times New Roman"/>
        <family val="1"/>
      </rPr>
      <t>DF053</t>
    </r>
    <phoneticPr fontId="5" type="noConversion"/>
  </si>
  <si>
    <r>
      <rPr>
        <sz val="12"/>
        <rFont val="標楷體"/>
        <family val="4"/>
        <charset val="136"/>
      </rPr>
      <t>河道大量土石淤積。</t>
    </r>
    <r>
      <rPr>
        <sz val="12"/>
        <rFont val="Times New Roman"/>
        <family val="1"/>
      </rPr>
      <t xml:space="preserve"> </t>
    </r>
    <r>
      <rPr>
        <sz val="12"/>
        <rFont val="標楷體"/>
        <family val="4"/>
        <charset val="136"/>
      </rPr>
      <t>護岸及故床工部分毀損毀損。</t>
    </r>
    <r>
      <rPr>
        <sz val="12"/>
        <rFont val="Times New Roman"/>
        <family val="1"/>
      </rPr>
      <t xml:space="preserve">  </t>
    </r>
    <r>
      <rPr>
        <sz val="12"/>
        <rFont val="標楷體"/>
        <family val="4"/>
        <charset val="136"/>
      </rPr>
      <t>河道土石溢出淤埋民宅及果園。</t>
    </r>
    <r>
      <rPr>
        <sz val="12"/>
        <rFont val="Times New Roman"/>
        <family val="1"/>
      </rPr>
      <t xml:space="preserve">  </t>
    </r>
    <r>
      <rPr>
        <sz val="12"/>
        <rFont val="標楷體"/>
        <family val="4"/>
        <charset val="136"/>
      </rPr>
      <t>房舍受損：</t>
    </r>
    <r>
      <rPr>
        <sz val="12"/>
        <rFont val="Times New Roman"/>
        <family val="1"/>
      </rPr>
      <t>7</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150</t>
    </r>
    <r>
      <rPr>
        <sz val="12"/>
        <rFont val="標楷體"/>
        <family val="4"/>
        <charset val="136"/>
      </rPr>
      <t xml:space="preserve">公尺。
</t>
    </r>
    <r>
      <rPr>
        <sz val="12"/>
        <rFont val="Times New Roman"/>
        <family val="1"/>
      </rPr>
      <t xml:space="preserve"> </t>
    </r>
    <phoneticPr fontId="5" type="noConversion"/>
  </si>
  <si>
    <r>
      <rPr>
        <sz val="12"/>
        <rFont val="標楷體"/>
        <family val="4"/>
        <charset val="136"/>
      </rPr>
      <t>大津</t>
    </r>
    <phoneticPr fontId="5" type="noConversion"/>
  </si>
  <si>
    <r>
      <rPr>
        <sz val="12"/>
        <rFont val="標楷體"/>
        <family val="4"/>
        <charset val="136"/>
      </rPr>
      <t>台</t>
    </r>
    <r>
      <rPr>
        <sz val="12"/>
        <rFont val="Times New Roman"/>
        <family val="1"/>
      </rPr>
      <t>20</t>
    </r>
    <r>
      <rPr>
        <sz val="12"/>
        <rFont val="標楷體"/>
        <family val="4"/>
        <charset val="136"/>
      </rPr>
      <t>線</t>
    </r>
    <r>
      <rPr>
        <sz val="12"/>
        <rFont val="Times New Roman"/>
        <family val="1"/>
      </rPr>
      <t>80K</t>
    </r>
    <r>
      <rPr>
        <sz val="12"/>
        <rFont val="標楷體"/>
        <family val="4"/>
        <charset val="136"/>
      </rPr>
      <t>處野溪</t>
    </r>
  </si>
  <si>
    <r>
      <rPr>
        <sz val="12"/>
        <rFont val="標楷體"/>
        <family val="4"/>
        <charset val="136"/>
      </rPr>
      <t>高市</t>
    </r>
    <r>
      <rPr>
        <sz val="12"/>
        <rFont val="Times New Roman"/>
        <family val="1"/>
      </rPr>
      <t>DF047</t>
    </r>
    <phoneticPr fontId="5" type="noConversion"/>
  </si>
  <si>
    <r>
      <rPr>
        <sz val="12"/>
        <rFont val="標楷體"/>
        <family val="4"/>
        <charset val="136"/>
      </rPr>
      <t>野溪於</t>
    </r>
    <r>
      <rPr>
        <sz val="12"/>
        <rFont val="Times New Roman"/>
        <family val="1"/>
      </rPr>
      <t>7</t>
    </r>
    <r>
      <rPr>
        <sz val="12"/>
        <rFont val="標楷體"/>
        <family val="4"/>
        <charset val="136"/>
      </rPr>
      <t>月</t>
    </r>
    <r>
      <rPr>
        <sz val="12"/>
        <rFont val="Times New Roman"/>
        <family val="1"/>
      </rPr>
      <t>17</t>
    </r>
    <r>
      <rPr>
        <sz val="12"/>
        <rFont val="標楷體"/>
        <family val="4"/>
        <charset val="136"/>
      </rPr>
      <t>日</t>
    </r>
    <r>
      <rPr>
        <sz val="12"/>
        <rFont val="Times New Roman"/>
        <family val="1"/>
      </rPr>
      <t>23:00</t>
    </r>
    <r>
      <rPr>
        <sz val="12"/>
        <rFont val="標楷體"/>
        <family val="4"/>
        <charset val="136"/>
      </rPr>
      <t>爆發土石流，土石淤塞河道並溢流至台</t>
    </r>
    <r>
      <rPr>
        <sz val="12"/>
        <rFont val="Times New Roman"/>
        <family val="1"/>
      </rPr>
      <t xml:space="preserve"> 20</t>
    </r>
    <r>
      <rPr>
        <sz val="12"/>
        <rFont val="標楷體"/>
        <family val="4"/>
        <charset val="136"/>
      </rPr>
      <t>線</t>
    </r>
    <r>
      <rPr>
        <sz val="12"/>
        <rFont val="Times New Roman"/>
        <family val="1"/>
      </rPr>
      <t>(</t>
    </r>
    <r>
      <rPr>
        <sz val="12"/>
        <rFont val="標楷體"/>
        <family val="4"/>
        <charset val="136"/>
      </rPr>
      <t>近寶來一號橋西側</t>
    </r>
    <r>
      <rPr>
        <sz val="12"/>
        <rFont val="Times New Roman"/>
        <family val="1"/>
      </rPr>
      <t>)</t>
    </r>
    <r>
      <rPr>
        <sz val="12"/>
        <rFont val="標楷體"/>
        <family val="4"/>
        <charset val="136"/>
      </rPr>
      <t>，造成交通受阻，野溪上游側之部分產業道路沖毀，所幸並未造成人員傷亡。</t>
    </r>
    <r>
      <rPr>
        <sz val="12"/>
        <rFont val="Times New Roman"/>
        <family val="1"/>
      </rPr>
      <t xml:space="preserve"> </t>
    </r>
    <r>
      <rPr>
        <sz val="12"/>
        <rFont val="標楷體"/>
        <family val="4"/>
        <charset val="136"/>
      </rPr>
      <t>道路毀損：野溪上游產業道路約</t>
    </r>
    <r>
      <rPr>
        <sz val="12"/>
        <rFont val="Times New Roman"/>
        <family val="1"/>
      </rPr>
      <t>250</t>
    </r>
    <r>
      <rPr>
        <sz val="12"/>
        <rFont val="標楷體"/>
        <family val="4"/>
        <charset val="136"/>
      </rPr>
      <t>公尺。</t>
    </r>
    <r>
      <rPr>
        <sz val="12"/>
        <rFont val="Times New Roman"/>
        <family val="1"/>
      </rPr>
      <t xml:space="preserve"> 
</t>
    </r>
    <phoneticPr fontId="5" type="noConversion"/>
  </si>
  <si>
    <r>
      <rPr>
        <sz val="12"/>
        <rFont val="標楷體"/>
        <family val="4"/>
        <charset val="136"/>
      </rPr>
      <t>土石流，洪水</t>
    </r>
    <phoneticPr fontId="5" type="noConversion"/>
  </si>
  <si>
    <r>
      <rPr>
        <sz val="12"/>
        <rFont val="標楷體"/>
        <family val="4"/>
        <charset val="136"/>
      </rPr>
      <t>新社鄉協成村協中街與南華街口</t>
    </r>
  </si>
  <si>
    <r>
      <rPr>
        <sz val="12"/>
        <rFont val="標楷體"/>
        <family val="4"/>
        <charset val="136"/>
      </rPr>
      <t>新社區</t>
    </r>
  </si>
  <si>
    <r>
      <rPr>
        <sz val="12"/>
        <rFont val="標楷體"/>
        <family val="4"/>
        <charset val="136"/>
      </rPr>
      <t>協成里</t>
    </r>
  </si>
  <si>
    <r>
      <rPr>
        <sz val="12"/>
        <rFont val="標楷體"/>
        <family val="4"/>
        <charset val="136"/>
      </rPr>
      <t>溪流上游崩塌，大量土石淤積。</t>
    </r>
    <r>
      <rPr>
        <sz val="12"/>
        <rFont val="Times New Roman"/>
        <family val="1"/>
      </rPr>
      <t xml:space="preserve"> </t>
    </r>
    <r>
      <rPr>
        <sz val="12"/>
        <rFont val="標楷體"/>
        <family val="4"/>
        <charset val="136"/>
      </rPr>
      <t>中</t>
    </r>
    <r>
      <rPr>
        <sz val="12"/>
        <rFont val="Times New Roman"/>
        <family val="1"/>
      </rPr>
      <t xml:space="preserve"> 99</t>
    </r>
    <r>
      <rPr>
        <sz val="12"/>
        <rFont val="標楷體"/>
        <family val="4"/>
        <charset val="136"/>
      </rPr>
      <t>線遭土石淤埋。</t>
    </r>
    <r>
      <rPr>
        <sz val="12"/>
        <rFont val="Times New Roman"/>
        <family val="1"/>
      </rPr>
      <t xml:space="preserve"> </t>
    </r>
    <r>
      <rPr>
        <sz val="12"/>
        <rFont val="標楷體"/>
        <family val="4"/>
        <charset val="136"/>
      </rPr>
      <t>民宅旁護岸崩塌。</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員。房屋受損：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道路淤積：約</t>
    </r>
    <r>
      <rPr>
        <sz val="12"/>
        <rFont val="Times New Roman"/>
        <family val="1"/>
      </rPr>
      <t xml:space="preserve"> 150</t>
    </r>
    <r>
      <rPr>
        <sz val="12"/>
        <rFont val="標楷體"/>
        <family val="4"/>
        <charset val="136"/>
      </rPr>
      <t>公尺。</t>
    </r>
    <r>
      <rPr>
        <sz val="12"/>
        <rFont val="Times New Roman"/>
        <family val="1"/>
      </rPr>
      <t xml:space="preserve"> </t>
    </r>
    <phoneticPr fontId="5" type="noConversion"/>
  </si>
  <si>
    <r>
      <rPr>
        <sz val="12"/>
        <rFont val="標楷體"/>
        <family val="4"/>
        <charset val="136"/>
      </rPr>
      <t>土石流、洪水</t>
    </r>
    <phoneticPr fontId="5" type="noConversion"/>
  </si>
  <si>
    <r>
      <rPr>
        <sz val="12"/>
        <rFont val="標楷體"/>
        <family val="4"/>
        <charset val="136"/>
      </rPr>
      <t>關山</t>
    </r>
    <r>
      <rPr>
        <sz val="12"/>
        <rFont val="Times New Roman"/>
        <family val="1"/>
      </rPr>
      <t>12</t>
    </r>
    <r>
      <rPr>
        <sz val="12"/>
        <rFont val="標楷體"/>
        <family val="4"/>
        <charset val="136"/>
      </rPr>
      <t>號橋</t>
    </r>
    <phoneticPr fontId="5" type="noConversion"/>
  </si>
  <si>
    <r>
      <rPr>
        <sz val="12"/>
        <rFont val="標楷體"/>
        <family val="4"/>
        <charset val="136"/>
      </rPr>
      <t>關山里</t>
    </r>
  </si>
  <si>
    <r>
      <rPr>
        <sz val="12"/>
        <rFont val="標楷體"/>
        <family val="4"/>
        <charset val="136"/>
      </rPr>
      <t>南市</t>
    </r>
    <r>
      <rPr>
        <sz val="12"/>
        <rFont val="Times New Roman"/>
        <family val="1"/>
      </rPr>
      <t>DF041</t>
    </r>
    <phoneticPr fontId="5" type="noConversion"/>
  </si>
  <si>
    <r>
      <rPr>
        <sz val="12"/>
        <rFont val="標楷體"/>
        <family val="4"/>
        <charset val="136"/>
      </rPr>
      <t>後堀溪暴漲沖毀關山</t>
    </r>
    <r>
      <rPr>
        <sz val="12"/>
        <rFont val="Times New Roman"/>
        <family val="1"/>
      </rPr>
      <t xml:space="preserve"> 12</t>
    </r>
    <r>
      <rPr>
        <sz val="12"/>
        <rFont val="標楷體"/>
        <family val="4"/>
        <charset val="136"/>
      </rPr>
      <t>號橋。另台南</t>
    </r>
    <r>
      <rPr>
        <sz val="12"/>
        <rFont val="Times New Roman"/>
        <family val="1"/>
      </rPr>
      <t xml:space="preserve"> A035</t>
    </r>
    <r>
      <rPr>
        <sz val="12"/>
        <rFont val="標楷體"/>
        <family val="4"/>
        <charset val="136"/>
      </rPr>
      <t>土石流潛勢溪流亦因坡地崩塌導致土石流，致使下游</t>
    </r>
    <r>
      <rPr>
        <sz val="12"/>
        <rFont val="Times New Roman"/>
        <family val="1"/>
      </rPr>
      <t xml:space="preserve"> 1</t>
    </r>
    <r>
      <rPr>
        <sz val="12"/>
        <rFont val="標楷體"/>
        <family val="4"/>
        <charset val="136"/>
      </rPr>
      <t>戶民宅受損。</t>
    </r>
    <r>
      <rPr>
        <sz val="12"/>
        <rFont val="Times New Roman"/>
        <family val="1"/>
      </rPr>
      <t xml:space="preserve"> </t>
    </r>
    <r>
      <rPr>
        <sz val="12"/>
        <rFont val="標楷體"/>
        <family val="4"/>
        <charset val="136"/>
      </rPr>
      <t>橋梁：關山</t>
    </r>
    <r>
      <rPr>
        <sz val="12"/>
        <rFont val="Times New Roman"/>
        <family val="1"/>
      </rPr>
      <t xml:space="preserve"> 12</t>
    </r>
    <r>
      <rPr>
        <sz val="12"/>
        <rFont val="標楷體"/>
        <family val="4"/>
        <charset val="136"/>
      </rPr>
      <t>號橋斷裂</t>
    </r>
    <r>
      <rPr>
        <sz val="12"/>
        <rFont val="Times New Roman"/>
        <family val="1"/>
      </rPr>
      <t xml:space="preserve">  </t>
    </r>
    <r>
      <rPr>
        <sz val="12"/>
        <rFont val="標楷體"/>
        <family val="4"/>
        <charset val="136"/>
      </rPr>
      <t>房屋受損：</t>
    </r>
    <r>
      <rPr>
        <sz val="12"/>
        <rFont val="Times New Roman"/>
        <family val="1"/>
      </rPr>
      <t>4</t>
    </r>
    <r>
      <rPr>
        <sz val="12"/>
        <rFont val="標楷體"/>
        <family val="4"/>
        <charset val="136"/>
      </rPr>
      <t>棟</t>
    </r>
    <r>
      <rPr>
        <sz val="12"/>
        <rFont val="Times New Roman"/>
        <family val="1"/>
      </rPr>
      <t xml:space="preserve">    </t>
    </r>
    <r>
      <rPr>
        <sz val="12"/>
        <rFont val="標楷體"/>
        <family val="4"/>
        <charset val="136"/>
      </rPr>
      <t>道路受損：縣</t>
    </r>
    <r>
      <rPr>
        <sz val="12"/>
        <rFont val="Times New Roman"/>
        <family val="1"/>
      </rPr>
      <t xml:space="preserve"> 179</t>
    </r>
    <r>
      <rPr>
        <sz val="12"/>
        <rFont val="標楷體"/>
        <family val="4"/>
        <charset val="136"/>
      </rPr>
      <t>毀壞約</t>
    </r>
    <r>
      <rPr>
        <sz val="12"/>
        <rFont val="Times New Roman"/>
        <family val="1"/>
      </rPr>
      <t xml:space="preserve"> 70 </t>
    </r>
    <r>
      <rPr>
        <sz val="12"/>
        <rFont val="標楷體"/>
        <family val="4"/>
        <charset val="136"/>
      </rPr>
      <t xml:space="preserve">公尺。
</t>
    </r>
    <phoneticPr fontId="5" type="noConversion"/>
  </si>
  <si>
    <r>
      <rPr>
        <sz val="12"/>
        <rFont val="標楷體"/>
        <family val="4"/>
        <charset val="136"/>
      </rPr>
      <t>關山</t>
    </r>
    <phoneticPr fontId="5" type="noConversion"/>
  </si>
  <si>
    <r>
      <rPr>
        <sz val="12"/>
        <rFont val="標楷體"/>
        <family val="4"/>
        <charset val="136"/>
      </rPr>
      <t>高</t>
    </r>
    <r>
      <rPr>
        <sz val="12"/>
        <rFont val="Times New Roman"/>
        <family val="1"/>
      </rPr>
      <t>130</t>
    </r>
    <r>
      <rPr>
        <sz val="12"/>
        <rFont val="標楷體"/>
        <family val="4"/>
        <charset val="136"/>
      </rPr>
      <t>鄉道</t>
    </r>
    <r>
      <rPr>
        <sz val="12"/>
        <rFont val="Times New Roman"/>
        <family val="1"/>
      </rPr>
      <t>3.7k</t>
    </r>
    <r>
      <rPr>
        <sz val="12"/>
        <rFont val="標楷體"/>
        <family val="4"/>
        <charset val="136"/>
      </rPr>
      <t>處南邑慈恩第</t>
    </r>
    <r>
      <rPr>
        <sz val="12"/>
        <rFont val="Times New Roman"/>
        <family val="1"/>
      </rPr>
      <t>11</t>
    </r>
    <r>
      <rPr>
        <sz val="12"/>
        <rFont val="標楷體"/>
        <family val="4"/>
        <charset val="136"/>
      </rPr>
      <t>號橋上游側崩坪溪</t>
    </r>
  </si>
  <si>
    <r>
      <rPr>
        <sz val="12"/>
        <rFont val="標楷體"/>
        <family val="4"/>
        <charset val="136"/>
      </rPr>
      <t>因颱風帶來之超大豪雨導致崩坪溪土石流與山洪爆發，夾帶大量土石沖刷而下，導致崩坪溪沿線產業道路及房舍嚴重毀損。</t>
    </r>
    <r>
      <rPr>
        <sz val="12"/>
        <rFont val="Times New Roman"/>
        <family val="1"/>
      </rPr>
      <t xml:space="preserve"> </t>
    </r>
    <r>
      <rPr>
        <sz val="12"/>
        <rFont val="標楷體"/>
        <family val="4"/>
        <charset val="136"/>
      </rPr>
      <t>人員傷亡：</t>
    </r>
    <r>
      <rPr>
        <sz val="12"/>
        <rFont val="Times New Roman"/>
        <family val="1"/>
      </rPr>
      <t>6</t>
    </r>
    <r>
      <rPr>
        <sz val="12"/>
        <rFont val="標楷體"/>
        <family val="4"/>
        <charset val="136"/>
      </rPr>
      <t>死</t>
    </r>
    <r>
      <rPr>
        <sz val="12"/>
        <rFont val="Times New Roman"/>
        <family val="1"/>
      </rPr>
      <t xml:space="preserve"> 3</t>
    </r>
    <r>
      <rPr>
        <sz val="12"/>
        <rFont val="標楷體"/>
        <family val="4"/>
        <charset val="136"/>
      </rPr>
      <t>傷</t>
    </r>
    <r>
      <rPr>
        <sz val="12"/>
        <rFont val="Times New Roman"/>
        <family val="1"/>
      </rPr>
      <t xml:space="preserve"> 2</t>
    </r>
    <r>
      <rPr>
        <sz val="12"/>
        <rFont val="標楷體"/>
        <family val="4"/>
        <charset val="136"/>
      </rPr>
      <t>失蹤。</t>
    </r>
    <r>
      <rPr>
        <sz val="12"/>
        <rFont val="Times New Roman"/>
        <family val="1"/>
      </rPr>
      <t xml:space="preserve">  </t>
    </r>
    <r>
      <rPr>
        <sz val="12"/>
        <rFont val="標楷體"/>
        <family val="4"/>
        <charset val="136"/>
      </rPr>
      <t>房屋受損：</t>
    </r>
    <r>
      <rPr>
        <sz val="12"/>
        <rFont val="Times New Roman"/>
        <family val="1"/>
      </rPr>
      <t>10</t>
    </r>
    <r>
      <rPr>
        <sz val="12"/>
        <rFont val="標楷體"/>
        <family val="4"/>
        <charset val="136"/>
      </rPr>
      <t>棟。</t>
    </r>
    <r>
      <rPr>
        <sz val="12"/>
        <rFont val="Times New Roman"/>
        <family val="1"/>
      </rPr>
      <t xml:space="preserve">  </t>
    </r>
    <r>
      <rPr>
        <sz val="12"/>
        <rFont val="標楷體"/>
        <family val="4"/>
        <charset val="136"/>
      </rPr>
      <t>道路受損：</t>
    </r>
    <r>
      <rPr>
        <sz val="12"/>
        <rFont val="Times New Roman"/>
        <family val="1"/>
      </rPr>
      <t>3000</t>
    </r>
    <r>
      <rPr>
        <sz val="12"/>
        <rFont val="標楷體"/>
        <family val="4"/>
        <charset val="136"/>
      </rPr>
      <t>公尺。</t>
    </r>
    <r>
      <rPr>
        <sz val="12"/>
        <rFont val="Times New Roman"/>
        <family val="1"/>
      </rPr>
      <t xml:space="preserve"> </t>
    </r>
    <phoneticPr fontId="5" type="noConversion"/>
  </si>
  <si>
    <r>
      <rPr>
        <sz val="12"/>
        <rFont val="標楷體"/>
        <family val="4"/>
        <charset val="136"/>
      </rPr>
      <t>甲仙</t>
    </r>
  </si>
  <si>
    <r>
      <rPr>
        <sz val="12"/>
        <rFont val="標楷體"/>
        <family val="4"/>
        <charset val="136"/>
      </rPr>
      <t>土石流、崩塌</t>
    </r>
    <phoneticPr fontId="5" type="noConversion"/>
  </si>
  <si>
    <r>
      <t>129</t>
    </r>
    <r>
      <rPr>
        <sz val="12"/>
        <rFont val="標楷體"/>
        <family val="4"/>
        <charset val="136"/>
      </rPr>
      <t>縣道連坑巷往善本巖旁</t>
    </r>
    <r>
      <rPr>
        <sz val="12"/>
        <rFont val="Times New Roman"/>
        <family val="1"/>
      </rPr>
      <t>􀰾􀓫􀞒􀙀􀶠􀏎􁝼􀥟</t>
    </r>
    <phoneticPr fontId="5" type="noConversion"/>
  </si>
  <si>
    <r>
      <rPr>
        <sz val="12"/>
        <rFont val="標楷體"/>
        <family val="4"/>
        <charset val="136"/>
      </rPr>
      <t>北屯區</t>
    </r>
    <phoneticPr fontId="5" type="noConversion"/>
  </si>
  <si>
    <r>
      <rPr>
        <sz val="12"/>
        <rFont val="標楷體"/>
        <family val="4"/>
        <charset val="136"/>
      </rPr>
      <t>民德里</t>
    </r>
    <phoneticPr fontId="5" type="noConversion"/>
  </si>
  <si>
    <r>
      <rPr>
        <sz val="12"/>
        <rFont val="標楷體"/>
        <family val="4"/>
        <charset val="136"/>
      </rPr>
      <t>中市</t>
    </r>
    <r>
      <rPr>
        <sz val="12"/>
        <rFont val="Times New Roman"/>
        <family val="1"/>
      </rPr>
      <t>DF003</t>
    </r>
  </si>
  <si>
    <r>
      <rPr>
        <sz val="12"/>
        <rFont val="標楷體"/>
        <family val="4"/>
        <charset val="136"/>
      </rPr>
      <t>溪流上游大面積崩塌，大量土石淤積，河岸中無名橋毀損，河岸道路及果園遭土石掩埋</t>
    </r>
    <phoneticPr fontId="5" type="noConversion"/>
  </si>
  <si>
    <t>C1F970</t>
  </si>
  <si>
    <r>
      <rPr>
        <sz val="12"/>
        <rFont val="標楷體"/>
        <family val="4"/>
        <charset val="136"/>
      </rPr>
      <t>大坑</t>
    </r>
    <phoneticPr fontId="5" type="noConversion"/>
  </si>
  <si>
    <r>
      <rPr>
        <sz val="12"/>
        <rFont val="標楷體"/>
        <family val="4"/>
        <charset val="136"/>
      </rPr>
      <t>約位於下水堀二號橋上游</t>
    </r>
    <r>
      <rPr>
        <sz val="12"/>
        <rFont val="Times New Roman"/>
        <family val="1"/>
      </rPr>
      <t>200</t>
    </r>
    <r>
      <rPr>
        <sz val="12"/>
        <rFont val="標楷體"/>
        <family val="4"/>
        <charset val="136"/>
      </rPr>
      <t>公尺處</t>
    </r>
    <phoneticPr fontId="5" type="noConversion"/>
  </si>
  <si>
    <r>
      <rPr>
        <sz val="12"/>
        <rFont val="標楷體"/>
        <family val="4"/>
        <charset val="136"/>
      </rPr>
      <t>崩塌土石堵塞樟平溪形成堰塞湖。</t>
    </r>
    <r>
      <rPr>
        <sz val="12"/>
        <rFont val="Times New Roman"/>
        <family val="1"/>
      </rPr>
      <t xml:space="preserve">  </t>
    </r>
    <r>
      <rPr>
        <sz val="12"/>
        <rFont val="標楷體"/>
        <family val="4"/>
        <charset val="136"/>
      </rPr>
      <t>未造成任何人員傷亡。</t>
    </r>
    <r>
      <rPr>
        <sz val="12"/>
        <rFont val="Times New Roman"/>
        <family val="1"/>
      </rPr>
      <t xml:space="preserve"> </t>
    </r>
    <phoneticPr fontId="5" type="noConversion"/>
  </si>
  <si>
    <t>C1I210</t>
  </si>
  <si>
    <r>
      <rPr>
        <sz val="12"/>
        <rFont val="標楷體"/>
        <family val="4"/>
        <charset val="136"/>
      </rPr>
      <t>蘆竹湳</t>
    </r>
  </si>
  <si>
    <r>
      <rPr>
        <sz val="12"/>
        <rFont val="標楷體"/>
        <family val="4"/>
        <charset val="136"/>
      </rPr>
      <t>力行產業道路約</t>
    </r>
    <r>
      <rPr>
        <sz val="12"/>
        <rFont val="Times New Roman"/>
        <family val="1"/>
      </rPr>
      <t>39</t>
    </r>
    <r>
      <rPr>
        <sz val="12"/>
        <rFont val="標楷體"/>
        <family val="4"/>
        <charset val="136"/>
      </rPr>
      <t>公里處</t>
    </r>
    <phoneticPr fontId="5" type="noConversion"/>
  </si>
  <si>
    <r>
      <rPr>
        <sz val="12"/>
        <rFont val="標楷體"/>
        <family val="4"/>
        <charset val="136"/>
      </rPr>
      <t>白蒜田與高麗菜田崩毀約</t>
    </r>
    <r>
      <rPr>
        <sz val="12"/>
        <rFont val="Times New Roman"/>
        <family val="1"/>
      </rPr>
      <t>40</t>
    </r>
    <r>
      <rPr>
        <sz val="12"/>
        <rFont val="標楷體"/>
        <family val="4"/>
        <charset val="136"/>
      </rPr>
      <t>公頃。</t>
    </r>
    <r>
      <rPr>
        <sz val="12"/>
        <rFont val="Times New Roman"/>
        <family val="1"/>
      </rPr>
      <t xml:space="preserve"> </t>
    </r>
    <r>
      <rPr>
        <sz val="12"/>
        <rFont val="標楷體"/>
        <family val="4"/>
        <charset val="136"/>
      </rPr>
      <t>力行產業道路中斷約</t>
    </r>
    <r>
      <rPr>
        <sz val="12"/>
        <rFont val="Times New Roman"/>
        <family val="1"/>
      </rPr>
      <t xml:space="preserve"> 140</t>
    </r>
    <r>
      <rPr>
        <sz val="12"/>
        <rFont val="標楷體"/>
        <family val="4"/>
        <charset val="136"/>
      </rPr>
      <t>公尺。</t>
    </r>
    <r>
      <rPr>
        <sz val="12"/>
        <rFont val="Times New Roman"/>
        <family val="1"/>
      </rPr>
      <t xml:space="preserve"> </t>
    </r>
    <r>
      <rPr>
        <sz val="12"/>
        <rFont val="標楷體"/>
        <family val="4"/>
        <charset val="136"/>
      </rPr>
      <t>民房損壞</t>
    </r>
    <r>
      <rPr>
        <sz val="12"/>
        <rFont val="Times New Roman"/>
        <family val="1"/>
      </rPr>
      <t xml:space="preserve"> 2</t>
    </r>
    <r>
      <rPr>
        <sz val="12"/>
        <rFont val="標楷體"/>
        <family val="4"/>
        <charset val="136"/>
      </rPr>
      <t>棟。</t>
    </r>
    <phoneticPr fontId="5" type="noConversion"/>
  </si>
  <si>
    <t>C1H850</t>
  </si>
  <si>
    <r>
      <rPr>
        <sz val="12"/>
        <rFont val="標楷體"/>
        <family val="4"/>
        <charset val="136"/>
      </rPr>
      <t>翠巒</t>
    </r>
    <phoneticPr fontId="5" type="noConversion"/>
  </si>
  <si>
    <r>
      <rPr>
        <sz val="12"/>
        <rFont val="標楷體"/>
        <family val="4"/>
        <charset val="136"/>
      </rPr>
      <t>五龍宮</t>
    </r>
    <phoneticPr fontId="5" type="noConversion"/>
  </si>
  <si>
    <r>
      <rPr>
        <sz val="12"/>
        <rFont val="標楷體"/>
        <family val="4"/>
        <charset val="136"/>
      </rPr>
      <t>高市</t>
    </r>
    <r>
      <rPr>
        <sz val="12"/>
        <rFont val="Times New Roman"/>
        <family val="1"/>
      </rPr>
      <t>DF046</t>
    </r>
    <phoneticPr fontId="5" type="noConversion"/>
  </si>
  <si>
    <r>
      <rPr>
        <sz val="12"/>
        <rFont val="標楷體"/>
        <family val="4"/>
        <charset val="136"/>
      </rPr>
      <t>五龍宮後方邊坡滑動造成土石掩埋廟宇，另造成潛勢溪流高雄</t>
    </r>
    <r>
      <rPr>
        <sz val="12"/>
        <rFont val="Times New Roman"/>
        <family val="1"/>
      </rPr>
      <t xml:space="preserve"> A028</t>
    </r>
    <r>
      <rPr>
        <sz val="12"/>
        <rFont val="標楷體"/>
        <family val="4"/>
        <charset val="136"/>
      </rPr>
      <t>堵塞而洪水溢流夾帶泥石漫淹鄰地。</t>
    </r>
    <r>
      <rPr>
        <sz val="12"/>
        <rFont val="Times New Roman"/>
        <family val="1"/>
      </rPr>
      <t xml:space="preserve"> </t>
    </r>
    <r>
      <rPr>
        <sz val="12"/>
        <rFont val="標楷體"/>
        <family val="4"/>
        <charset val="136"/>
      </rPr>
      <t>崩塌地面積約</t>
    </r>
    <r>
      <rPr>
        <sz val="12"/>
        <rFont val="Times New Roman"/>
        <family val="1"/>
      </rPr>
      <t xml:space="preserve"> 0.8</t>
    </r>
    <r>
      <rPr>
        <sz val="12"/>
        <rFont val="標楷體"/>
        <family val="4"/>
        <charset val="136"/>
      </rPr>
      <t>公頃，堆積區土石方約</t>
    </r>
    <r>
      <rPr>
        <sz val="12"/>
        <rFont val="Times New Roman"/>
        <family val="1"/>
      </rPr>
      <t xml:space="preserve"> 15,000</t>
    </r>
    <r>
      <rPr>
        <sz val="12"/>
        <rFont val="標楷體"/>
        <family val="4"/>
        <charset val="136"/>
      </rPr>
      <t>立方公尺。</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3</t>
    </r>
    <r>
      <rPr>
        <sz val="12"/>
        <rFont val="標楷體"/>
        <family val="4"/>
        <charset val="136"/>
      </rPr>
      <t>棟。</t>
    </r>
    <r>
      <rPr>
        <sz val="12"/>
        <rFont val="Times New Roman"/>
        <family val="1"/>
      </rPr>
      <t xml:space="preserve">  </t>
    </r>
    <r>
      <rPr>
        <sz val="12"/>
        <rFont val="標楷體"/>
        <family val="4"/>
        <charset val="136"/>
      </rPr>
      <t>道路毀損：產業道路約</t>
    </r>
    <r>
      <rPr>
        <sz val="12"/>
        <rFont val="Times New Roman"/>
        <family val="1"/>
      </rPr>
      <t xml:space="preserve"> 80</t>
    </r>
    <r>
      <rPr>
        <sz val="12"/>
        <rFont val="標楷體"/>
        <family val="4"/>
        <charset val="136"/>
      </rPr>
      <t>公尺。</t>
    </r>
    <phoneticPr fontId="5" type="noConversion"/>
  </si>
  <si>
    <r>
      <rPr>
        <sz val="12"/>
        <rFont val="標楷體"/>
        <family val="4"/>
        <charset val="136"/>
      </rPr>
      <t>台</t>
    </r>
    <r>
      <rPr>
        <sz val="12"/>
        <rFont val="Times New Roman"/>
        <family val="1"/>
      </rPr>
      <t>3</t>
    </r>
    <r>
      <rPr>
        <sz val="12"/>
        <rFont val="標楷體"/>
        <family val="4"/>
        <charset val="136"/>
      </rPr>
      <t>線</t>
    </r>
    <r>
      <rPr>
        <sz val="12"/>
        <rFont val="Times New Roman"/>
        <family val="1"/>
      </rPr>
      <t>303.5K</t>
    </r>
    <r>
      <rPr>
        <sz val="12"/>
        <rFont val="標楷體"/>
        <family val="4"/>
        <charset val="136"/>
      </rPr>
      <t>處山坡</t>
    </r>
    <phoneticPr fontId="5" type="noConversion"/>
  </si>
  <si>
    <r>
      <rPr>
        <sz val="12"/>
        <rFont val="標楷體"/>
        <family val="4"/>
        <charset val="136"/>
      </rPr>
      <t>中崙村</t>
    </r>
    <phoneticPr fontId="5" type="noConversion"/>
  </si>
  <si>
    <r>
      <rPr>
        <sz val="12"/>
        <rFont val="標楷體"/>
        <family val="4"/>
        <charset val="136"/>
      </rPr>
      <t>農路損壞約</t>
    </r>
    <r>
      <rPr>
        <sz val="12"/>
        <rFont val="Times New Roman"/>
        <family val="1"/>
      </rPr>
      <t xml:space="preserve"> 100</t>
    </r>
    <r>
      <rPr>
        <sz val="12"/>
        <rFont val="標楷體"/>
        <family val="4"/>
        <charset val="136"/>
      </rPr>
      <t>公尺。未造成任何人員傷亡。</t>
    </r>
    <r>
      <rPr>
        <sz val="12"/>
        <rFont val="Times New Roman"/>
        <family val="1"/>
      </rPr>
      <t xml:space="preserve"> </t>
    </r>
    <phoneticPr fontId="5" type="noConversion"/>
  </si>
  <si>
    <r>
      <rPr>
        <sz val="12"/>
        <rFont val="標楷體"/>
        <family val="4"/>
        <charset val="136"/>
      </rPr>
      <t>楠西鄉照興村</t>
    </r>
    <phoneticPr fontId="5" type="noConversion"/>
  </si>
  <si>
    <r>
      <rPr>
        <sz val="12"/>
        <rFont val="標楷體"/>
        <family val="4"/>
        <charset val="136"/>
      </rPr>
      <t>照興里</t>
    </r>
  </si>
  <si>
    <r>
      <t>南市</t>
    </r>
    <r>
      <rPr>
        <sz val="12"/>
        <rFont val="Times New Roman"/>
        <family val="1"/>
      </rPr>
      <t>DF032</t>
    </r>
  </si>
  <si>
    <r>
      <rPr>
        <sz val="12"/>
        <rFont val="標楷體"/>
        <family val="4"/>
        <charset val="136"/>
      </rPr>
      <t>土石淤埋芒果園約</t>
    </r>
    <r>
      <rPr>
        <sz val="12"/>
        <rFont val="Times New Roman"/>
        <family val="1"/>
      </rPr>
      <t xml:space="preserve"> 1000</t>
    </r>
    <r>
      <rPr>
        <sz val="12"/>
        <rFont val="標楷體"/>
        <family val="4"/>
        <charset val="136"/>
      </rPr>
      <t>平方公尺。</t>
    </r>
    <r>
      <rPr>
        <sz val="12"/>
        <rFont val="Times New Roman"/>
        <family val="1"/>
      </rPr>
      <t xml:space="preserve"> </t>
    </r>
    <r>
      <rPr>
        <sz val="12"/>
        <rFont val="標楷體"/>
        <family val="4"/>
        <charset val="136"/>
      </rPr>
      <t>機車遭大水沖走一部。</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t>
    </r>
    <r>
      <rPr>
        <sz val="12"/>
        <rFont val="Times New Roman"/>
        <family val="1"/>
      </rPr>
      <t>0</t>
    </r>
    <r>
      <rPr>
        <sz val="12"/>
        <rFont val="標楷體"/>
        <family val="4"/>
        <charset val="136"/>
      </rPr>
      <t>公尺</t>
    </r>
    <phoneticPr fontId="5" type="noConversion"/>
  </si>
  <si>
    <r>
      <rPr>
        <sz val="12"/>
        <rFont val="標楷體"/>
        <family val="4"/>
        <charset val="136"/>
      </rPr>
      <t>青山宮</t>
    </r>
    <phoneticPr fontId="5" type="noConversion"/>
  </si>
  <si>
    <r>
      <rPr>
        <sz val="12"/>
        <rFont val="標楷體"/>
        <family val="4"/>
        <charset val="136"/>
      </rPr>
      <t>玉山里</t>
    </r>
  </si>
  <si>
    <r>
      <rPr>
        <sz val="12"/>
        <rFont val="標楷體"/>
        <family val="4"/>
        <charset val="136"/>
      </rPr>
      <t>南市</t>
    </r>
    <r>
      <rPr>
        <sz val="12"/>
        <rFont val="Times New Roman"/>
        <family val="1"/>
      </rPr>
      <t>DF048</t>
    </r>
    <phoneticPr fontId="5" type="noConversion"/>
  </si>
  <si>
    <r>
      <rPr>
        <sz val="12"/>
        <rFont val="標楷體"/>
        <family val="4"/>
        <charset val="136"/>
      </rPr>
      <t>青山宮旁之野溪上游林班地，受超大豪雨沖蝕產生土石漫流，造成民宅與橋梁受損。</t>
    </r>
    <r>
      <rPr>
        <sz val="12"/>
        <rFont val="Times New Roman"/>
        <family val="1"/>
      </rPr>
      <t xml:space="preserve">  </t>
    </r>
    <r>
      <rPr>
        <sz val="12"/>
        <rFont val="標楷體"/>
        <family val="4"/>
        <charset val="136"/>
      </rPr>
      <t>房舍受損：</t>
    </r>
    <r>
      <rPr>
        <sz val="12"/>
        <rFont val="Times New Roman"/>
        <family val="1"/>
      </rPr>
      <t>6</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25</t>
    </r>
    <r>
      <rPr>
        <sz val="12"/>
        <rFont val="標楷體"/>
        <family val="4"/>
        <charset val="136"/>
      </rPr>
      <t>公尺。</t>
    </r>
    <r>
      <rPr>
        <sz val="12"/>
        <rFont val="Times New Roman"/>
        <family val="1"/>
      </rPr>
      <t xml:space="preserve">  </t>
    </r>
    <r>
      <rPr>
        <sz val="12"/>
        <rFont val="標楷體"/>
        <family val="4"/>
        <charset val="136"/>
      </rPr>
      <t>橋梁：遭土石淤埋。</t>
    </r>
    <r>
      <rPr>
        <sz val="12"/>
        <rFont val="Times New Roman"/>
        <family val="1"/>
      </rPr>
      <t xml:space="preserve"> </t>
    </r>
    <phoneticPr fontId="5" type="noConversion"/>
  </si>
  <si>
    <r>
      <rPr>
        <sz val="12"/>
        <rFont val="標楷體"/>
        <family val="4"/>
        <charset val="136"/>
      </rPr>
      <t>北寮</t>
    </r>
    <phoneticPr fontId="5" type="noConversion"/>
  </si>
  <si>
    <r>
      <rPr>
        <sz val="12"/>
        <rFont val="標楷體"/>
        <family val="4"/>
        <charset val="136"/>
      </rPr>
      <t>沖蝕</t>
    </r>
    <phoneticPr fontId="5" type="noConversion"/>
  </si>
  <si>
    <r>
      <rPr>
        <sz val="12"/>
        <rFont val="標楷體"/>
        <family val="4"/>
        <charset val="136"/>
      </rPr>
      <t>集集分局德化派出所前</t>
    </r>
    <phoneticPr fontId="5" type="noConversion"/>
  </si>
  <si>
    <r>
      <rPr>
        <sz val="12"/>
        <rFont val="標楷體"/>
        <family val="4"/>
        <charset val="136"/>
      </rPr>
      <t>魚池鄉</t>
    </r>
    <phoneticPr fontId="5" type="noConversion"/>
  </si>
  <si>
    <r>
      <rPr>
        <sz val="12"/>
        <rFont val="標楷體"/>
        <family val="4"/>
        <charset val="136"/>
      </rPr>
      <t>日月村</t>
    </r>
    <phoneticPr fontId="5" type="noConversion"/>
  </si>
  <si>
    <r>
      <rPr>
        <sz val="12"/>
        <rFont val="標楷體"/>
        <family val="4"/>
        <charset val="136"/>
      </rPr>
      <t>投縣</t>
    </r>
    <r>
      <rPr>
        <sz val="12"/>
        <rFont val="Times New Roman"/>
        <family val="1"/>
      </rPr>
      <t>DF080</t>
    </r>
  </si>
  <si>
    <r>
      <rPr>
        <sz val="12"/>
        <rFont val="標楷體"/>
        <family val="4"/>
        <charset val="136"/>
      </rPr>
      <t>竹篙坑溪受沖蝕暴漲，商店街前大排水溝遭上游坡地沖刷下的土石樹枝阻塞，挾帶泥砂的洪流宣洩不及而衝灌路面。未造成任何人員傷亡。</t>
    </r>
    <r>
      <rPr>
        <sz val="12"/>
        <rFont val="Times New Roman"/>
        <family val="1"/>
      </rPr>
      <t xml:space="preserve"> </t>
    </r>
    <phoneticPr fontId="5" type="noConversion"/>
  </si>
  <si>
    <t>C1H910</t>
  </si>
  <si>
    <r>
      <rPr>
        <sz val="12"/>
        <rFont val="標楷體"/>
        <family val="4"/>
        <charset val="136"/>
      </rPr>
      <t>魚池</t>
    </r>
    <phoneticPr fontId="5" type="noConversion"/>
  </si>
  <si>
    <r>
      <rPr>
        <sz val="12"/>
        <rFont val="標楷體"/>
        <family val="4"/>
        <charset val="136"/>
      </rPr>
      <t>台</t>
    </r>
    <r>
      <rPr>
        <sz val="12"/>
        <rFont val="Times New Roman"/>
        <family val="1"/>
      </rPr>
      <t>16</t>
    </r>
    <r>
      <rPr>
        <sz val="12"/>
        <rFont val="標楷體"/>
        <family val="4"/>
        <charset val="136"/>
      </rPr>
      <t>線</t>
    </r>
    <r>
      <rPr>
        <sz val="12"/>
        <rFont val="Times New Roman"/>
        <family val="1"/>
      </rPr>
      <t>27K</t>
    </r>
    <r>
      <rPr>
        <sz val="12"/>
        <rFont val="標楷體"/>
        <family val="4"/>
        <charset val="136"/>
      </rPr>
      <t>處</t>
    </r>
    <phoneticPr fontId="5" type="noConversion"/>
  </si>
  <si>
    <r>
      <rPr>
        <sz val="12"/>
        <rFont val="標楷體"/>
        <family val="4"/>
        <charset val="136"/>
      </rPr>
      <t>民和村</t>
    </r>
    <phoneticPr fontId="5" type="noConversion"/>
  </si>
  <si>
    <r>
      <rPr>
        <sz val="12"/>
        <rFont val="標楷體"/>
        <family val="4"/>
        <charset val="136"/>
      </rPr>
      <t>投縣</t>
    </r>
    <r>
      <rPr>
        <sz val="12"/>
        <rFont val="Times New Roman"/>
        <family val="1"/>
      </rPr>
      <t>DF175</t>
    </r>
    <phoneticPr fontId="5" type="noConversion"/>
  </si>
  <si>
    <r>
      <rPr>
        <sz val="12"/>
        <rFont val="標楷體"/>
        <family val="4"/>
        <charset val="136"/>
      </rPr>
      <t>益則坑溪沿岸道路及護岸毀損，橋基淘空，上游道路中斷無法通行。土石淤積河道，部分固床工毀損。護岸毀損：約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道路毀損：約</t>
    </r>
    <r>
      <rPr>
        <sz val="12"/>
        <rFont val="Times New Roman"/>
        <family val="1"/>
      </rPr>
      <t>600</t>
    </r>
    <r>
      <rPr>
        <sz val="12"/>
        <rFont val="標楷體"/>
        <family val="4"/>
        <charset val="136"/>
      </rPr>
      <t>公尺。</t>
    </r>
    <r>
      <rPr>
        <sz val="12"/>
        <rFont val="Times New Roman"/>
        <family val="1"/>
      </rPr>
      <t xml:space="preserve"> </t>
    </r>
    <phoneticPr fontId="5" type="noConversion"/>
  </si>
  <si>
    <r>
      <rPr>
        <sz val="12"/>
        <rFont val="標楷體"/>
        <family val="4"/>
        <charset val="136"/>
      </rPr>
      <t>龍神橋</t>
    </r>
    <phoneticPr fontId="5" type="noConversion"/>
  </si>
  <si>
    <r>
      <rPr>
        <sz val="12"/>
        <rFont val="標楷體"/>
        <family val="4"/>
        <charset val="136"/>
      </rPr>
      <t>三民國中</t>
    </r>
    <phoneticPr fontId="5" type="noConversion"/>
  </si>
  <si>
    <r>
      <rPr>
        <sz val="12"/>
        <rFont val="標楷體"/>
        <family val="4"/>
        <charset val="136"/>
      </rPr>
      <t>那瑪夏區</t>
    </r>
  </si>
  <si>
    <r>
      <rPr>
        <sz val="12"/>
        <rFont val="標楷體"/>
        <family val="4"/>
        <charset val="136"/>
      </rPr>
      <t>瑪雅里</t>
    </r>
  </si>
  <si>
    <r>
      <rPr>
        <sz val="12"/>
        <rFont val="標楷體"/>
        <family val="4"/>
        <charset val="136"/>
      </rPr>
      <t>高市</t>
    </r>
    <r>
      <rPr>
        <sz val="12"/>
        <rFont val="Times New Roman"/>
        <family val="1"/>
      </rPr>
      <t>DF068</t>
    </r>
    <phoneticPr fontId="5" type="noConversion"/>
  </si>
  <si>
    <r>
      <rPr>
        <sz val="12"/>
        <rFont val="標楷體"/>
        <family val="4"/>
        <charset val="136"/>
      </rPr>
      <t>學校對面野溪上游受沖蝕而大面積崩塌，大量土石堆積於籃球場約</t>
    </r>
    <r>
      <rPr>
        <sz val="12"/>
        <rFont val="Times New Roman"/>
        <family val="1"/>
      </rPr>
      <t xml:space="preserve">4,000 </t>
    </r>
    <r>
      <rPr>
        <sz val="12"/>
        <rFont val="標楷體"/>
        <family val="4"/>
        <charset val="136"/>
      </rPr>
      <t>立方公尺，另泥砂堆積於操場約</t>
    </r>
    <r>
      <rPr>
        <sz val="12"/>
        <rFont val="Times New Roman"/>
        <family val="1"/>
      </rPr>
      <t xml:space="preserve"> 30~40</t>
    </r>
    <r>
      <rPr>
        <sz val="12"/>
        <rFont val="標楷體"/>
        <family val="4"/>
        <charset val="136"/>
      </rPr>
      <t>公分高。</t>
    </r>
    <r>
      <rPr>
        <sz val="12"/>
        <rFont val="Times New Roman"/>
        <family val="1"/>
      </rPr>
      <t xml:space="preserve">  </t>
    </r>
    <r>
      <rPr>
        <sz val="12"/>
        <rFont val="標楷體"/>
        <family val="4"/>
        <charset val="136"/>
      </rPr>
      <t>辦公大樓後方駁坎滑動，地表塌陷。</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150</t>
    </r>
    <r>
      <rPr>
        <sz val="12"/>
        <rFont val="標楷體"/>
        <family val="4"/>
        <charset val="136"/>
      </rPr>
      <t>公尺。</t>
    </r>
    <r>
      <rPr>
        <sz val="12"/>
        <rFont val="Times New Roman"/>
        <family val="1"/>
      </rPr>
      <t xml:space="preserve">  </t>
    </r>
    <phoneticPr fontId="5" type="noConversion"/>
  </si>
  <si>
    <t>C0V150</t>
  </si>
  <si>
    <r>
      <rPr>
        <sz val="12"/>
        <rFont val="標楷體"/>
        <family val="4"/>
        <charset val="136"/>
      </rPr>
      <t>表湖</t>
    </r>
  </si>
  <si>
    <r>
      <rPr>
        <sz val="12"/>
        <rFont val="標楷體"/>
        <family val="4"/>
        <charset val="136"/>
      </rPr>
      <t>高</t>
    </r>
    <r>
      <rPr>
        <sz val="12"/>
        <rFont val="Times New Roman"/>
        <family val="1"/>
      </rPr>
      <t>129</t>
    </r>
    <r>
      <rPr>
        <sz val="12"/>
        <rFont val="標楷體"/>
        <family val="4"/>
        <charset val="136"/>
      </rPr>
      <t>線</t>
    </r>
    <r>
      <rPr>
        <sz val="12"/>
        <rFont val="Times New Roman"/>
        <family val="1"/>
      </rPr>
      <t>1.1K</t>
    </r>
    <r>
      <rPr>
        <sz val="12"/>
        <rFont val="標楷體"/>
        <family val="4"/>
        <charset val="136"/>
      </rPr>
      <t>處</t>
    </r>
    <phoneticPr fontId="5" type="noConversion"/>
  </si>
  <si>
    <r>
      <rPr>
        <sz val="12"/>
        <rFont val="標楷體"/>
        <family val="4"/>
        <charset val="136"/>
      </rPr>
      <t>大田里</t>
    </r>
  </si>
  <si>
    <r>
      <rPr>
        <sz val="12"/>
        <rFont val="標楷體"/>
        <family val="4"/>
        <charset val="136"/>
      </rPr>
      <t>高市</t>
    </r>
    <r>
      <rPr>
        <sz val="12"/>
        <rFont val="Times New Roman"/>
        <family val="1"/>
      </rPr>
      <t>DF016</t>
    </r>
  </si>
  <si>
    <r>
      <rPr>
        <sz val="12"/>
        <rFont val="標楷體"/>
        <family val="4"/>
        <charset val="136"/>
      </rPr>
      <t>甲仙鄉大田村仙林巷於</t>
    </r>
    <r>
      <rPr>
        <sz val="12"/>
        <rFont val="Times New Roman"/>
        <family val="1"/>
      </rPr>
      <t xml:space="preserve"> 7</t>
    </r>
    <r>
      <rPr>
        <sz val="12"/>
        <rFont val="標楷體"/>
        <family val="4"/>
        <charset val="136"/>
      </rPr>
      <t>月</t>
    </r>
    <r>
      <rPr>
        <sz val="12"/>
        <rFont val="Times New Roman"/>
        <family val="1"/>
      </rPr>
      <t xml:space="preserve"> 17</t>
    </r>
    <r>
      <rPr>
        <sz val="12"/>
        <rFont val="標楷體"/>
        <family val="4"/>
        <charset val="136"/>
      </rPr>
      <t>日晚間，因卡玫基颱風帶來之超大豪雨導致高雄</t>
    </r>
    <r>
      <rPr>
        <sz val="12"/>
        <rFont val="Times New Roman"/>
        <family val="1"/>
      </rPr>
      <t>A023</t>
    </r>
    <r>
      <rPr>
        <sz val="12"/>
        <rFont val="標楷體"/>
        <family val="4"/>
        <charset val="136"/>
      </rPr>
      <t>野溪山洪爆發，夾帶大量土石沖刷而下，導致交通中斷，並波及仙橋旁民宅。</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道路受損：</t>
    </r>
    <r>
      <rPr>
        <sz val="12"/>
        <rFont val="Times New Roman"/>
        <family val="1"/>
      </rPr>
      <t>40</t>
    </r>
    <r>
      <rPr>
        <sz val="12"/>
        <rFont val="標楷體"/>
        <family val="4"/>
        <charset val="136"/>
      </rPr>
      <t>公尺。</t>
    </r>
    <r>
      <rPr>
        <sz val="12"/>
        <rFont val="Times New Roman"/>
        <family val="1"/>
      </rPr>
      <t xml:space="preserve">  </t>
    </r>
    <phoneticPr fontId="5" type="noConversion"/>
  </si>
  <si>
    <r>
      <rPr>
        <sz val="12"/>
        <rFont val="標楷體"/>
        <family val="4"/>
        <charset val="136"/>
      </rPr>
      <t>玄妙宮前野溪</t>
    </r>
    <phoneticPr fontId="5" type="noConversion"/>
  </si>
  <si>
    <r>
      <rPr>
        <sz val="12"/>
        <rFont val="標楷體"/>
        <family val="4"/>
        <charset val="136"/>
      </rPr>
      <t>南市</t>
    </r>
    <r>
      <rPr>
        <sz val="12"/>
        <rFont val="Times New Roman"/>
        <family val="1"/>
      </rPr>
      <t>DF034</t>
    </r>
  </si>
  <si>
    <r>
      <rPr>
        <sz val="12"/>
        <rFont val="標楷體"/>
        <family val="4"/>
        <charset val="136"/>
      </rPr>
      <t>新興農路</t>
    </r>
    <r>
      <rPr>
        <sz val="12"/>
        <rFont val="Times New Roman"/>
        <family val="1"/>
      </rPr>
      <t>(</t>
    </r>
    <r>
      <rPr>
        <sz val="12"/>
        <rFont val="標楷體"/>
        <family val="4"/>
        <charset val="136"/>
      </rPr>
      <t>南</t>
    </r>
    <r>
      <rPr>
        <sz val="12"/>
        <rFont val="Times New Roman"/>
        <family val="1"/>
      </rPr>
      <t xml:space="preserve"> 190</t>
    </r>
    <r>
      <rPr>
        <sz val="12"/>
        <rFont val="標楷體"/>
        <family val="4"/>
        <charset val="136"/>
      </rPr>
      <t>鄉道</t>
    </r>
    <r>
      <rPr>
        <sz val="12"/>
        <rFont val="Times New Roman"/>
        <family val="1"/>
      </rPr>
      <t>)</t>
    </r>
    <r>
      <rPr>
        <sz val="12"/>
        <rFont val="標楷體"/>
        <family val="4"/>
        <charset val="136"/>
      </rPr>
      <t>及河床土石淤積。</t>
    </r>
    <r>
      <rPr>
        <sz val="12"/>
        <rFont val="Times New Roman"/>
        <family val="1"/>
      </rPr>
      <t xml:space="preserve"> </t>
    </r>
    <r>
      <rPr>
        <sz val="12"/>
        <rFont val="標楷體"/>
        <family val="4"/>
        <charset val="136"/>
      </rPr>
      <t>溪流護岸流失；</t>
    </r>
    <r>
      <rPr>
        <sz val="12"/>
        <rFont val="Times New Roman"/>
        <family val="1"/>
      </rPr>
      <t>1</t>
    </r>
    <r>
      <rPr>
        <sz val="12"/>
        <rFont val="標楷體"/>
        <family val="4"/>
        <charset val="136"/>
      </rPr>
      <t>戶民宅基礎遭沖刷淘空，造成房屋損壞。</t>
    </r>
    <r>
      <rPr>
        <sz val="12"/>
        <rFont val="Times New Roman"/>
        <family val="1"/>
      </rPr>
      <t xml:space="preserve">  </t>
    </r>
    <r>
      <rPr>
        <sz val="12"/>
        <rFont val="標楷體"/>
        <family val="4"/>
        <charset val="136"/>
      </rPr>
      <t>無名橋橋體結構損毀，深山橋部分橋面流失。</t>
    </r>
    <r>
      <rPr>
        <sz val="12"/>
        <rFont val="Times New Roman"/>
        <family val="1"/>
      </rPr>
      <t xml:space="preserve">  </t>
    </r>
    <phoneticPr fontId="5" type="noConversion"/>
  </si>
  <si>
    <r>
      <rPr>
        <sz val="12"/>
        <rFont val="標楷體"/>
        <family val="4"/>
        <charset val="136"/>
      </rPr>
      <t>楠西</t>
    </r>
    <phoneticPr fontId="5" type="noConversion"/>
  </si>
  <si>
    <r>
      <rPr>
        <sz val="12"/>
        <rFont val="標楷體"/>
        <family val="4"/>
        <charset val="136"/>
      </rPr>
      <t>舊潭橋</t>
    </r>
    <phoneticPr fontId="5" type="noConversion"/>
  </si>
  <si>
    <r>
      <rPr>
        <sz val="12"/>
        <rFont val="標楷體"/>
        <family val="4"/>
        <charset val="136"/>
      </rPr>
      <t>興龍里</t>
    </r>
  </si>
  <si>
    <r>
      <rPr>
        <sz val="12"/>
        <rFont val="標楷體"/>
        <family val="4"/>
        <charset val="136"/>
      </rPr>
      <t>高市</t>
    </r>
    <r>
      <rPr>
        <sz val="12"/>
        <rFont val="Times New Roman"/>
        <family val="1"/>
      </rPr>
      <t>DF054</t>
    </r>
    <phoneticPr fontId="5" type="noConversion"/>
  </si>
  <si>
    <r>
      <rPr>
        <sz val="12"/>
        <rFont val="標楷體"/>
        <family val="4"/>
        <charset val="136"/>
      </rPr>
      <t>荖濃溪支流野溪因上游坡地崩塌造成堰塞淤積，而洪水溢流夾帶泥石漫淹舊潭橋及附近民舍。人命損失：</t>
    </r>
    <r>
      <rPr>
        <sz val="12"/>
        <rFont val="Times New Roman"/>
        <family val="1"/>
      </rPr>
      <t>0</t>
    </r>
    <r>
      <rPr>
        <sz val="12"/>
        <rFont val="標楷體"/>
        <family val="4"/>
        <charset val="136"/>
      </rPr>
      <t>人。房舍受損：</t>
    </r>
    <r>
      <rPr>
        <sz val="12"/>
        <rFont val="Times New Roman"/>
        <family val="1"/>
      </rPr>
      <t>1</t>
    </r>
    <r>
      <rPr>
        <sz val="12"/>
        <rFont val="標楷體"/>
        <family val="4"/>
        <charset val="136"/>
      </rPr>
      <t>棟。道路毀損：農路約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橋梁毀損：舊潭橋遭洪水淹沒，橋面土石淤積。</t>
    </r>
    <r>
      <rPr>
        <sz val="12"/>
        <rFont val="Times New Roman"/>
        <family val="1"/>
      </rPr>
      <t xml:space="preserve"> </t>
    </r>
    <phoneticPr fontId="5" type="noConversion"/>
  </si>
  <si>
    <r>
      <rPr>
        <sz val="12"/>
        <rFont val="標楷體"/>
        <family val="4"/>
        <charset val="136"/>
      </rPr>
      <t>洪水、沖蝕</t>
    </r>
    <phoneticPr fontId="5" type="noConversion"/>
  </si>
  <si>
    <r>
      <rPr>
        <sz val="12"/>
        <rFont val="標楷體"/>
        <family val="4"/>
        <charset val="136"/>
      </rPr>
      <t>台</t>
    </r>
    <r>
      <rPr>
        <sz val="12"/>
        <rFont val="Times New Roman"/>
        <family val="1"/>
      </rPr>
      <t>14</t>
    </r>
    <r>
      <rPr>
        <sz val="12"/>
        <rFont val="標楷體"/>
        <family val="4"/>
        <charset val="136"/>
      </rPr>
      <t>線中潭公路</t>
    </r>
    <r>
      <rPr>
        <sz val="12"/>
        <rFont val="Times New Roman"/>
        <family val="1"/>
      </rPr>
      <t>33K</t>
    </r>
    <r>
      <rPr>
        <sz val="12"/>
        <rFont val="標楷體"/>
        <family val="4"/>
        <charset val="136"/>
      </rPr>
      <t>處路段</t>
    </r>
    <phoneticPr fontId="5" type="noConversion"/>
  </si>
  <si>
    <r>
      <rPr>
        <sz val="12"/>
        <rFont val="標楷體"/>
        <family val="4"/>
        <charset val="136"/>
      </rPr>
      <t>草屯鎮</t>
    </r>
    <phoneticPr fontId="5" type="noConversion"/>
  </si>
  <si>
    <r>
      <rPr>
        <sz val="12"/>
        <rFont val="標楷體"/>
        <family val="4"/>
        <charset val="136"/>
      </rPr>
      <t>雙冬里</t>
    </r>
    <phoneticPr fontId="5" type="noConversion"/>
  </si>
  <si>
    <r>
      <rPr>
        <sz val="12"/>
        <rFont val="標楷體"/>
        <family val="4"/>
        <charset val="136"/>
      </rPr>
      <t>道路交通中斷。</t>
    </r>
    <r>
      <rPr>
        <sz val="12"/>
        <rFont val="Times New Roman"/>
        <family val="1"/>
      </rPr>
      <t xml:space="preserve"> </t>
    </r>
    <r>
      <rPr>
        <sz val="12"/>
        <rFont val="標楷體"/>
        <family val="4"/>
        <charset val="136"/>
      </rPr>
      <t>大量土石淤埋農地，損失約</t>
    </r>
    <r>
      <rPr>
        <sz val="12"/>
        <rFont val="Times New Roman"/>
        <family val="1"/>
      </rPr>
      <t xml:space="preserve"> 10</t>
    </r>
    <r>
      <rPr>
        <sz val="12"/>
        <rFont val="標楷體"/>
        <family val="4"/>
        <charset val="136"/>
      </rPr>
      <t>公頃。</t>
    </r>
    <r>
      <rPr>
        <sz val="12"/>
        <rFont val="Times New Roman"/>
        <family val="1"/>
      </rPr>
      <t xml:space="preserve"> </t>
    </r>
    <r>
      <rPr>
        <sz val="12"/>
        <rFont val="標楷體"/>
        <family val="4"/>
        <charset val="136"/>
      </rPr>
      <t>房舍受損：</t>
    </r>
    <r>
      <rPr>
        <sz val="12"/>
        <rFont val="Times New Roman"/>
        <family val="1"/>
      </rPr>
      <t>2</t>
    </r>
    <r>
      <rPr>
        <sz val="12"/>
        <rFont val="標楷體"/>
        <family val="4"/>
        <charset val="136"/>
      </rPr>
      <t>棟。</t>
    </r>
    <r>
      <rPr>
        <sz val="12"/>
        <rFont val="Times New Roman"/>
        <family val="1"/>
      </rPr>
      <t xml:space="preserve"> </t>
    </r>
    <phoneticPr fontId="5" type="noConversion"/>
  </si>
  <si>
    <r>
      <rPr>
        <sz val="12"/>
        <rFont val="標楷體"/>
        <family val="4"/>
        <charset val="136"/>
      </rPr>
      <t>雙冬</t>
    </r>
  </si>
  <si>
    <r>
      <rPr>
        <sz val="12"/>
        <rFont val="標楷體"/>
        <family val="4"/>
        <charset val="136"/>
      </rPr>
      <t>東勢鎮慶福里</t>
    </r>
    <phoneticPr fontId="5" type="noConversion"/>
  </si>
  <si>
    <r>
      <rPr>
        <sz val="12"/>
        <rFont val="標楷體"/>
        <family val="4"/>
        <charset val="136"/>
      </rPr>
      <t>慶福街</t>
    </r>
    <r>
      <rPr>
        <sz val="12"/>
        <rFont val="Times New Roman"/>
        <family val="1"/>
      </rPr>
      <t xml:space="preserve"> 75-1</t>
    </r>
    <r>
      <rPr>
        <sz val="12"/>
        <rFont val="標楷體"/>
        <family val="4"/>
        <charset val="136"/>
      </rPr>
      <t>號民宅後側山坡發生崩塌，淤積農林用地及毀損民宅一棟，無人傷亡。</t>
    </r>
    <r>
      <rPr>
        <sz val="12"/>
        <rFont val="Times New Roman"/>
        <family val="1"/>
      </rPr>
      <t xml:space="preserve"> </t>
    </r>
    <r>
      <rPr>
        <sz val="12"/>
        <rFont val="標楷體"/>
        <family val="4"/>
        <charset val="136"/>
      </rPr>
      <t>居民已疏散至天公廟。</t>
    </r>
    <r>
      <rPr>
        <sz val="12"/>
        <rFont val="Times New Roman"/>
        <family val="1"/>
      </rPr>
      <t xml:space="preserve"> </t>
    </r>
    <r>
      <rPr>
        <sz val="12"/>
        <rFont val="標楷體"/>
        <family val="4"/>
        <charset val="136"/>
      </rPr>
      <t>災損現場因地權問題尚未修復。</t>
    </r>
    <r>
      <rPr>
        <sz val="12"/>
        <rFont val="Times New Roman"/>
        <family val="1"/>
      </rPr>
      <t xml:space="preserve"> </t>
    </r>
    <phoneticPr fontId="5" type="noConversion"/>
  </si>
  <si>
    <t>C1F9G0</t>
  </si>
  <si>
    <r>
      <rPr>
        <sz val="12"/>
        <rFont val="標楷體"/>
        <family val="4"/>
        <charset val="136"/>
      </rPr>
      <t>慶福山</t>
    </r>
  </si>
  <si>
    <t>土石流</t>
    <phoneticPr fontId="5" type="noConversion"/>
  </si>
  <si>
    <r>
      <rPr>
        <sz val="12"/>
        <rFont val="標楷體"/>
        <family val="4"/>
        <charset val="136"/>
      </rPr>
      <t>台</t>
    </r>
    <r>
      <rPr>
        <sz val="12"/>
        <rFont val="Times New Roman"/>
        <family val="1"/>
      </rPr>
      <t>20</t>
    </r>
    <r>
      <rPr>
        <sz val="12"/>
        <rFont val="標楷體"/>
        <family val="4"/>
        <charset val="136"/>
      </rPr>
      <t>線</t>
    </r>
    <r>
      <rPr>
        <sz val="12"/>
        <rFont val="Times New Roman"/>
        <family val="1"/>
      </rPr>
      <t>66K</t>
    </r>
    <r>
      <rPr>
        <sz val="12"/>
        <rFont val="標楷體"/>
        <family val="4"/>
        <charset val="136"/>
      </rPr>
      <t>內寮橋白雲寺旁</t>
    </r>
    <phoneticPr fontId="5" type="noConversion"/>
  </si>
  <si>
    <r>
      <rPr>
        <sz val="12"/>
        <rFont val="標楷體"/>
        <family val="4"/>
        <charset val="136"/>
      </rPr>
      <t>高市</t>
    </r>
    <r>
      <rPr>
        <sz val="12"/>
        <rFont val="Times New Roman"/>
        <family val="1"/>
      </rPr>
      <t>DF018</t>
    </r>
    <phoneticPr fontId="5" type="noConversion"/>
  </si>
  <si>
    <r>
      <rPr>
        <sz val="12"/>
        <rFont val="標楷體"/>
        <family val="4"/>
        <charset val="136"/>
      </rPr>
      <t>甲仙鄉東安村白雲寺旁邊坡，因豪大雨而發生崩塌，且大水夾帶土石沖毀台</t>
    </r>
    <r>
      <rPr>
        <sz val="12"/>
        <rFont val="Times New Roman"/>
        <family val="1"/>
      </rPr>
      <t xml:space="preserve"> 20</t>
    </r>
    <r>
      <rPr>
        <sz val="12"/>
        <rFont val="標楷體"/>
        <family val="4"/>
        <charset val="136"/>
      </rPr>
      <t>線</t>
    </r>
    <r>
      <rPr>
        <sz val="12"/>
        <rFont val="Times New Roman"/>
        <family val="1"/>
      </rPr>
      <t xml:space="preserve"> 66K </t>
    </r>
    <r>
      <rPr>
        <sz val="12"/>
        <rFont val="標楷體"/>
        <family val="4"/>
        <charset val="136"/>
      </rPr>
      <t>處之內寮橋，造成交通中斷，並侵入一處民宅及沖毀附近一座土地公廟，所幸並未造成人員傷亡。</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道路毀損：</t>
    </r>
    <r>
      <rPr>
        <sz val="12"/>
        <rFont val="Times New Roman"/>
        <family val="1"/>
      </rPr>
      <t>200</t>
    </r>
    <r>
      <rPr>
        <sz val="12"/>
        <rFont val="標楷體"/>
        <family val="4"/>
        <charset val="136"/>
      </rPr>
      <t>公尺。</t>
    </r>
    <phoneticPr fontId="5" type="noConversion"/>
  </si>
  <si>
    <r>
      <rPr>
        <sz val="12"/>
        <rFont val="標楷體"/>
        <family val="4"/>
        <charset val="136"/>
      </rPr>
      <t>台</t>
    </r>
    <r>
      <rPr>
        <sz val="12"/>
        <rFont val="Times New Roman"/>
        <family val="1"/>
      </rPr>
      <t>20</t>
    </r>
    <r>
      <rPr>
        <sz val="12"/>
        <rFont val="標楷體"/>
        <family val="4"/>
        <charset val="136"/>
      </rPr>
      <t>線</t>
    </r>
    <r>
      <rPr>
        <sz val="12"/>
        <rFont val="Times New Roman"/>
        <family val="1"/>
      </rPr>
      <t>79K</t>
    </r>
    <r>
      <rPr>
        <sz val="12"/>
        <rFont val="標楷體"/>
        <family val="4"/>
        <charset val="136"/>
      </rPr>
      <t>處羨腳仔聚落</t>
    </r>
    <phoneticPr fontId="5" type="noConversion"/>
  </si>
  <si>
    <r>
      <rPr>
        <sz val="12"/>
        <rFont val="標楷體"/>
        <family val="4"/>
        <charset val="136"/>
      </rPr>
      <t>寶來村</t>
    </r>
    <r>
      <rPr>
        <sz val="12"/>
        <rFont val="Times New Roman"/>
        <family val="1"/>
      </rPr>
      <t>11</t>
    </r>
    <r>
      <rPr>
        <sz val="12"/>
        <rFont val="標楷體"/>
        <family val="4"/>
        <charset val="136"/>
      </rPr>
      <t>鄰</t>
    </r>
    <r>
      <rPr>
        <sz val="12"/>
        <rFont val="Times New Roman"/>
        <family val="1"/>
      </rPr>
      <t>(</t>
    </r>
    <r>
      <rPr>
        <sz val="12"/>
        <rFont val="標楷體"/>
        <family val="4"/>
        <charset val="136"/>
      </rPr>
      <t>檨仔腳聚落</t>
    </r>
    <r>
      <rPr>
        <sz val="12"/>
        <rFont val="Times New Roman"/>
        <family val="1"/>
      </rPr>
      <t>)8</t>
    </r>
    <r>
      <rPr>
        <sz val="12"/>
        <rFont val="標楷體"/>
        <family val="4"/>
        <charset val="136"/>
      </rPr>
      <t>號之</t>
    </r>
    <r>
      <rPr>
        <sz val="12"/>
        <rFont val="Times New Roman"/>
        <family val="1"/>
      </rPr>
      <t>1</t>
    </r>
    <r>
      <rPr>
        <sz val="12"/>
        <rFont val="標楷體"/>
        <family val="4"/>
        <charset val="136"/>
      </rPr>
      <t>後方坡地因豪雨發生崩塌，造成該戶居民</t>
    </r>
    <r>
      <rPr>
        <sz val="12"/>
        <rFont val="Times New Roman"/>
        <family val="1"/>
      </rPr>
      <t xml:space="preserve"> 2</t>
    </r>
    <r>
      <rPr>
        <sz val="12"/>
        <rFont val="標楷體"/>
        <family val="4"/>
        <charset val="136"/>
      </rPr>
      <t>死</t>
    </r>
    <r>
      <rPr>
        <sz val="12"/>
        <rFont val="Times New Roman"/>
        <family val="1"/>
      </rPr>
      <t xml:space="preserve"> 1</t>
    </r>
    <r>
      <rPr>
        <sz val="12"/>
        <rFont val="標楷體"/>
        <family val="4"/>
        <charset val="136"/>
      </rPr>
      <t>傷之不幸事件。</t>
    </r>
    <r>
      <rPr>
        <sz val="12"/>
        <rFont val="Times New Roman"/>
        <family val="1"/>
      </rPr>
      <t xml:space="preserve"> </t>
    </r>
    <r>
      <rPr>
        <sz val="12"/>
        <rFont val="標楷體"/>
        <family val="4"/>
        <charset val="136"/>
      </rPr>
      <t>人員傷亡：</t>
    </r>
    <r>
      <rPr>
        <sz val="12"/>
        <rFont val="Times New Roman"/>
        <family val="1"/>
      </rPr>
      <t>2</t>
    </r>
    <r>
      <rPr>
        <sz val="12"/>
        <rFont val="標楷體"/>
        <family val="4"/>
        <charset val="136"/>
      </rPr>
      <t>死</t>
    </r>
    <r>
      <rPr>
        <sz val="12"/>
        <rFont val="Times New Roman"/>
        <family val="1"/>
      </rPr>
      <t xml:space="preserve"> 1</t>
    </r>
    <r>
      <rPr>
        <sz val="12"/>
        <rFont val="標楷體"/>
        <family val="4"/>
        <charset val="136"/>
      </rPr>
      <t>傷。</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phoneticPr fontId="5" type="noConversion"/>
  </si>
  <si>
    <r>
      <rPr>
        <sz val="12"/>
        <rFont val="標楷體"/>
        <family val="4"/>
        <charset val="136"/>
      </rPr>
      <t>台</t>
    </r>
    <r>
      <rPr>
        <sz val="12"/>
        <rFont val="Times New Roman"/>
        <family val="1"/>
      </rPr>
      <t>27</t>
    </r>
    <r>
      <rPr>
        <sz val="12"/>
        <rFont val="標楷體"/>
        <family val="4"/>
        <charset val="136"/>
      </rPr>
      <t>線</t>
    </r>
    <r>
      <rPr>
        <sz val="12"/>
        <rFont val="Times New Roman"/>
        <family val="1"/>
      </rPr>
      <t>17.3K</t>
    </r>
    <r>
      <rPr>
        <sz val="12"/>
        <rFont val="標楷體"/>
        <family val="4"/>
        <charset val="136"/>
      </rPr>
      <t>大智瀑布</t>
    </r>
    <phoneticPr fontId="5" type="noConversion"/>
  </si>
  <si>
    <r>
      <rPr>
        <sz val="12"/>
        <rFont val="標楷體"/>
        <family val="4"/>
        <charset val="136"/>
      </rPr>
      <t>大智瀑布旁側邊坡發生崩塌，大量土石沿潛勢溪流</t>
    </r>
    <r>
      <rPr>
        <sz val="12"/>
        <rFont val="Times New Roman"/>
        <family val="1"/>
      </rPr>
      <t>(</t>
    </r>
    <r>
      <rPr>
        <sz val="12"/>
        <rFont val="標楷體"/>
        <family val="4"/>
        <charset val="136"/>
      </rPr>
      <t>高雄</t>
    </r>
    <r>
      <rPr>
        <sz val="12"/>
        <rFont val="Times New Roman"/>
        <family val="1"/>
      </rPr>
      <t xml:space="preserve"> A031)</t>
    </r>
    <r>
      <rPr>
        <sz val="12"/>
        <rFont val="標楷體"/>
        <family val="4"/>
        <charset val="136"/>
      </rPr>
      <t>而下侵入多處民宅，所幸人員已事前疏散，並未造成人員傷亡。</t>
    </r>
    <r>
      <rPr>
        <sz val="12"/>
        <rFont val="Times New Roman"/>
        <family val="1"/>
      </rPr>
      <t xml:space="preserve"> </t>
    </r>
    <r>
      <rPr>
        <sz val="12"/>
        <rFont val="標楷體"/>
        <family val="4"/>
        <charset val="136"/>
      </rPr>
      <t>房屋受損：</t>
    </r>
    <r>
      <rPr>
        <sz val="12"/>
        <rFont val="Times New Roman"/>
        <family val="1"/>
      </rPr>
      <t>9</t>
    </r>
    <r>
      <rPr>
        <sz val="12"/>
        <rFont val="標楷體"/>
        <family val="4"/>
        <charset val="136"/>
      </rPr>
      <t>棟。</t>
    </r>
    <r>
      <rPr>
        <sz val="12"/>
        <rFont val="Times New Roman"/>
        <family val="1"/>
      </rPr>
      <t xml:space="preserve"> </t>
    </r>
    <r>
      <rPr>
        <sz val="12"/>
        <rFont val="標楷體"/>
        <family val="4"/>
        <charset val="136"/>
      </rPr>
      <t>道路毀損：</t>
    </r>
    <r>
      <rPr>
        <sz val="12"/>
        <rFont val="Times New Roman"/>
        <family val="1"/>
      </rPr>
      <t>200</t>
    </r>
    <r>
      <rPr>
        <sz val="12"/>
        <rFont val="標楷體"/>
        <family val="4"/>
        <charset val="136"/>
      </rPr>
      <t>公尺。</t>
    </r>
    <r>
      <rPr>
        <sz val="12"/>
        <rFont val="Times New Roman"/>
        <family val="1"/>
      </rPr>
      <t xml:space="preserve"> </t>
    </r>
    <phoneticPr fontId="5" type="noConversion"/>
  </si>
  <si>
    <r>
      <rPr>
        <sz val="12"/>
        <rFont val="標楷體"/>
        <family val="4"/>
        <charset val="136"/>
      </rPr>
      <t>崩塌、洪水</t>
    </r>
    <phoneticPr fontId="5" type="noConversion"/>
  </si>
  <si>
    <r>
      <rPr>
        <sz val="12"/>
        <rFont val="標楷體"/>
        <family val="4"/>
        <charset val="136"/>
      </rPr>
      <t>投</t>
    </r>
    <r>
      <rPr>
        <sz val="12"/>
        <rFont val="Times New Roman"/>
        <family val="1"/>
      </rPr>
      <t>21</t>
    </r>
    <r>
      <rPr>
        <sz val="12"/>
        <rFont val="標楷體"/>
        <family val="4"/>
        <charset val="136"/>
      </rPr>
      <t>線</t>
    </r>
    <r>
      <rPr>
        <sz val="12"/>
        <rFont val="Times New Roman"/>
        <family val="1"/>
      </rPr>
      <t>0.5K</t>
    </r>
    <r>
      <rPr>
        <sz val="12"/>
        <rFont val="標楷體"/>
        <family val="4"/>
        <charset val="136"/>
      </rPr>
      <t>處斷橋</t>
    </r>
    <phoneticPr fontId="5" type="noConversion"/>
  </si>
  <si>
    <r>
      <rPr>
        <sz val="12"/>
        <rFont val="標楷體"/>
        <family val="4"/>
        <charset val="136"/>
      </rPr>
      <t>福盛村</t>
    </r>
    <phoneticPr fontId="5" type="noConversion"/>
  </si>
  <si>
    <r>
      <rPr>
        <sz val="12"/>
        <rFont val="標楷體"/>
        <family val="4"/>
        <charset val="136"/>
      </rPr>
      <t>野溪上游巨石淤塞河道，擊毀三座橋梁，河岸道路淤埋。道路毀損：</t>
    </r>
    <r>
      <rPr>
        <sz val="12"/>
        <rFont val="Times New Roman"/>
        <family val="1"/>
      </rPr>
      <t>200 m</t>
    </r>
    <r>
      <rPr>
        <sz val="12"/>
        <rFont val="標楷體"/>
        <family val="4"/>
        <charset val="136"/>
      </rPr>
      <t>。</t>
    </r>
    <r>
      <rPr>
        <sz val="12"/>
        <rFont val="Times New Roman"/>
        <family val="1"/>
      </rPr>
      <t xml:space="preserve"> </t>
    </r>
    <r>
      <rPr>
        <sz val="12"/>
        <rFont val="標楷體"/>
        <family val="4"/>
        <charset val="136"/>
      </rPr>
      <t>橋梁毀損：</t>
    </r>
    <r>
      <rPr>
        <sz val="12"/>
        <rFont val="Times New Roman"/>
        <family val="1"/>
      </rPr>
      <t>3</t>
    </r>
    <r>
      <rPr>
        <sz val="12"/>
        <rFont val="標楷體"/>
        <family val="4"/>
        <charset val="136"/>
      </rPr>
      <t>座。護岸毀損：約</t>
    </r>
    <r>
      <rPr>
        <sz val="12"/>
        <rFont val="Times New Roman"/>
        <family val="1"/>
      </rPr>
      <t xml:space="preserve"> 600m</t>
    </r>
    <r>
      <rPr>
        <sz val="12"/>
        <rFont val="標楷體"/>
        <family val="4"/>
        <charset val="136"/>
      </rPr>
      <t>。</t>
    </r>
    <r>
      <rPr>
        <sz val="12"/>
        <rFont val="Times New Roman"/>
        <family val="1"/>
      </rPr>
      <t xml:space="preserve"> 
</t>
    </r>
    <phoneticPr fontId="5" type="noConversion"/>
  </si>
  <si>
    <t>C1H950</t>
  </si>
  <si>
    <r>
      <rPr>
        <sz val="12"/>
        <rFont val="標楷體"/>
        <family val="4"/>
        <charset val="136"/>
      </rPr>
      <t>中寮</t>
    </r>
  </si>
  <si>
    <r>
      <rPr>
        <sz val="12"/>
        <rFont val="標楷體"/>
        <family val="4"/>
        <charset val="136"/>
      </rPr>
      <t>鹽酸坑橋上游約</t>
    </r>
    <r>
      <rPr>
        <sz val="12"/>
        <rFont val="Times New Roman"/>
        <family val="1"/>
      </rPr>
      <t>140</t>
    </r>
    <r>
      <rPr>
        <sz val="12"/>
        <rFont val="標楷體"/>
        <family val="4"/>
        <charset val="136"/>
      </rPr>
      <t>公尺</t>
    </r>
    <phoneticPr fontId="5" type="noConversion"/>
  </si>
  <si>
    <r>
      <rPr>
        <sz val="12"/>
        <rFont val="標楷體"/>
        <family val="4"/>
        <charset val="136"/>
      </rPr>
      <t>甲仙鄉東安村白雲巷於</t>
    </r>
    <r>
      <rPr>
        <sz val="12"/>
        <rFont val="Times New Roman"/>
        <family val="1"/>
      </rPr>
      <t xml:space="preserve"> 7</t>
    </r>
    <r>
      <rPr>
        <sz val="12"/>
        <rFont val="標楷體"/>
        <family val="4"/>
        <charset val="136"/>
      </rPr>
      <t>月</t>
    </r>
    <r>
      <rPr>
        <sz val="12"/>
        <rFont val="Times New Roman"/>
        <family val="1"/>
      </rPr>
      <t xml:space="preserve"> 17</t>
    </r>
    <r>
      <rPr>
        <sz val="12"/>
        <rFont val="標楷體"/>
        <family val="4"/>
        <charset val="136"/>
      </rPr>
      <t>日晚間，因卡玫基颱風帶來之超大豪雨導致鹽桑坑溪山洪爆發，洪水挾帶大量土石沖刷而下，導致鹽桑坑溪主支流沿線農路及房舍嚴重毀損。</t>
    </r>
    <r>
      <rPr>
        <sz val="12"/>
        <rFont val="Times New Roman"/>
        <family val="1"/>
      </rPr>
      <t xml:space="preserve">  </t>
    </r>
    <r>
      <rPr>
        <sz val="12"/>
        <rFont val="標楷體"/>
        <family val="4"/>
        <charset val="136"/>
      </rPr>
      <t>房屋受損：</t>
    </r>
    <r>
      <rPr>
        <sz val="12"/>
        <rFont val="Times New Roman"/>
        <family val="1"/>
      </rPr>
      <t>5</t>
    </r>
    <r>
      <rPr>
        <sz val="12"/>
        <rFont val="標楷體"/>
        <family val="4"/>
        <charset val="136"/>
      </rPr>
      <t>棟。</t>
    </r>
    <r>
      <rPr>
        <sz val="12"/>
        <rFont val="Times New Roman"/>
        <family val="1"/>
      </rPr>
      <t xml:space="preserve">  </t>
    </r>
    <r>
      <rPr>
        <sz val="12"/>
        <rFont val="標楷體"/>
        <family val="4"/>
        <charset val="136"/>
      </rPr>
      <t>道路受損：</t>
    </r>
    <r>
      <rPr>
        <sz val="12"/>
        <rFont val="Times New Roman"/>
        <family val="1"/>
      </rPr>
      <t>1210</t>
    </r>
    <r>
      <rPr>
        <sz val="12"/>
        <rFont val="標楷體"/>
        <family val="4"/>
        <charset val="136"/>
      </rPr>
      <t>公尺。</t>
    </r>
    <r>
      <rPr>
        <sz val="12"/>
        <rFont val="Times New Roman"/>
        <family val="1"/>
      </rPr>
      <t xml:space="preserve">  </t>
    </r>
    <phoneticPr fontId="5" type="noConversion"/>
  </si>
  <si>
    <r>
      <rPr>
        <sz val="12"/>
        <rFont val="標楷體"/>
        <family val="4"/>
        <charset val="136"/>
      </rPr>
      <t>台</t>
    </r>
    <r>
      <rPr>
        <sz val="12"/>
        <rFont val="Times New Roman"/>
        <family val="1"/>
      </rPr>
      <t>20</t>
    </r>
    <r>
      <rPr>
        <sz val="12"/>
        <rFont val="標楷體"/>
        <family val="4"/>
        <charset val="136"/>
      </rPr>
      <t>線</t>
    </r>
    <r>
      <rPr>
        <sz val="12"/>
        <rFont val="Times New Roman"/>
        <family val="1"/>
      </rPr>
      <t>76.5K</t>
    </r>
    <r>
      <rPr>
        <sz val="12"/>
        <rFont val="標楷體"/>
        <family val="4"/>
        <charset val="136"/>
      </rPr>
      <t>處建山一橋</t>
    </r>
    <phoneticPr fontId="5" type="noConversion"/>
  </si>
  <si>
    <r>
      <rPr>
        <sz val="12"/>
        <rFont val="標楷體"/>
        <family val="4"/>
        <charset val="136"/>
      </rPr>
      <t>荖濃溪支流打鐵坑溪兩岸因豪雨發生崩塌溪床抬高，造成寶來村寶建路</t>
    </r>
    <r>
      <rPr>
        <sz val="12"/>
        <rFont val="Times New Roman"/>
        <family val="1"/>
      </rPr>
      <t>1-6</t>
    </r>
    <r>
      <rPr>
        <sz val="12"/>
        <rFont val="標楷體"/>
        <family val="4"/>
        <charset val="136"/>
      </rPr>
      <t>號後方農園沖刷流失、建山一橋受損、台</t>
    </r>
    <r>
      <rPr>
        <sz val="12"/>
        <rFont val="Times New Roman"/>
        <family val="1"/>
      </rPr>
      <t xml:space="preserve"> 20</t>
    </r>
    <r>
      <rPr>
        <sz val="12"/>
        <rFont val="標楷體"/>
        <family val="4"/>
        <charset val="136"/>
      </rPr>
      <t>線坍方約</t>
    </r>
    <r>
      <rPr>
        <sz val="12"/>
        <rFont val="Times New Roman"/>
        <family val="1"/>
      </rPr>
      <t xml:space="preserve"> 30m</t>
    </r>
    <r>
      <rPr>
        <sz val="12"/>
        <rFont val="標楷體"/>
        <family val="4"/>
        <charset val="136"/>
      </rPr>
      <t>，所幸並未造成人員傷亡。</t>
    </r>
    <r>
      <rPr>
        <sz val="12"/>
        <rFont val="Times New Roman"/>
        <family val="1"/>
      </rPr>
      <t xml:space="preserve"> </t>
    </r>
    <r>
      <rPr>
        <sz val="12"/>
        <rFont val="標楷體"/>
        <family val="4"/>
        <charset val="136"/>
      </rPr>
      <t>農舍受損：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農園沖刷流失：約</t>
    </r>
    <r>
      <rPr>
        <sz val="12"/>
        <rFont val="Times New Roman"/>
        <family val="1"/>
      </rPr>
      <t xml:space="preserve"> 2</t>
    </r>
    <r>
      <rPr>
        <sz val="12"/>
        <rFont val="標楷體"/>
        <family val="4"/>
        <charset val="136"/>
      </rPr>
      <t>分地。</t>
    </r>
    <r>
      <rPr>
        <sz val="12"/>
        <rFont val="Times New Roman"/>
        <family val="1"/>
      </rPr>
      <t xml:space="preserve"> </t>
    </r>
    <r>
      <rPr>
        <sz val="12"/>
        <rFont val="標楷體"/>
        <family val="4"/>
        <charset val="136"/>
      </rPr>
      <t>橋梁受損：</t>
    </r>
    <r>
      <rPr>
        <sz val="12"/>
        <rFont val="Times New Roman"/>
        <family val="1"/>
      </rPr>
      <t>1</t>
    </r>
    <r>
      <rPr>
        <sz val="12"/>
        <rFont val="標楷體"/>
        <family val="4"/>
        <charset val="136"/>
      </rPr>
      <t>處</t>
    </r>
    <r>
      <rPr>
        <sz val="12"/>
        <rFont val="Times New Roman"/>
        <family val="1"/>
      </rPr>
      <t xml:space="preserve">(A2 </t>
    </r>
    <r>
      <rPr>
        <sz val="12"/>
        <rFont val="標楷體"/>
        <family val="4"/>
        <charset val="136"/>
      </rPr>
      <t>橋台沖毀約</t>
    </r>
    <r>
      <rPr>
        <sz val="12"/>
        <rFont val="Times New Roman"/>
        <family val="1"/>
      </rPr>
      <t xml:space="preserve"> 20m)</t>
    </r>
    <r>
      <rPr>
        <sz val="12"/>
        <rFont val="標楷體"/>
        <family val="4"/>
        <charset val="136"/>
      </rPr>
      <t>。</t>
    </r>
    <r>
      <rPr>
        <sz val="12"/>
        <rFont val="Times New Roman"/>
        <family val="1"/>
      </rPr>
      <t xml:space="preserve"> </t>
    </r>
    <r>
      <rPr>
        <sz val="12"/>
        <rFont val="標楷體"/>
        <family val="4"/>
        <charset val="136"/>
      </rPr>
      <t>道路坍方：台</t>
    </r>
    <r>
      <rPr>
        <sz val="12"/>
        <rFont val="Times New Roman"/>
        <family val="1"/>
      </rPr>
      <t xml:space="preserve"> 20</t>
    </r>
    <r>
      <rPr>
        <sz val="12"/>
        <rFont val="標楷體"/>
        <family val="4"/>
        <charset val="136"/>
      </rPr>
      <t>線坍方約</t>
    </r>
    <r>
      <rPr>
        <sz val="12"/>
        <rFont val="Times New Roman"/>
        <family val="1"/>
      </rPr>
      <t xml:space="preserve"> 30M</t>
    </r>
    <r>
      <rPr>
        <sz val="12"/>
        <rFont val="標楷體"/>
        <family val="4"/>
        <charset val="136"/>
      </rPr>
      <t>。</t>
    </r>
    <r>
      <rPr>
        <sz val="12"/>
        <rFont val="Times New Roman"/>
        <family val="1"/>
      </rPr>
      <t xml:space="preserve"> 
</t>
    </r>
    <phoneticPr fontId="5" type="noConversion"/>
  </si>
  <si>
    <r>
      <rPr>
        <sz val="12"/>
        <rFont val="標楷體"/>
        <family val="4"/>
        <charset val="136"/>
      </rPr>
      <t>宜縣</t>
    </r>
    <r>
      <rPr>
        <sz val="12"/>
        <rFont val="Times New Roman"/>
        <family val="1"/>
      </rPr>
      <t>DF030</t>
    </r>
  </si>
  <si>
    <r>
      <rPr>
        <sz val="12"/>
        <rFont val="標楷體"/>
        <family val="4"/>
        <charset val="136"/>
      </rPr>
      <t>宜蘭縣</t>
    </r>
  </si>
  <si>
    <r>
      <rPr>
        <sz val="12"/>
        <rFont val="標楷體"/>
        <family val="4"/>
        <charset val="136"/>
      </rPr>
      <t>礁溪鄉</t>
    </r>
  </si>
  <si>
    <r>
      <rPr>
        <sz val="12"/>
        <rFont val="標楷體"/>
        <family val="4"/>
        <charset val="136"/>
      </rPr>
      <t>匏崙村</t>
    </r>
  </si>
  <si>
    <r>
      <rPr>
        <sz val="12"/>
        <rFont val="標楷體"/>
        <family val="4"/>
        <charset val="136"/>
      </rPr>
      <t>辛樂克颱風</t>
    </r>
    <phoneticPr fontId="5" type="noConversion"/>
  </si>
  <si>
    <r>
      <rPr>
        <sz val="12"/>
        <rFont val="標楷體"/>
        <family val="4"/>
        <charset val="136"/>
      </rPr>
      <t>宜</t>
    </r>
    <r>
      <rPr>
        <sz val="12"/>
        <rFont val="Times New Roman"/>
        <family val="1"/>
      </rPr>
      <t>A102</t>
    </r>
    <r>
      <rPr>
        <sz val="12"/>
        <rFont val="標楷體"/>
        <family val="4"/>
        <charset val="136"/>
      </rPr>
      <t>土石流潛勢溪流</t>
    </r>
    <r>
      <rPr>
        <sz val="12"/>
        <rFont val="Times New Roman"/>
        <family val="1"/>
      </rPr>
      <t>(</t>
    </r>
    <r>
      <rPr>
        <sz val="12"/>
        <rFont val="標楷體"/>
        <family val="4"/>
        <charset val="136"/>
      </rPr>
      <t>小礁溪支流</t>
    </r>
    <r>
      <rPr>
        <sz val="12"/>
        <rFont val="Times New Roman"/>
        <family val="1"/>
      </rPr>
      <t>)</t>
    </r>
    <r>
      <rPr>
        <sz val="12"/>
        <rFont val="標楷體"/>
        <family val="4"/>
        <charset val="136"/>
      </rPr>
      <t>土石流漫淹至農宜礁</t>
    </r>
    <r>
      <rPr>
        <sz val="12"/>
        <rFont val="Times New Roman"/>
        <family val="1"/>
      </rPr>
      <t xml:space="preserve"> 7</t>
    </r>
    <r>
      <rPr>
        <sz val="12"/>
        <rFont val="標楷體"/>
        <family val="4"/>
        <charset val="136"/>
      </rPr>
      <t>號農路支線。</t>
    </r>
    <r>
      <rPr>
        <sz val="12"/>
        <rFont val="Times New Roman"/>
        <family val="1"/>
      </rPr>
      <t xml:space="preserve"> </t>
    </r>
    <r>
      <rPr>
        <sz val="12"/>
        <rFont val="標楷體"/>
        <family val="4"/>
        <charset val="136"/>
      </rPr>
      <t>人命損失：</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房舍受損：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200</t>
    </r>
    <r>
      <rPr>
        <sz val="12"/>
        <rFont val="標楷體"/>
        <family val="4"/>
        <charset val="136"/>
      </rPr>
      <t>公尺。</t>
    </r>
    <r>
      <rPr>
        <sz val="12"/>
        <rFont val="Times New Roman"/>
        <family val="1"/>
      </rPr>
      <t xml:space="preserve"> </t>
    </r>
    <phoneticPr fontId="5" type="noConversion"/>
  </si>
  <si>
    <t>C1U610</t>
  </si>
  <si>
    <r>
      <rPr>
        <sz val="12"/>
        <rFont val="標楷體"/>
        <family val="4"/>
        <charset val="136"/>
      </rPr>
      <t>大礁溪</t>
    </r>
  </si>
  <si>
    <r>
      <rPr>
        <sz val="12"/>
        <rFont val="標楷體"/>
        <family val="4"/>
        <charset val="136"/>
      </rPr>
      <t>台</t>
    </r>
    <r>
      <rPr>
        <sz val="12"/>
        <rFont val="Times New Roman"/>
        <family val="1"/>
      </rPr>
      <t>14</t>
    </r>
    <r>
      <rPr>
        <sz val="12"/>
        <rFont val="標楷體"/>
        <family val="4"/>
        <charset val="136"/>
      </rPr>
      <t>線</t>
    </r>
    <r>
      <rPr>
        <sz val="12"/>
        <rFont val="Times New Roman"/>
        <family val="1"/>
      </rPr>
      <t>71K+100</t>
    </r>
    <r>
      <rPr>
        <sz val="12"/>
        <rFont val="標楷體"/>
        <family val="4"/>
        <charset val="136"/>
      </rPr>
      <t>中油加油站</t>
    </r>
    <phoneticPr fontId="5" type="noConversion"/>
  </si>
  <si>
    <r>
      <rPr>
        <sz val="12"/>
        <rFont val="標楷體"/>
        <family val="4"/>
        <charset val="136"/>
      </rPr>
      <t>南豐村</t>
    </r>
    <phoneticPr fontId="5" type="noConversion"/>
  </si>
  <si>
    <r>
      <rPr>
        <sz val="12"/>
        <rFont val="標楷體"/>
        <family val="4"/>
        <charset val="136"/>
      </rPr>
      <t>投縣</t>
    </r>
    <r>
      <rPr>
        <sz val="12"/>
        <rFont val="Times New Roman"/>
        <family val="1"/>
      </rPr>
      <t>DF013</t>
    </r>
  </si>
  <si>
    <r>
      <rPr>
        <sz val="12"/>
        <rFont val="標楷體"/>
        <family val="4"/>
        <charset val="136"/>
      </rPr>
      <t>土石流潛勢溪南投</t>
    </r>
    <r>
      <rPr>
        <sz val="12"/>
        <rFont val="Times New Roman"/>
        <family val="1"/>
      </rPr>
      <t xml:space="preserve"> 004</t>
    </r>
    <r>
      <rPr>
        <sz val="12"/>
        <rFont val="標楷體"/>
        <family val="4"/>
        <charset val="136"/>
      </rPr>
      <t>於</t>
    </r>
    <r>
      <rPr>
        <sz val="12"/>
        <rFont val="Times New Roman"/>
        <family val="1"/>
      </rPr>
      <t xml:space="preserve"> 9</t>
    </r>
    <r>
      <rPr>
        <sz val="12"/>
        <rFont val="標楷體"/>
        <family val="4"/>
        <charset val="136"/>
      </rPr>
      <t>月</t>
    </r>
    <r>
      <rPr>
        <sz val="12"/>
        <rFont val="Times New Roman"/>
        <family val="1"/>
      </rPr>
      <t xml:space="preserve"> 15</t>
    </r>
    <r>
      <rPr>
        <sz val="12"/>
        <rFont val="標楷體"/>
        <family val="4"/>
        <charset val="136"/>
      </rPr>
      <t>日上午爆發土石流，土石侵入下游多處建物，並造成台</t>
    </r>
    <r>
      <rPr>
        <sz val="12"/>
        <rFont val="Times New Roman"/>
        <family val="1"/>
      </rPr>
      <t xml:space="preserve"> 14</t>
    </r>
    <r>
      <rPr>
        <sz val="12"/>
        <rFont val="標楷體"/>
        <family val="4"/>
        <charset val="136"/>
      </rPr>
      <t>線交通中斷，所幸無任何人員傷亡。</t>
    </r>
    <r>
      <rPr>
        <sz val="12"/>
        <rFont val="Times New Roman"/>
        <family val="1"/>
      </rPr>
      <t xml:space="preserve"> </t>
    </r>
    <r>
      <rPr>
        <sz val="12"/>
        <rFont val="標楷體"/>
        <family val="4"/>
        <charset val="136"/>
      </rPr>
      <t>房屋受損：</t>
    </r>
    <r>
      <rPr>
        <sz val="12"/>
        <rFont val="Times New Roman"/>
        <family val="1"/>
      </rPr>
      <t>4</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150</t>
    </r>
    <r>
      <rPr>
        <sz val="12"/>
        <rFont val="標楷體"/>
        <family val="4"/>
        <charset val="136"/>
      </rPr>
      <t>公尺。</t>
    </r>
    <phoneticPr fontId="5" type="noConversion"/>
  </si>
  <si>
    <r>
      <rPr>
        <sz val="12"/>
        <rFont val="標楷體"/>
        <family val="4"/>
        <charset val="136"/>
      </rPr>
      <t>楓樹林</t>
    </r>
  </si>
  <si>
    <r>
      <rPr>
        <sz val="12"/>
        <rFont val="標楷體"/>
        <family val="4"/>
        <charset val="136"/>
      </rPr>
      <t>台</t>
    </r>
    <r>
      <rPr>
        <sz val="12"/>
        <rFont val="Times New Roman"/>
        <family val="1"/>
      </rPr>
      <t>17</t>
    </r>
    <r>
      <rPr>
        <sz val="12"/>
        <rFont val="標楷體"/>
        <family val="4"/>
        <charset val="136"/>
      </rPr>
      <t>線下眉橋處</t>
    </r>
    <phoneticPr fontId="5" type="noConversion"/>
  </si>
  <si>
    <r>
      <rPr>
        <sz val="12"/>
        <rFont val="標楷體"/>
        <family val="4"/>
        <charset val="136"/>
      </rPr>
      <t>投縣</t>
    </r>
    <r>
      <rPr>
        <sz val="12"/>
        <rFont val="Times New Roman"/>
        <family val="1"/>
      </rPr>
      <t>DF011</t>
    </r>
  </si>
  <si>
    <r>
      <rPr>
        <sz val="12"/>
        <rFont val="標楷體"/>
        <family val="4"/>
        <charset val="136"/>
      </rPr>
      <t>南投</t>
    </r>
    <r>
      <rPr>
        <sz val="12"/>
        <rFont val="Times New Roman"/>
        <family val="1"/>
      </rPr>
      <t xml:space="preserve"> 003</t>
    </r>
    <r>
      <rPr>
        <sz val="12"/>
        <rFont val="標楷體"/>
        <family val="4"/>
        <charset val="136"/>
      </rPr>
      <t>潛勢溪流發生土石流，土石淹沒河道旁農路及下眉橋，並阻斷台</t>
    </r>
    <r>
      <rPr>
        <sz val="12"/>
        <rFont val="Times New Roman"/>
        <family val="1"/>
      </rPr>
      <t xml:space="preserve"> 14</t>
    </r>
    <r>
      <rPr>
        <sz val="12"/>
        <rFont val="標楷體"/>
        <family val="4"/>
        <charset val="136"/>
      </rPr>
      <t>線</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人員傷亡：無</t>
    </r>
    <r>
      <rPr>
        <sz val="12"/>
        <rFont val="Times New Roman"/>
        <family val="1"/>
      </rPr>
      <t xml:space="preserve">   </t>
    </r>
    <r>
      <rPr>
        <sz val="12"/>
        <rFont val="標楷體"/>
        <family val="4"/>
        <charset val="136"/>
      </rPr>
      <t>道路毀損：約</t>
    </r>
    <r>
      <rPr>
        <sz val="12"/>
        <rFont val="Times New Roman"/>
        <family val="1"/>
      </rPr>
      <t xml:space="preserve"> 150</t>
    </r>
    <r>
      <rPr>
        <sz val="12"/>
        <rFont val="標楷體"/>
        <family val="4"/>
        <charset val="136"/>
      </rPr>
      <t>公尺</t>
    </r>
    <r>
      <rPr>
        <sz val="12"/>
        <rFont val="Times New Roman"/>
        <family val="1"/>
      </rPr>
      <t xml:space="preserve"> </t>
    </r>
    <phoneticPr fontId="5" type="noConversion"/>
  </si>
  <si>
    <r>
      <rPr>
        <sz val="12"/>
        <rFont val="標楷體"/>
        <family val="4"/>
        <charset val="136"/>
      </rPr>
      <t>楓樹林</t>
    </r>
    <phoneticPr fontId="5" type="noConversion"/>
  </si>
  <si>
    <r>
      <rPr>
        <sz val="12"/>
        <rFont val="標楷體"/>
        <family val="4"/>
        <charset val="136"/>
      </rPr>
      <t>台</t>
    </r>
    <r>
      <rPr>
        <sz val="12"/>
        <rFont val="Times New Roman"/>
        <family val="1"/>
      </rPr>
      <t>21</t>
    </r>
    <r>
      <rPr>
        <sz val="12"/>
        <rFont val="標楷體"/>
        <family val="4"/>
        <charset val="136"/>
      </rPr>
      <t>線</t>
    </r>
    <r>
      <rPr>
        <sz val="12"/>
        <rFont val="Times New Roman"/>
        <family val="1"/>
      </rPr>
      <t>91K+600</t>
    </r>
    <r>
      <rPr>
        <sz val="12"/>
        <rFont val="標楷體"/>
        <family val="4"/>
        <charset val="136"/>
      </rPr>
      <t>豐丘明隧道南端</t>
    </r>
    <phoneticPr fontId="5" type="noConversion"/>
  </si>
  <si>
    <r>
      <rPr>
        <sz val="12"/>
        <rFont val="標楷體"/>
        <family val="4"/>
        <charset val="136"/>
      </rPr>
      <t>豐丘村</t>
    </r>
    <phoneticPr fontId="5" type="noConversion"/>
  </si>
  <si>
    <r>
      <rPr>
        <sz val="12"/>
        <rFont val="標楷體"/>
        <family val="4"/>
        <charset val="136"/>
      </rPr>
      <t>投縣</t>
    </r>
    <r>
      <rPr>
        <sz val="12"/>
        <rFont val="Times New Roman"/>
        <family val="1"/>
      </rPr>
      <t>DF189</t>
    </r>
    <phoneticPr fontId="5" type="noConversion"/>
  </si>
  <si>
    <r>
      <t>2008/9/15  05:00:00 PM
(</t>
    </r>
    <r>
      <rPr>
        <sz val="12"/>
        <rFont val="標楷體"/>
        <family val="4"/>
        <charset val="136"/>
      </rPr>
      <t>崩塌發生時間</t>
    </r>
    <r>
      <rPr>
        <sz val="12"/>
        <rFont val="Times New Roman"/>
        <family val="1"/>
      </rPr>
      <t>)</t>
    </r>
    <phoneticPr fontId="5" type="noConversion"/>
  </si>
  <si>
    <r>
      <rPr>
        <sz val="12"/>
        <rFont val="標楷體"/>
        <family val="4"/>
        <charset val="136"/>
      </rPr>
      <t>台</t>
    </r>
    <r>
      <rPr>
        <sz val="12"/>
        <rFont val="Times New Roman"/>
        <family val="1"/>
      </rPr>
      <t xml:space="preserve"> 21</t>
    </r>
    <r>
      <rPr>
        <sz val="12"/>
        <rFont val="標楷體"/>
        <family val="4"/>
        <charset val="136"/>
      </rPr>
      <t>線豐丘明隧道南端之沙里仙洞溪發生土石流災害，且</t>
    </r>
    <r>
      <rPr>
        <sz val="12"/>
        <rFont val="Times New Roman"/>
        <family val="1"/>
      </rPr>
      <t xml:space="preserve"> 91k+60 </t>
    </r>
    <r>
      <rPr>
        <sz val="12"/>
        <rFont val="標楷體"/>
        <family val="4"/>
        <charset val="136"/>
      </rPr>
      <t>處發生邊坡崩塌，近</t>
    </r>
    <r>
      <rPr>
        <sz val="12"/>
        <rFont val="Times New Roman"/>
        <family val="1"/>
      </rPr>
      <t xml:space="preserve"> 5</t>
    </r>
    <r>
      <rPr>
        <sz val="12"/>
        <rFont val="標楷體"/>
        <family val="4"/>
        <charset val="136"/>
      </rPr>
      <t>萬立方公尺土石崩滑，掩埋該處台</t>
    </r>
    <r>
      <rPr>
        <sz val="12"/>
        <rFont val="Times New Roman"/>
        <family val="1"/>
      </rPr>
      <t xml:space="preserve"> 21</t>
    </r>
    <r>
      <rPr>
        <sz val="12"/>
        <rFont val="標楷體"/>
        <family val="4"/>
        <charset val="136"/>
      </rPr>
      <t>線通行之人員及車輛。</t>
    </r>
    <r>
      <rPr>
        <sz val="12"/>
        <rFont val="Times New Roman"/>
        <family val="1"/>
      </rPr>
      <t xml:space="preserve"> 6</t>
    </r>
    <r>
      <rPr>
        <sz val="12"/>
        <rFont val="標楷體"/>
        <family val="4"/>
        <charset val="136"/>
      </rPr>
      <t>輛小客車、</t>
    </r>
    <r>
      <rPr>
        <sz val="12"/>
        <rFont val="Times New Roman"/>
        <family val="1"/>
      </rPr>
      <t>2</t>
    </r>
    <r>
      <rPr>
        <sz val="12"/>
        <rFont val="標楷體"/>
        <family val="4"/>
        <charset val="136"/>
      </rPr>
      <t>輛機車及</t>
    </r>
    <r>
      <rPr>
        <sz val="12"/>
        <rFont val="Times New Roman"/>
        <family val="1"/>
      </rPr>
      <t xml:space="preserve"> 2</t>
    </r>
    <r>
      <rPr>
        <sz val="12"/>
        <rFont val="標楷體"/>
        <family val="4"/>
        <charset val="136"/>
      </rPr>
      <t>台工程
車遭土石掩埋。</t>
    </r>
    <r>
      <rPr>
        <sz val="12"/>
        <rFont val="Times New Roman"/>
        <family val="1"/>
      </rPr>
      <t xml:space="preserve"> </t>
    </r>
    <r>
      <rPr>
        <sz val="12"/>
        <rFont val="標楷體"/>
        <family val="4"/>
        <charset val="136"/>
      </rPr>
      <t>人員傷亡：</t>
    </r>
    <r>
      <rPr>
        <sz val="12"/>
        <rFont val="Times New Roman"/>
        <family val="1"/>
      </rPr>
      <t>7</t>
    </r>
    <r>
      <rPr>
        <sz val="12"/>
        <rFont val="標楷體"/>
        <family val="4"/>
        <charset val="136"/>
      </rPr>
      <t>死</t>
    </r>
    <r>
      <rPr>
        <sz val="12"/>
        <rFont val="Times New Roman"/>
        <family val="1"/>
      </rPr>
      <t xml:space="preserve"> 7</t>
    </r>
    <r>
      <rPr>
        <sz val="12"/>
        <rFont val="標楷體"/>
        <family val="4"/>
        <charset val="136"/>
      </rPr>
      <t xml:space="preserve">傷。
</t>
    </r>
    <phoneticPr fontId="5" type="noConversion"/>
  </si>
  <si>
    <r>
      <rPr>
        <sz val="12"/>
        <rFont val="標楷體"/>
        <family val="4"/>
        <charset val="136"/>
      </rPr>
      <t>信義</t>
    </r>
    <phoneticPr fontId="5" type="noConversion"/>
  </si>
  <si>
    <r>
      <rPr>
        <sz val="12"/>
        <rFont val="標楷體"/>
        <family val="4"/>
        <charset val="136"/>
      </rPr>
      <t>鄉道苗</t>
    </r>
    <r>
      <rPr>
        <sz val="12"/>
        <rFont val="Times New Roman"/>
        <family val="1"/>
      </rPr>
      <t>22</t>
    </r>
    <r>
      <rPr>
        <sz val="12"/>
        <rFont val="標楷體"/>
        <family val="4"/>
        <charset val="136"/>
      </rPr>
      <t>夢幻桐花步道入口意像旁農路南側邊坡</t>
    </r>
    <phoneticPr fontId="5" type="noConversion"/>
  </si>
  <si>
    <r>
      <rPr>
        <sz val="12"/>
        <rFont val="標楷體"/>
        <family val="4"/>
        <charset val="136"/>
      </rPr>
      <t>頭屋鄉</t>
    </r>
    <phoneticPr fontId="5" type="noConversion"/>
  </si>
  <si>
    <r>
      <rPr>
        <sz val="12"/>
        <rFont val="標楷體"/>
        <family val="4"/>
        <charset val="136"/>
      </rPr>
      <t>鳴鳳村</t>
    </r>
    <phoneticPr fontId="5" type="noConversion"/>
  </si>
  <si>
    <r>
      <rPr>
        <sz val="12"/>
        <rFont val="標楷體"/>
        <family val="4"/>
        <charset val="136"/>
      </rPr>
      <t>土石淤埋道路旁集水井、</t>
    </r>
    <r>
      <rPr>
        <sz val="12"/>
        <rFont val="Times New Roman"/>
        <family val="1"/>
      </rPr>
      <t>4</t>
    </r>
    <r>
      <rPr>
        <sz val="12"/>
        <rFont val="標楷體"/>
        <family val="4"/>
        <charset val="136"/>
      </rPr>
      <t>鄰</t>
    </r>
    <r>
      <rPr>
        <sz val="12"/>
        <rFont val="Times New Roman"/>
        <family val="1"/>
      </rPr>
      <t>17</t>
    </r>
    <r>
      <rPr>
        <sz val="12"/>
        <rFont val="標楷體"/>
        <family val="4"/>
        <charset val="136"/>
      </rPr>
      <t>號之</t>
    </r>
    <r>
      <rPr>
        <sz val="12"/>
        <rFont val="Times New Roman"/>
        <family val="1"/>
      </rPr>
      <t xml:space="preserve"> 1</t>
    </r>
    <r>
      <rPr>
        <sz val="12"/>
        <rFont val="標楷體"/>
        <family val="4"/>
        <charset val="136"/>
      </rPr>
      <t>民宅</t>
    </r>
    <r>
      <rPr>
        <sz val="12"/>
        <rFont val="Times New Roman"/>
        <family val="1"/>
      </rPr>
      <t xml:space="preserve"> 2</t>
    </r>
    <r>
      <rPr>
        <sz val="12"/>
        <rFont val="標楷體"/>
        <family val="4"/>
        <charset val="136"/>
      </rPr>
      <t>棟以及苗</t>
    </r>
    <r>
      <rPr>
        <sz val="12"/>
        <rFont val="Times New Roman"/>
        <family val="1"/>
      </rPr>
      <t xml:space="preserve"> 22</t>
    </r>
    <r>
      <rPr>
        <sz val="12"/>
        <rFont val="標楷體"/>
        <family val="4"/>
        <charset val="136"/>
      </rPr>
      <t>下方排水路。</t>
    </r>
    <r>
      <rPr>
        <sz val="12"/>
        <rFont val="Times New Roman"/>
        <family val="1"/>
      </rPr>
      <t xml:space="preserve"> 4</t>
    </r>
    <r>
      <rPr>
        <sz val="12"/>
        <rFont val="標楷體"/>
        <family val="4"/>
        <charset val="136"/>
      </rPr>
      <t>鄰</t>
    </r>
    <r>
      <rPr>
        <sz val="12"/>
        <rFont val="Times New Roman"/>
        <family val="1"/>
      </rPr>
      <t xml:space="preserve"> 17</t>
    </r>
    <r>
      <rPr>
        <sz val="12"/>
        <rFont val="標楷體"/>
        <family val="4"/>
        <charset val="136"/>
      </rPr>
      <t>號民宅及其下方農路基礎流失。</t>
    </r>
    <phoneticPr fontId="5" type="noConversion"/>
  </si>
  <si>
    <t>C1E550</t>
  </si>
  <si>
    <r>
      <rPr>
        <sz val="12"/>
        <rFont val="標楷體"/>
        <family val="4"/>
        <charset val="136"/>
      </rPr>
      <t>電桿編號麻園幹</t>
    </r>
    <r>
      <rPr>
        <sz val="12"/>
        <rFont val="Times New Roman"/>
        <family val="1"/>
      </rPr>
      <t>108</t>
    </r>
    <r>
      <rPr>
        <sz val="12"/>
        <rFont val="標楷體"/>
        <family val="4"/>
        <charset val="136"/>
      </rPr>
      <t>處</t>
    </r>
    <phoneticPr fontId="5" type="noConversion"/>
  </si>
  <si>
    <r>
      <rPr>
        <sz val="12"/>
        <rFont val="標楷體"/>
        <family val="4"/>
        <charset val="136"/>
      </rPr>
      <t>銅鑼鄉</t>
    </r>
    <phoneticPr fontId="5" type="noConversion"/>
  </si>
  <si>
    <r>
      <rPr>
        <sz val="12"/>
        <rFont val="標楷體"/>
        <family val="4"/>
        <charset val="136"/>
      </rPr>
      <t>盛龍村</t>
    </r>
    <phoneticPr fontId="5" type="noConversion"/>
  </si>
  <si>
    <r>
      <rPr>
        <sz val="12"/>
        <rFont val="標楷體"/>
        <family val="4"/>
        <charset val="136"/>
      </rPr>
      <t>在</t>
    </r>
    <r>
      <rPr>
        <sz val="12"/>
        <rFont val="Times New Roman"/>
        <family val="1"/>
      </rPr>
      <t xml:space="preserve"> 13</t>
    </r>
    <r>
      <rPr>
        <sz val="12"/>
        <rFont val="標楷體"/>
        <family val="4"/>
        <charset val="136"/>
      </rPr>
      <t>鄰內山坡地崩落滑移，造成中油專用道路毀損約</t>
    </r>
    <r>
      <rPr>
        <sz val="12"/>
        <rFont val="Times New Roman"/>
        <family val="1"/>
      </rPr>
      <t xml:space="preserve"> 200m</t>
    </r>
    <r>
      <rPr>
        <sz val="12"/>
        <rFont val="標楷體"/>
        <family val="4"/>
        <charset val="136"/>
      </rPr>
      <t>，危及下方民宅安全。</t>
    </r>
    <r>
      <rPr>
        <sz val="12"/>
        <rFont val="Times New Roman"/>
        <family val="1"/>
      </rPr>
      <t xml:space="preserve"> </t>
    </r>
    <r>
      <rPr>
        <sz val="12"/>
        <rFont val="標楷體"/>
        <family val="4"/>
        <charset val="136"/>
      </rPr>
      <t>崩積物淤塞下方八燕坑野溪形成堰塞湖，長約</t>
    </r>
    <r>
      <rPr>
        <sz val="12"/>
        <rFont val="Times New Roman"/>
        <family val="1"/>
      </rPr>
      <t xml:space="preserve"> 200m</t>
    </r>
    <r>
      <rPr>
        <sz val="12"/>
        <rFont val="標楷體"/>
        <family val="4"/>
        <charset val="136"/>
      </rPr>
      <t>，寬約</t>
    </r>
    <r>
      <rPr>
        <sz val="12"/>
        <rFont val="Times New Roman"/>
        <family val="1"/>
      </rPr>
      <t xml:space="preserve"> 20m</t>
    </r>
    <r>
      <rPr>
        <sz val="12"/>
        <rFont val="標楷體"/>
        <family val="4"/>
        <charset val="136"/>
      </rPr>
      <t>。</t>
    </r>
    <phoneticPr fontId="5" type="noConversion"/>
  </si>
  <si>
    <t>C1E520</t>
  </si>
  <si>
    <r>
      <rPr>
        <sz val="12"/>
        <rFont val="標楷體"/>
        <family val="4"/>
        <charset val="136"/>
      </rPr>
      <t>大湖</t>
    </r>
    <phoneticPr fontId="5" type="noConversion"/>
  </si>
  <si>
    <r>
      <rPr>
        <sz val="12"/>
        <rFont val="標楷體"/>
        <family val="4"/>
        <charset val="136"/>
      </rPr>
      <t>苗</t>
    </r>
    <r>
      <rPr>
        <sz val="12"/>
        <rFont val="Times New Roman"/>
        <family val="1"/>
      </rPr>
      <t>55</t>
    </r>
    <r>
      <rPr>
        <sz val="12"/>
        <rFont val="標楷體"/>
        <family val="4"/>
        <charset val="136"/>
      </rPr>
      <t>經武樂橋往坑尾橋方向約</t>
    </r>
    <r>
      <rPr>
        <sz val="12"/>
        <rFont val="Times New Roman"/>
        <family val="1"/>
      </rPr>
      <t>1.3</t>
    </r>
    <r>
      <rPr>
        <sz val="12"/>
        <rFont val="標楷體"/>
        <family val="4"/>
        <charset val="136"/>
      </rPr>
      <t>公里處</t>
    </r>
    <phoneticPr fontId="5" type="noConversion"/>
  </si>
  <si>
    <r>
      <rPr>
        <sz val="12"/>
        <rFont val="標楷體"/>
        <family val="4"/>
        <charset val="136"/>
      </rPr>
      <t>大湖鄉</t>
    </r>
    <phoneticPr fontId="5" type="noConversion"/>
  </si>
  <si>
    <r>
      <rPr>
        <sz val="12"/>
        <rFont val="標楷體"/>
        <family val="4"/>
        <charset val="136"/>
      </rPr>
      <t>武榮村</t>
    </r>
    <phoneticPr fontId="5" type="noConversion"/>
  </si>
  <si>
    <r>
      <rPr>
        <sz val="12"/>
        <rFont val="標楷體"/>
        <family val="4"/>
        <charset val="136"/>
      </rPr>
      <t>土石淤埋民宅坑尾寮</t>
    </r>
    <r>
      <rPr>
        <sz val="12"/>
        <rFont val="Times New Roman"/>
        <family val="1"/>
      </rPr>
      <t xml:space="preserve"> 9</t>
    </r>
    <r>
      <rPr>
        <sz val="12"/>
        <rFont val="標楷體"/>
        <family val="4"/>
        <charset val="136"/>
      </rPr>
      <t>號及</t>
    </r>
    <r>
      <rPr>
        <sz val="12"/>
        <rFont val="Times New Roman"/>
        <family val="1"/>
      </rPr>
      <t xml:space="preserve"> </t>
    </r>
    <r>
      <rPr>
        <sz val="12"/>
        <rFont val="標楷體"/>
        <family val="4"/>
        <charset val="136"/>
      </rPr>
      <t>下方農路。</t>
    </r>
    <r>
      <rPr>
        <sz val="12"/>
        <rFont val="Times New Roman"/>
        <family val="1"/>
      </rPr>
      <t xml:space="preserve"> </t>
    </r>
    <r>
      <rPr>
        <sz val="12"/>
        <rFont val="標楷體"/>
        <family val="4"/>
        <charset val="136"/>
      </rPr>
      <t>民眾</t>
    </r>
    <r>
      <rPr>
        <sz val="12"/>
        <rFont val="Times New Roman"/>
        <family val="1"/>
      </rPr>
      <t xml:space="preserve"> 2</t>
    </r>
    <r>
      <rPr>
        <sz val="12"/>
        <rFont val="標楷體"/>
        <family val="4"/>
        <charset val="136"/>
      </rPr>
      <t>人遭土石掩埋死亡。</t>
    </r>
    <r>
      <rPr>
        <sz val="12"/>
        <rFont val="Times New Roman"/>
        <family val="1"/>
      </rPr>
      <t xml:space="preserve"> 
</t>
    </r>
    <phoneticPr fontId="5" type="noConversion"/>
  </si>
  <si>
    <t>C1E52</t>
  </si>
  <si>
    <r>
      <rPr>
        <sz val="12"/>
        <rFont val="標楷體"/>
        <family val="4"/>
        <charset val="136"/>
      </rPr>
      <t>竹</t>
    </r>
    <r>
      <rPr>
        <sz val="12"/>
        <rFont val="Times New Roman"/>
        <family val="1"/>
      </rPr>
      <t>39</t>
    </r>
    <r>
      <rPr>
        <sz val="12"/>
        <rFont val="標楷體"/>
        <family val="4"/>
        <charset val="136"/>
      </rPr>
      <t>線</t>
    </r>
    <r>
      <rPr>
        <sz val="12"/>
        <rFont val="Times New Roman"/>
        <family val="1"/>
      </rPr>
      <t>1.7K</t>
    </r>
    <phoneticPr fontId="5" type="noConversion"/>
  </si>
  <si>
    <r>
      <rPr>
        <sz val="12"/>
        <rFont val="標楷體"/>
        <family val="4"/>
        <charset val="136"/>
      </rPr>
      <t>北埔鄉</t>
    </r>
    <phoneticPr fontId="5" type="noConversion"/>
  </si>
  <si>
    <r>
      <rPr>
        <sz val="12"/>
        <rFont val="標楷體"/>
        <family val="4"/>
        <charset val="136"/>
      </rPr>
      <t>大湖村</t>
    </r>
    <phoneticPr fontId="5" type="noConversion"/>
  </si>
  <si>
    <r>
      <rPr>
        <sz val="12"/>
        <rFont val="標楷體"/>
        <family val="4"/>
        <charset val="136"/>
      </rPr>
      <t>北埔鄉通往大湖村竹</t>
    </r>
    <r>
      <rPr>
        <sz val="12"/>
        <rFont val="Times New Roman"/>
        <family val="1"/>
      </rPr>
      <t xml:space="preserve"> 39 </t>
    </r>
    <r>
      <rPr>
        <sz val="12"/>
        <rFont val="標楷體"/>
        <family val="4"/>
        <charset val="136"/>
      </rPr>
      <t>線道路，約於</t>
    </r>
    <r>
      <rPr>
        <sz val="12"/>
        <rFont val="Times New Roman"/>
        <family val="1"/>
      </rPr>
      <t xml:space="preserve"> 1.7k</t>
    </r>
    <r>
      <rPr>
        <sz val="12"/>
        <rFont val="標楷體"/>
        <family val="4"/>
        <charset val="136"/>
      </rPr>
      <t>處發生邊坡坍滑，大量土石滑落。</t>
    </r>
    <r>
      <rPr>
        <sz val="12"/>
        <rFont val="Times New Roman"/>
        <family val="1"/>
      </rPr>
      <t xml:space="preserve"> </t>
    </r>
    <r>
      <rPr>
        <sz val="12"/>
        <rFont val="標楷體"/>
        <family val="4"/>
        <charset val="136"/>
      </rPr>
      <t>竹</t>
    </r>
    <r>
      <rPr>
        <sz val="12"/>
        <rFont val="Times New Roman"/>
        <family val="1"/>
      </rPr>
      <t xml:space="preserve"> 39</t>
    </r>
    <r>
      <rPr>
        <sz val="12"/>
        <rFont val="標楷體"/>
        <family val="4"/>
        <charset val="136"/>
      </rPr>
      <t>線道路毀損近</t>
    </r>
    <r>
      <rPr>
        <sz val="12"/>
        <rFont val="Times New Roman"/>
        <family val="1"/>
      </rPr>
      <t xml:space="preserve"> 300</t>
    </r>
    <r>
      <rPr>
        <sz val="12"/>
        <rFont val="標楷體"/>
        <family val="4"/>
        <charset val="136"/>
      </rPr>
      <t>公尺。</t>
    </r>
    <r>
      <rPr>
        <sz val="12"/>
        <rFont val="Times New Roman"/>
        <family val="1"/>
      </rPr>
      <t xml:space="preserve"> </t>
    </r>
    <phoneticPr fontId="5" type="noConversion"/>
  </si>
  <si>
    <t>C1D430</t>
  </si>
  <si>
    <r>
      <rPr>
        <sz val="12"/>
        <rFont val="標楷體"/>
        <family val="4"/>
        <charset val="136"/>
      </rPr>
      <t>峨嵋</t>
    </r>
    <phoneticPr fontId="5" type="noConversion"/>
  </si>
  <si>
    <r>
      <rPr>
        <sz val="12"/>
        <rFont val="標楷體"/>
        <family val="4"/>
        <charset val="136"/>
      </rPr>
      <t>緞繻村雙溪</t>
    </r>
    <r>
      <rPr>
        <sz val="12"/>
        <rFont val="Times New Roman"/>
        <family val="1"/>
      </rPr>
      <t>1</t>
    </r>
    <r>
      <rPr>
        <sz val="12"/>
        <rFont val="標楷體"/>
        <family val="4"/>
        <charset val="136"/>
      </rPr>
      <t>鄰</t>
    </r>
    <r>
      <rPr>
        <sz val="12"/>
        <rFont val="Times New Roman"/>
        <family val="1"/>
      </rPr>
      <t>4</t>
    </r>
    <r>
      <rPr>
        <sz val="12"/>
        <rFont val="標楷體"/>
        <family val="4"/>
        <charset val="136"/>
      </rPr>
      <t>、</t>
    </r>
    <r>
      <rPr>
        <sz val="12"/>
        <rFont val="Times New Roman"/>
        <family val="1"/>
      </rPr>
      <t>6</t>
    </r>
    <r>
      <rPr>
        <sz val="12"/>
        <rFont val="標楷體"/>
        <family val="4"/>
        <charset val="136"/>
      </rPr>
      <t>號</t>
    </r>
    <phoneticPr fontId="5" type="noConversion"/>
  </si>
  <si>
    <r>
      <rPr>
        <sz val="12"/>
        <rFont val="標楷體"/>
        <family val="4"/>
        <charset val="136"/>
      </rPr>
      <t>農舍</t>
    </r>
    <r>
      <rPr>
        <sz val="12"/>
        <rFont val="Times New Roman"/>
        <family val="1"/>
      </rPr>
      <t xml:space="preserve"> 1</t>
    </r>
    <r>
      <rPr>
        <sz val="12"/>
        <rFont val="標楷體"/>
        <family val="4"/>
        <charset val="136"/>
      </rPr>
      <t>棟及蘭花園</t>
    </r>
    <r>
      <rPr>
        <sz val="12"/>
        <rFont val="Times New Roman"/>
        <family val="1"/>
      </rPr>
      <t xml:space="preserve"> 6</t>
    </r>
    <r>
      <rPr>
        <sz val="12"/>
        <rFont val="標楷體"/>
        <family val="4"/>
        <charset val="136"/>
      </rPr>
      <t>間遭土石淤埋。</t>
    </r>
    <r>
      <rPr>
        <sz val="12"/>
        <rFont val="Times New Roman"/>
        <family val="1"/>
      </rPr>
      <t xml:space="preserve"> </t>
    </r>
    <r>
      <rPr>
        <sz val="12"/>
        <rFont val="標楷體"/>
        <family val="4"/>
        <charset val="136"/>
      </rPr>
      <t>嘉</t>
    </r>
    <r>
      <rPr>
        <sz val="12"/>
        <rFont val="Times New Roman"/>
        <family val="1"/>
      </rPr>
      <t xml:space="preserve"> 120</t>
    </r>
    <r>
      <rPr>
        <sz val="12"/>
        <rFont val="標楷體"/>
        <family val="4"/>
        <charset val="136"/>
      </rPr>
      <t>支線遭土石淤埋約</t>
    </r>
    <r>
      <rPr>
        <sz val="12"/>
        <rFont val="Times New Roman"/>
        <family val="1"/>
      </rPr>
      <t xml:space="preserve"> 170</t>
    </r>
    <r>
      <rPr>
        <sz val="12"/>
        <rFont val="標楷體"/>
        <family val="4"/>
        <charset val="136"/>
      </rPr>
      <t>公尺。檳榔園毀損約</t>
    </r>
    <r>
      <rPr>
        <sz val="12"/>
        <rFont val="Times New Roman"/>
        <family val="1"/>
      </rPr>
      <t xml:space="preserve"> 9.8</t>
    </r>
    <r>
      <rPr>
        <sz val="12"/>
        <rFont val="標楷體"/>
        <family val="4"/>
        <charset val="136"/>
      </rPr>
      <t>公頃。約</t>
    </r>
    <r>
      <rPr>
        <sz val="12"/>
        <rFont val="Times New Roman"/>
        <family val="1"/>
      </rPr>
      <t xml:space="preserve"> 4</t>
    </r>
    <r>
      <rPr>
        <sz val="12"/>
        <rFont val="標楷體"/>
        <family val="4"/>
        <charset val="136"/>
      </rPr>
      <t>萬立方公尺土方量下移。</t>
    </r>
    <r>
      <rPr>
        <sz val="12"/>
        <rFont val="Times New Roman"/>
        <family val="1"/>
      </rPr>
      <t xml:space="preserve"> </t>
    </r>
    <phoneticPr fontId="5" type="noConversion"/>
  </si>
  <si>
    <r>
      <rPr>
        <sz val="12"/>
        <rFont val="標楷體"/>
        <family val="4"/>
        <charset val="136"/>
      </rPr>
      <t>樟腦寮</t>
    </r>
    <phoneticPr fontId="5" type="noConversion"/>
  </si>
  <si>
    <r>
      <rPr>
        <sz val="12"/>
        <rFont val="標楷體"/>
        <family val="4"/>
        <charset val="136"/>
      </rPr>
      <t>地滑、崩塌</t>
    </r>
    <phoneticPr fontId="5" type="noConversion"/>
  </si>
  <si>
    <r>
      <rPr>
        <sz val="12"/>
        <rFont val="標楷體"/>
        <family val="4"/>
        <charset val="136"/>
      </rPr>
      <t>政大御花園後方</t>
    </r>
    <phoneticPr fontId="5" type="noConversion"/>
  </si>
  <si>
    <r>
      <rPr>
        <sz val="12"/>
        <rFont val="標楷體"/>
        <family val="4"/>
        <charset val="136"/>
      </rPr>
      <t>文山區</t>
    </r>
    <phoneticPr fontId="5" type="noConversion"/>
  </si>
  <si>
    <r>
      <rPr>
        <sz val="12"/>
        <rFont val="標楷體"/>
        <family val="4"/>
        <charset val="136"/>
      </rPr>
      <t>指南里</t>
    </r>
    <phoneticPr fontId="5" type="noConversion"/>
  </si>
  <si>
    <r>
      <rPr>
        <sz val="12"/>
        <rFont val="標楷體"/>
        <family val="4"/>
        <charset val="136"/>
      </rPr>
      <t>金頭山邊坡土石滑動崩落，所產生之泥流衝入萬壽路</t>
    </r>
    <r>
      <rPr>
        <sz val="12"/>
        <rFont val="Times New Roman"/>
        <family val="1"/>
      </rPr>
      <t xml:space="preserve"> 75 </t>
    </r>
    <r>
      <rPr>
        <sz val="12"/>
        <rFont val="標楷體"/>
        <family val="4"/>
        <charset val="136"/>
      </rPr>
      <t>巷之『政大御花園』，將後方藍球場及庭園綠地掩埋及流入部分民宅之廚房。金頭山坡崩落</t>
    </r>
    <r>
      <rPr>
        <sz val="12"/>
        <rFont val="Times New Roman"/>
        <family val="1"/>
      </rPr>
      <t>,</t>
    </r>
    <r>
      <rPr>
        <sz val="12"/>
        <rFont val="標楷體"/>
        <family val="4"/>
        <charset val="136"/>
      </rPr>
      <t>土石堆積於萬壽路上約</t>
    </r>
    <r>
      <rPr>
        <sz val="12"/>
        <rFont val="Times New Roman"/>
        <family val="1"/>
      </rPr>
      <t xml:space="preserve"> 20m</t>
    </r>
    <r>
      <rPr>
        <sz val="12"/>
        <rFont val="標楷體"/>
        <family val="4"/>
        <charset val="136"/>
      </rPr>
      <t>，造成新光路二段</t>
    </r>
    <r>
      <rPr>
        <sz val="12"/>
        <rFont val="Times New Roman"/>
        <family val="1"/>
      </rPr>
      <t xml:space="preserve"> 74 </t>
    </r>
    <r>
      <rPr>
        <sz val="12"/>
        <rFont val="標楷體"/>
        <family val="4"/>
        <charset val="136"/>
      </rPr>
      <t>巷</t>
    </r>
    <r>
      <rPr>
        <sz val="12"/>
        <rFont val="Times New Roman"/>
        <family val="1"/>
      </rPr>
      <t xml:space="preserve"> 11</t>
    </r>
    <r>
      <rPr>
        <sz val="12"/>
        <rFont val="標楷體"/>
        <family val="4"/>
        <charset val="136"/>
      </rPr>
      <t>號附近道路中斷，以及損壞居民自設道路約</t>
    </r>
    <r>
      <rPr>
        <sz val="12"/>
        <rFont val="Times New Roman"/>
        <family val="1"/>
      </rPr>
      <t xml:space="preserve"> 50m</t>
    </r>
    <r>
      <rPr>
        <sz val="12"/>
        <rFont val="標楷體"/>
        <family val="4"/>
        <charset val="136"/>
      </rPr>
      <t>與雞舍</t>
    </r>
    <r>
      <rPr>
        <sz val="12"/>
        <rFont val="Times New Roman"/>
        <family val="1"/>
      </rPr>
      <t xml:space="preserve"> 1 </t>
    </r>
    <r>
      <rPr>
        <sz val="12"/>
        <rFont val="標楷體"/>
        <family val="4"/>
        <charset val="136"/>
      </rPr>
      <t>座。</t>
    </r>
    <r>
      <rPr>
        <sz val="12"/>
        <rFont val="Times New Roman"/>
        <family val="1"/>
      </rPr>
      <t xml:space="preserve"> </t>
    </r>
    <r>
      <rPr>
        <sz val="12"/>
        <rFont val="標楷體"/>
        <family val="4"/>
        <charset val="136"/>
      </rPr>
      <t>泥流淹沒面積約</t>
    </r>
    <r>
      <rPr>
        <sz val="12"/>
        <rFont val="Times New Roman"/>
        <family val="1"/>
      </rPr>
      <t xml:space="preserve"> 600</t>
    </r>
    <r>
      <rPr>
        <sz val="12"/>
        <rFont val="標楷體"/>
        <family val="4"/>
        <charset val="136"/>
      </rPr>
      <t>方公尺</t>
    </r>
    <r>
      <rPr>
        <sz val="12"/>
        <rFont val="Times New Roman"/>
        <family val="1"/>
      </rPr>
      <t xml:space="preserve">  </t>
    </r>
    <r>
      <rPr>
        <sz val="12"/>
        <rFont val="標楷體"/>
        <family val="4"/>
        <charset val="136"/>
      </rPr>
      <t>人命損失：</t>
    </r>
    <r>
      <rPr>
        <sz val="12"/>
        <rFont val="Times New Roman"/>
        <family val="1"/>
      </rPr>
      <t xml:space="preserve">0 </t>
    </r>
    <r>
      <rPr>
        <sz val="12"/>
        <rFont val="標楷體"/>
        <family val="4"/>
        <charset val="136"/>
      </rPr>
      <t>人。</t>
    </r>
    <r>
      <rPr>
        <sz val="12"/>
        <rFont val="Times New Roman"/>
        <family val="1"/>
      </rPr>
      <t xml:space="preserve"> </t>
    </r>
    <r>
      <rPr>
        <sz val="12"/>
        <rFont val="標楷體"/>
        <family val="4"/>
        <charset val="136"/>
      </rPr>
      <t>房舍受損：雞舍</t>
    </r>
    <r>
      <rPr>
        <sz val="12"/>
        <rFont val="Times New Roman"/>
        <family val="1"/>
      </rPr>
      <t xml:space="preserve"> 1 </t>
    </r>
    <r>
      <rPr>
        <sz val="12"/>
        <rFont val="標楷體"/>
        <family val="4"/>
        <charset val="136"/>
      </rPr>
      <t>座。</t>
    </r>
    <r>
      <rPr>
        <sz val="12"/>
        <rFont val="Times New Roman"/>
        <family val="1"/>
      </rPr>
      <t xml:space="preserve"> </t>
    </r>
    <r>
      <rPr>
        <sz val="12"/>
        <rFont val="標楷體"/>
        <family val="4"/>
        <charset val="136"/>
      </rPr>
      <t>道路毀損：約</t>
    </r>
    <r>
      <rPr>
        <sz val="12"/>
        <rFont val="Times New Roman"/>
        <family val="1"/>
      </rPr>
      <t xml:space="preserve"> 70 </t>
    </r>
    <r>
      <rPr>
        <sz val="12"/>
        <rFont val="標楷體"/>
        <family val="4"/>
        <charset val="136"/>
      </rPr>
      <t>公尺。</t>
    </r>
    <phoneticPr fontId="5" type="noConversion"/>
  </si>
  <si>
    <t>C1A690</t>
  </si>
  <si>
    <r>
      <rPr>
        <sz val="12"/>
        <rFont val="標楷體"/>
        <family val="4"/>
        <charset val="136"/>
      </rPr>
      <t>木柵</t>
    </r>
    <phoneticPr fontId="5" type="noConversion"/>
  </si>
  <si>
    <r>
      <rPr>
        <sz val="12"/>
        <rFont val="標楷體"/>
        <family val="4"/>
        <charset val="136"/>
      </rPr>
      <t>台</t>
    </r>
    <r>
      <rPr>
        <sz val="12"/>
        <rFont val="Times New Roman"/>
        <family val="1"/>
      </rPr>
      <t>21</t>
    </r>
    <r>
      <rPr>
        <sz val="12"/>
        <rFont val="標楷體"/>
        <family val="4"/>
        <charset val="136"/>
      </rPr>
      <t>線</t>
    </r>
    <r>
      <rPr>
        <sz val="12"/>
        <rFont val="Times New Roman"/>
        <family val="1"/>
      </rPr>
      <t>87K+200</t>
    </r>
    <r>
      <rPr>
        <sz val="12"/>
        <rFont val="標楷體"/>
        <family val="4"/>
        <charset val="136"/>
      </rPr>
      <t>中油加油站</t>
    </r>
    <phoneticPr fontId="5" type="noConversion"/>
  </si>
  <si>
    <r>
      <rPr>
        <sz val="12"/>
        <rFont val="標楷體"/>
        <family val="4"/>
        <charset val="136"/>
      </rPr>
      <t>明德村</t>
    </r>
    <phoneticPr fontId="5" type="noConversion"/>
  </si>
  <si>
    <r>
      <rPr>
        <sz val="12"/>
        <rFont val="標楷體"/>
        <family val="4"/>
        <charset val="136"/>
      </rPr>
      <t>投縣</t>
    </r>
    <r>
      <rPr>
        <sz val="12"/>
        <rFont val="Times New Roman"/>
        <family val="1"/>
      </rPr>
      <t>DF186</t>
    </r>
  </si>
  <si>
    <r>
      <rPr>
        <sz val="12"/>
        <rFont val="標楷體"/>
        <family val="4"/>
        <charset val="136"/>
      </rPr>
      <t>土石流潛勢溪南投</t>
    </r>
    <r>
      <rPr>
        <sz val="12"/>
        <rFont val="Times New Roman"/>
        <family val="1"/>
      </rPr>
      <t xml:space="preserve"> A120</t>
    </r>
    <r>
      <rPr>
        <sz val="12"/>
        <rFont val="標楷體"/>
        <family val="4"/>
        <charset val="136"/>
      </rPr>
      <t>因沖蝕，造成下游排水箱涵及河道遭土石堵塞，洪水漫流路面，洪水挾帶之土石堆積於台</t>
    </r>
    <r>
      <rPr>
        <sz val="12"/>
        <rFont val="Times New Roman"/>
        <family val="1"/>
      </rPr>
      <t xml:space="preserve"> 21</t>
    </r>
    <r>
      <rPr>
        <sz val="12"/>
        <rFont val="標楷體"/>
        <family val="4"/>
        <charset val="136"/>
      </rPr>
      <t>線造成交通中斷。</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棟。道路掩埋：約</t>
    </r>
    <r>
      <rPr>
        <sz val="12"/>
        <rFont val="Times New Roman"/>
        <family val="1"/>
      </rPr>
      <t xml:space="preserve"> 80</t>
    </r>
    <r>
      <rPr>
        <sz val="12"/>
        <rFont val="標楷體"/>
        <family val="4"/>
        <charset val="136"/>
      </rPr>
      <t>公尺。</t>
    </r>
    <r>
      <rPr>
        <sz val="12"/>
        <rFont val="Times New Roman"/>
        <family val="1"/>
      </rPr>
      <t xml:space="preserve"> </t>
    </r>
    <phoneticPr fontId="5" type="noConversion"/>
  </si>
  <si>
    <r>
      <rPr>
        <sz val="12"/>
        <rFont val="標楷體"/>
        <family val="4"/>
        <charset val="136"/>
      </rPr>
      <t>南豐橋</t>
    </r>
    <phoneticPr fontId="5" type="noConversion"/>
  </si>
  <si>
    <r>
      <rPr>
        <sz val="12"/>
        <rFont val="標楷體"/>
        <family val="4"/>
        <charset val="136"/>
      </rPr>
      <t>投縣</t>
    </r>
    <r>
      <rPr>
        <sz val="12"/>
        <rFont val="Times New Roman"/>
        <family val="1"/>
      </rPr>
      <t>DF012</t>
    </r>
  </si>
  <si>
    <r>
      <rPr>
        <sz val="12"/>
        <rFont val="標楷體"/>
        <family val="4"/>
        <charset val="136"/>
      </rPr>
      <t>土石流潛勢溪流南投</t>
    </r>
    <r>
      <rPr>
        <sz val="12"/>
        <rFont val="Times New Roman"/>
        <family val="1"/>
      </rPr>
      <t xml:space="preserve"> A002</t>
    </r>
    <r>
      <rPr>
        <sz val="12"/>
        <rFont val="標楷體"/>
        <family val="4"/>
        <charset val="136"/>
      </rPr>
      <t>南山溪於辛樂克颱風期間爆發洪水災害，上游大量泥砂土石沖刷而下，堆積於中下游導致溪床抬昇並阻塞橋孔，溪流沿線兩岸多處民宅農舍亦遭洪水侵入或毀損，所幸未造成任何人員傷亡。</t>
    </r>
    <r>
      <rPr>
        <sz val="12"/>
        <rFont val="Times New Roman"/>
        <family val="1"/>
      </rPr>
      <t xml:space="preserve"> </t>
    </r>
    <r>
      <rPr>
        <sz val="12"/>
        <rFont val="標楷體"/>
        <family val="4"/>
        <charset val="136"/>
      </rPr>
      <t>房屋受損：約</t>
    </r>
    <r>
      <rPr>
        <sz val="12"/>
        <rFont val="Times New Roman"/>
        <family val="1"/>
      </rPr>
      <t xml:space="preserve"> 13</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300</t>
    </r>
    <r>
      <rPr>
        <sz val="12"/>
        <rFont val="標楷體"/>
        <family val="4"/>
        <charset val="136"/>
      </rPr>
      <t>公尺。</t>
    </r>
    <r>
      <rPr>
        <sz val="12"/>
        <rFont val="Times New Roman"/>
        <family val="1"/>
      </rPr>
      <t xml:space="preserve"> 
</t>
    </r>
    <phoneticPr fontId="5" type="noConversion"/>
  </si>
  <si>
    <r>
      <rPr>
        <sz val="12"/>
        <rFont val="標楷體"/>
        <family val="4"/>
        <charset val="136"/>
      </rPr>
      <t>台</t>
    </r>
    <r>
      <rPr>
        <sz val="12"/>
        <rFont val="Times New Roman"/>
        <family val="1"/>
      </rPr>
      <t>14</t>
    </r>
    <r>
      <rPr>
        <sz val="12"/>
        <rFont val="標楷體"/>
        <family val="4"/>
        <charset val="136"/>
      </rPr>
      <t>線</t>
    </r>
    <r>
      <rPr>
        <sz val="12"/>
        <rFont val="Times New Roman"/>
        <family val="1"/>
      </rPr>
      <t>73K+100</t>
    </r>
    <r>
      <rPr>
        <sz val="12"/>
        <rFont val="標楷體"/>
        <family val="4"/>
        <charset val="136"/>
      </rPr>
      <t>處東眼山橋</t>
    </r>
    <phoneticPr fontId="5" type="noConversion"/>
  </si>
  <si>
    <r>
      <rPr>
        <sz val="12"/>
        <rFont val="標楷體"/>
        <family val="4"/>
        <charset val="136"/>
      </rPr>
      <t>投縣</t>
    </r>
    <r>
      <rPr>
        <sz val="12"/>
        <rFont val="Times New Roman"/>
        <family val="1"/>
      </rPr>
      <t>DF010</t>
    </r>
  </si>
  <si>
    <r>
      <rPr>
        <sz val="12"/>
        <rFont val="標楷體"/>
        <family val="4"/>
        <charset val="136"/>
      </rPr>
      <t>土石流潛勢溪流南投</t>
    </r>
    <r>
      <rPr>
        <sz val="12"/>
        <rFont val="Times New Roman"/>
        <family val="1"/>
      </rPr>
      <t xml:space="preserve"> A001</t>
    </r>
    <r>
      <rPr>
        <sz val="12"/>
        <rFont val="標楷體"/>
        <family val="4"/>
        <charset val="136"/>
      </rPr>
      <t>東眼溪於辛樂克颱風期間爆發洪水災害，上游大量泥砂土石沖刷而下，堆積於中下游導致溪床抬昇並阻塞橋孔，溪流沿線兩岸多處農舍亦遭洪水毀損，所幸未造成人員傷亡。</t>
    </r>
    <r>
      <rPr>
        <sz val="12"/>
        <rFont val="Times New Roman"/>
        <family val="1"/>
      </rPr>
      <t xml:space="preserve"> </t>
    </r>
    <r>
      <rPr>
        <sz val="12"/>
        <rFont val="標楷體"/>
        <family val="4"/>
        <charset val="136"/>
      </rPr>
      <t>房屋受損：約</t>
    </r>
    <r>
      <rPr>
        <sz val="12"/>
        <rFont val="Times New Roman"/>
        <family val="1"/>
      </rPr>
      <t>3</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200</t>
    </r>
    <r>
      <rPr>
        <sz val="12"/>
        <rFont val="標楷體"/>
        <family val="4"/>
        <charset val="136"/>
      </rPr>
      <t>公尺。</t>
    </r>
    <r>
      <rPr>
        <sz val="12"/>
        <rFont val="Times New Roman"/>
        <family val="1"/>
      </rPr>
      <t xml:space="preserve"> 
 </t>
    </r>
    <phoneticPr fontId="5" type="noConversion"/>
  </si>
  <si>
    <r>
      <rPr>
        <sz val="12"/>
        <rFont val="標楷體"/>
        <family val="4"/>
        <charset val="136"/>
      </rPr>
      <t>仁愛</t>
    </r>
    <phoneticPr fontId="5" type="noConversion"/>
  </si>
  <si>
    <r>
      <t>131</t>
    </r>
    <r>
      <rPr>
        <sz val="12"/>
        <rFont val="標楷體"/>
        <family val="4"/>
        <charset val="136"/>
      </rPr>
      <t>縣道</t>
    </r>
    <r>
      <rPr>
        <sz val="12"/>
        <rFont val="Times New Roman"/>
        <family val="1"/>
      </rPr>
      <t>36K</t>
    </r>
    <r>
      <rPr>
        <sz val="12"/>
        <rFont val="標楷體"/>
        <family val="4"/>
        <charset val="136"/>
      </rPr>
      <t>處</t>
    </r>
    <phoneticPr fontId="5" type="noConversion"/>
  </si>
  <si>
    <r>
      <rPr>
        <sz val="12"/>
        <rFont val="標楷體"/>
        <family val="4"/>
        <charset val="136"/>
      </rPr>
      <t>玉峰村</t>
    </r>
    <phoneticPr fontId="5" type="noConversion"/>
  </si>
  <si>
    <r>
      <rPr>
        <sz val="12"/>
        <rFont val="標楷體"/>
        <family val="4"/>
        <charset val="136"/>
      </rPr>
      <t>投縣</t>
    </r>
    <r>
      <rPr>
        <sz val="12"/>
        <rFont val="Times New Roman"/>
        <family val="1"/>
      </rPr>
      <t>DF159</t>
    </r>
  </si>
  <si>
    <r>
      <rPr>
        <sz val="12"/>
        <rFont val="標楷體"/>
        <family val="4"/>
        <charset val="136"/>
      </rPr>
      <t>土石流潛勢溪南投</t>
    </r>
    <r>
      <rPr>
        <sz val="12"/>
        <rFont val="Times New Roman"/>
        <family val="1"/>
      </rPr>
      <t>A092</t>
    </r>
    <r>
      <rPr>
        <sz val="12"/>
        <rFont val="標楷體"/>
        <family val="4"/>
        <charset val="136"/>
      </rPr>
      <t>挾帶泥砂土石，造成竹湖橋下游番仔寮圳河道淤積。南投</t>
    </r>
    <r>
      <rPr>
        <sz val="12"/>
        <rFont val="Times New Roman"/>
        <family val="1"/>
      </rPr>
      <t>A092</t>
    </r>
    <r>
      <rPr>
        <sz val="12"/>
        <rFont val="標楷體"/>
        <family val="4"/>
        <charset val="136"/>
      </rPr>
      <t>沿線部分護岸及固床工有淘空破損之情況。本次災害未成任何人員傷亡及財產損失。</t>
    </r>
    <r>
      <rPr>
        <sz val="12"/>
        <rFont val="Times New Roman"/>
        <family val="1"/>
      </rPr>
      <t xml:space="preserve"> 
</t>
    </r>
    <phoneticPr fontId="5" type="noConversion"/>
  </si>
  <si>
    <r>
      <rPr>
        <sz val="12"/>
        <rFont val="標楷體"/>
        <family val="4"/>
        <charset val="136"/>
      </rPr>
      <t>台</t>
    </r>
    <r>
      <rPr>
        <sz val="12"/>
        <rFont val="Times New Roman"/>
        <family val="1"/>
      </rPr>
      <t>13</t>
    </r>
    <r>
      <rPr>
        <sz val="12"/>
        <rFont val="標楷體"/>
        <family val="4"/>
        <charset val="136"/>
      </rPr>
      <t>線</t>
    </r>
    <r>
      <rPr>
        <sz val="12"/>
        <rFont val="Times New Roman"/>
        <family val="1"/>
      </rPr>
      <t>45.5K</t>
    </r>
    <phoneticPr fontId="5" type="noConversion"/>
  </si>
  <si>
    <r>
      <rPr>
        <sz val="12"/>
        <rFont val="標楷體"/>
        <family val="4"/>
        <charset val="136"/>
      </rPr>
      <t>樟樹村</t>
    </r>
    <phoneticPr fontId="5" type="noConversion"/>
  </si>
  <si>
    <r>
      <rPr>
        <sz val="12"/>
        <rFont val="標楷體"/>
        <family val="4"/>
        <charset val="136"/>
      </rPr>
      <t>苗縣</t>
    </r>
    <r>
      <rPr>
        <sz val="12"/>
        <rFont val="Times New Roman"/>
        <family val="1"/>
      </rPr>
      <t>DF030</t>
    </r>
  </si>
  <si>
    <r>
      <rPr>
        <sz val="12"/>
        <rFont val="標楷體"/>
        <family val="4"/>
        <charset val="136"/>
      </rPr>
      <t>土石流潛勢溪苗栗</t>
    </r>
    <r>
      <rPr>
        <sz val="12"/>
        <rFont val="Times New Roman"/>
        <family val="1"/>
      </rPr>
      <t xml:space="preserve"> A034</t>
    </r>
    <r>
      <rPr>
        <sz val="12"/>
        <rFont val="標楷體"/>
        <family val="4"/>
        <charset val="136"/>
      </rPr>
      <t>上游崩落土石，淤塞河道，三座防砂壩損毀。護岸毀損：約</t>
    </r>
    <r>
      <rPr>
        <sz val="12"/>
        <rFont val="Times New Roman"/>
        <family val="1"/>
      </rPr>
      <t xml:space="preserve"> 100m</t>
    </r>
    <r>
      <rPr>
        <sz val="12"/>
        <rFont val="標楷體"/>
        <family val="4"/>
        <charset val="136"/>
      </rPr>
      <t>，且有明顯基礎淘空現象。</t>
    </r>
    <r>
      <rPr>
        <sz val="12"/>
        <rFont val="Times New Roman"/>
        <family val="1"/>
      </rPr>
      <t xml:space="preserve"> 
</t>
    </r>
    <phoneticPr fontId="5" type="noConversion"/>
  </si>
  <si>
    <r>
      <rPr>
        <sz val="12"/>
        <rFont val="標楷體"/>
        <family val="4"/>
        <charset val="136"/>
      </rPr>
      <t>三義</t>
    </r>
    <phoneticPr fontId="5" type="noConversion"/>
  </si>
  <si>
    <r>
      <rPr>
        <sz val="12"/>
        <rFont val="標楷體"/>
        <family val="4"/>
        <charset val="136"/>
      </rPr>
      <t>洪水、崩塌</t>
    </r>
    <phoneticPr fontId="5" type="noConversion"/>
  </si>
  <si>
    <r>
      <rPr>
        <sz val="12"/>
        <rFont val="標楷體"/>
        <family val="4"/>
        <charset val="136"/>
      </rPr>
      <t>廬山溫泉區</t>
    </r>
    <phoneticPr fontId="5" type="noConversion"/>
  </si>
  <si>
    <r>
      <rPr>
        <sz val="12"/>
        <rFont val="標楷體"/>
        <family val="4"/>
        <charset val="136"/>
      </rPr>
      <t>精英村</t>
    </r>
    <phoneticPr fontId="5" type="noConversion"/>
  </si>
  <si>
    <r>
      <rPr>
        <sz val="12"/>
        <rFont val="標楷體"/>
        <family val="4"/>
        <charset val="136"/>
      </rPr>
      <t>投縣</t>
    </r>
    <r>
      <rPr>
        <sz val="12"/>
        <rFont val="Times New Roman"/>
        <family val="1"/>
      </rPr>
      <t>DF031</t>
    </r>
  </si>
  <si>
    <r>
      <rPr>
        <sz val="12"/>
        <rFont val="標楷體"/>
        <family val="4"/>
        <charset val="136"/>
      </rPr>
      <t>廬山溫泉區於</t>
    </r>
    <r>
      <rPr>
        <sz val="12"/>
        <rFont val="Times New Roman"/>
        <family val="1"/>
      </rPr>
      <t>9</t>
    </r>
    <r>
      <rPr>
        <sz val="12"/>
        <rFont val="標楷體"/>
        <family val="4"/>
        <charset val="136"/>
      </rPr>
      <t>月</t>
    </r>
    <r>
      <rPr>
        <sz val="12"/>
        <rFont val="Times New Roman"/>
        <family val="1"/>
      </rPr>
      <t xml:space="preserve"> 15</t>
    </r>
    <r>
      <rPr>
        <sz val="12"/>
        <rFont val="標楷體"/>
        <family val="4"/>
        <charset val="136"/>
      </rPr>
      <t>日發生歷年來最嚴重之洪水災害，塔羅灣溪</t>
    </r>
    <r>
      <rPr>
        <sz val="12"/>
        <rFont val="Times New Roman"/>
        <family val="1"/>
      </rPr>
      <t>(</t>
    </r>
    <r>
      <rPr>
        <sz val="12"/>
        <rFont val="標楷體"/>
        <family val="4"/>
        <charset val="136"/>
      </rPr>
      <t>南投</t>
    </r>
    <r>
      <rPr>
        <sz val="12"/>
        <rFont val="Times New Roman"/>
        <family val="1"/>
      </rPr>
      <t xml:space="preserve"> 001)</t>
    </r>
    <r>
      <rPr>
        <sz val="12"/>
        <rFont val="標楷體"/>
        <family val="4"/>
        <charset val="136"/>
      </rPr>
      <t>兩岸</t>
    </r>
    <r>
      <rPr>
        <sz val="12"/>
        <rFont val="Times New Roman"/>
        <family val="1"/>
      </rPr>
      <t xml:space="preserve"> 10</t>
    </r>
    <r>
      <rPr>
        <sz val="12"/>
        <rFont val="標楷體"/>
        <family val="4"/>
        <charset val="136"/>
      </rPr>
      <t>多家飯店遭洪水侵入，其中綺麗溫泉旅館及公主小妹渡假屋倒塌，而蘆山賓館遭崩塌土石掩埋造成</t>
    </r>
    <r>
      <rPr>
        <sz val="12"/>
        <rFont val="Times New Roman"/>
        <family val="1"/>
      </rPr>
      <t>1</t>
    </r>
    <r>
      <rPr>
        <sz val="12"/>
        <rFont val="標楷體"/>
        <family val="4"/>
        <charset val="136"/>
      </rPr>
      <t>人死亡。</t>
    </r>
    <r>
      <rPr>
        <sz val="12"/>
        <rFont val="Times New Roman"/>
        <family val="1"/>
      </rPr>
      <t xml:space="preserve"> </t>
    </r>
    <r>
      <rPr>
        <sz val="12"/>
        <rFont val="標楷體"/>
        <family val="4"/>
        <charset val="136"/>
      </rPr>
      <t>人員傷亡：</t>
    </r>
    <r>
      <rPr>
        <sz val="12"/>
        <rFont val="Times New Roman"/>
        <family val="1"/>
      </rPr>
      <t>1</t>
    </r>
    <r>
      <rPr>
        <sz val="12"/>
        <rFont val="標楷體"/>
        <family val="4"/>
        <charset val="136"/>
      </rPr>
      <t>死</t>
    </r>
    <r>
      <rPr>
        <sz val="12"/>
        <rFont val="Times New Roman"/>
        <family val="1"/>
      </rPr>
      <t xml:space="preserve"> 2</t>
    </r>
    <r>
      <rPr>
        <sz val="12"/>
        <rFont val="標楷體"/>
        <family val="4"/>
        <charset val="136"/>
      </rPr>
      <t>傷。</t>
    </r>
    <r>
      <rPr>
        <sz val="12"/>
        <rFont val="Times New Roman"/>
        <family val="1"/>
      </rPr>
      <t xml:space="preserve"> </t>
    </r>
    <r>
      <rPr>
        <sz val="12"/>
        <rFont val="標楷體"/>
        <family val="4"/>
        <charset val="136"/>
      </rPr>
      <t>房屋受損：約</t>
    </r>
    <r>
      <rPr>
        <sz val="12"/>
        <rFont val="Times New Roman"/>
        <family val="1"/>
      </rPr>
      <t xml:space="preserve"> 50 </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1,500</t>
    </r>
    <r>
      <rPr>
        <sz val="12"/>
        <rFont val="標楷體"/>
        <family val="4"/>
        <charset val="136"/>
      </rPr>
      <t>公尺</t>
    </r>
    <r>
      <rPr>
        <sz val="12"/>
        <rFont val="Times New Roman"/>
        <family val="1"/>
      </rPr>
      <t>(</t>
    </r>
    <r>
      <rPr>
        <sz val="12"/>
        <rFont val="標楷體"/>
        <family val="4"/>
        <charset val="136"/>
      </rPr>
      <t>榮華巷</t>
    </r>
    <r>
      <rPr>
        <sz val="12"/>
        <rFont val="Times New Roman"/>
        <family val="1"/>
      </rPr>
      <t>)</t>
    </r>
    <r>
      <rPr>
        <sz val="12"/>
        <rFont val="標楷體"/>
        <family val="4"/>
        <charset val="136"/>
      </rPr>
      <t>。</t>
    </r>
    <r>
      <rPr>
        <sz val="12"/>
        <rFont val="Times New Roman"/>
        <family val="1"/>
      </rPr>
      <t xml:space="preserve">  </t>
    </r>
    <r>
      <rPr>
        <sz val="12"/>
        <rFont val="標楷體"/>
        <family val="4"/>
        <charset val="136"/>
      </rPr>
      <t>橋粱毀損：</t>
    </r>
    <r>
      <rPr>
        <sz val="12"/>
        <rFont val="Times New Roman"/>
        <family val="1"/>
      </rPr>
      <t>2</t>
    </r>
    <r>
      <rPr>
        <sz val="12"/>
        <rFont val="標楷體"/>
        <family val="4"/>
        <charset val="136"/>
      </rPr>
      <t>座</t>
    </r>
    <r>
      <rPr>
        <sz val="12"/>
        <rFont val="Times New Roman"/>
        <family val="1"/>
      </rPr>
      <t>(</t>
    </r>
    <r>
      <rPr>
        <sz val="12"/>
        <rFont val="標楷體"/>
        <family val="4"/>
        <charset val="136"/>
      </rPr>
      <t>溫泉橋及溫泉一號橋</t>
    </r>
    <r>
      <rPr>
        <sz val="12"/>
        <rFont val="Times New Roman"/>
        <family val="1"/>
      </rPr>
      <t>)</t>
    </r>
    <r>
      <rPr>
        <sz val="12"/>
        <rFont val="標楷體"/>
        <family val="4"/>
        <charset val="136"/>
      </rPr>
      <t>。</t>
    </r>
    <r>
      <rPr>
        <sz val="12"/>
        <rFont val="Times New Roman"/>
        <family val="1"/>
      </rPr>
      <t xml:space="preserve"> 
</t>
    </r>
    <phoneticPr fontId="5" type="noConversion"/>
  </si>
  <si>
    <r>
      <rPr>
        <sz val="12"/>
        <rFont val="標楷體"/>
        <family val="4"/>
        <charset val="136"/>
      </rPr>
      <t>廬山</t>
    </r>
    <phoneticPr fontId="5" type="noConversion"/>
  </si>
  <si>
    <r>
      <rPr>
        <sz val="12"/>
        <rFont val="標楷體"/>
        <family val="4"/>
        <charset val="136"/>
      </rPr>
      <t>中</t>
    </r>
    <r>
      <rPr>
        <sz val="12"/>
        <rFont val="Times New Roman"/>
        <family val="1"/>
      </rPr>
      <t>88</t>
    </r>
    <r>
      <rPr>
        <sz val="12"/>
        <rFont val="標楷體"/>
        <family val="4"/>
        <charset val="136"/>
      </rPr>
      <t>線電桿編號竹豐枝</t>
    </r>
    <r>
      <rPr>
        <sz val="12"/>
        <rFont val="Times New Roman"/>
        <family val="1"/>
      </rPr>
      <t>45</t>
    </r>
    <r>
      <rPr>
        <sz val="12"/>
        <rFont val="標楷體"/>
        <family val="4"/>
        <charset val="136"/>
      </rPr>
      <t>號</t>
    </r>
    <phoneticPr fontId="5" type="noConversion"/>
  </si>
  <si>
    <r>
      <rPr>
        <sz val="12"/>
        <rFont val="標楷體"/>
        <family val="4"/>
        <charset val="136"/>
      </rPr>
      <t>大坑里</t>
    </r>
    <phoneticPr fontId="5" type="noConversion"/>
  </si>
  <si>
    <r>
      <rPr>
        <sz val="12"/>
        <rFont val="標楷體"/>
        <family val="4"/>
        <charset val="136"/>
      </rPr>
      <t>中</t>
    </r>
    <r>
      <rPr>
        <sz val="12"/>
        <rFont val="Times New Roman"/>
        <family val="1"/>
      </rPr>
      <t xml:space="preserve"> 88 </t>
    </r>
    <r>
      <rPr>
        <sz val="12"/>
        <rFont val="標楷體"/>
        <family val="4"/>
        <charset val="136"/>
      </rPr>
      <t>線邊坡發生大規模崩塌。</t>
    </r>
    <r>
      <rPr>
        <sz val="12"/>
        <rFont val="Times New Roman"/>
        <family val="1"/>
      </rPr>
      <t xml:space="preserve"> </t>
    </r>
    <r>
      <rPr>
        <sz val="12"/>
        <rFont val="標楷體"/>
        <family val="4"/>
        <charset val="136"/>
      </rPr>
      <t>道路及下方柑橘園遭土石淤埋。</t>
    </r>
    <r>
      <rPr>
        <sz val="12"/>
        <rFont val="Times New Roman"/>
        <family val="1"/>
      </rPr>
      <t xml:space="preserve"> </t>
    </r>
    <r>
      <rPr>
        <sz val="12"/>
        <rFont val="標楷體"/>
        <family val="4"/>
        <charset val="136"/>
      </rPr>
      <t>下方柑橘園中農舍受損。</t>
    </r>
    <r>
      <rPr>
        <sz val="12"/>
        <rFont val="Times New Roman"/>
        <family val="1"/>
      </rPr>
      <t xml:space="preserve"> </t>
    </r>
    <r>
      <rPr>
        <sz val="12"/>
        <rFont val="標楷體"/>
        <family val="4"/>
        <charset val="136"/>
      </rPr>
      <t>人員傷亡：</t>
    </r>
    <r>
      <rPr>
        <sz val="12"/>
        <rFont val="Times New Roman"/>
        <family val="1"/>
      </rPr>
      <t xml:space="preserve">0 </t>
    </r>
    <r>
      <rPr>
        <sz val="12"/>
        <rFont val="標楷體"/>
        <family val="4"/>
        <charset val="136"/>
      </rPr>
      <t>員。</t>
    </r>
    <r>
      <rPr>
        <sz val="12"/>
        <rFont val="Times New Roman"/>
        <family val="1"/>
      </rPr>
      <t xml:space="preserve"> </t>
    </r>
    <r>
      <rPr>
        <sz val="12"/>
        <rFont val="標楷體"/>
        <family val="4"/>
        <charset val="136"/>
      </rPr>
      <t>房屋受損：</t>
    </r>
    <r>
      <rPr>
        <sz val="12"/>
        <rFont val="Times New Roman"/>
        <family val="1"/>
      </rPr>
      <t xml:space="preserve">1 </t>
    </r>
    <r>
      <rPr>
        <sz val="12"/>
        <rFont val="標楷體"/>
        <family val="4"/>
        <charset val="136"/>
      </rPr>
      <t>棟。</t>
    </r>
    <r>
      <rPr>
        <sz val="12"/>
        <rFont val="Times New Roman"/>
        <family val="1"/>
      </rPr>
      <t xml:space="preserve"> </t>
    </r>
    <r>
      <rPr>
        <sz val="12"/>
        <rFont val="標楷體"/>
        <family val="4"/>
        <charset val="136"/>
      </rPr>
      <t>道路淤積：約</t>
    </r>
    <r>
      <rPr>
        <sz val="12"/>
        <rFont val="Times New Roman"/>
        <family val="1"/>
      </rPr>
      <t xml:space="preserve"> 50 </t>
    </r>
    <r>
      <rPr>
        <sz val="12"/>
        <rFont val="標楷體"/>
        <family val="4"/>
        <charset val="136"/>
      </rPr>
      <t>公尺。</t>
    </r>
    <phoneticPr fontId="5" type="noConversion"/>
  </si>
  <si>
    <r>
      <rPr>
        <sz val="12"/>
        <rFont val="標楷體"/>
        <family val="4"/>
        <charset val="136"/>
      </rPr>
      <t>國際路</t>
    </r>
    <r>
      <rPr>
        <sz val="12"/>
        <rFont val="Times New Roman"/>
        <family val="1"/>
      </rPr>
      <t>139</t>
    </r>
    <r>
      <rPr>
        <sz val="12"/>
        <rFont val="標楷體"/>
        <family val="4"/>
        <charset val="136"/>
      </rPr>
      <t>巷</t>
    </r>
    <r>
      <rPr>
        <sz val="12"/>
        <rFont val="Times New Roman"/>
        <family val="1"/>
      </rPr>
      <t>2</t>
    </r>
    <r>
      <rPr>
        <sz val="12"/>
        <rFont val="標楷體"/>
        <family val="4"/>
        <charset val="136"/>
      </rPr>
      <t>號</t>
    </r>
    <r>
      <rPr>
        <sz val="12"/>
        <rFont val="Times New Roman"/>
        <family val="1"/>
      </rPr>
      <t>~22</t>
    </r>
    <r>
      <rPr>
        <sz val="12"/>
        <rFont val="標楷體"/>
        <family val="4"/>
        <charset val="136"/>
      </rPr>
      <t>號</t>
    </r>
    <phoneticPr fontId="5" type="noConversion"/>
  </si>
  <si>
    <r>
      <rPr>
        <sz val="12"/>
        <rFont val="標楷體"/>
        <family val="4"/>
        <charset val="136"/>
      </rPr>
      <t>土城區</t>
    </r>
  </si>
  <si>
    <r>
      <rPr>
        <sz val="12"/>
        <rFont val="標楷體"/>
        <family val="4"/>
        <charset val="136"/>
      </rPr>
      <t>清水里</t>
    </r>
    <phoneticPr fontId="5" type="noConversion"/>
  </si>
  <si>
    <r>
      <t>11</t>
    </r>
    <r>
      <rPr>
        <sz val="12"/>
        <rFont val="標楷體"/>
        <family val="4"/>
        <charset val="136"/>
      </rPr>
      <t>戶住宅後方地基淘空。</t>
    </r>
    <r>
      <rPr>
        <sz val="12"/>
        <rFont val="Times New Roman"/>
        <family val="1"/>
      </rPr>
      <t xml:space="preserve"> </t>
    </r>
    <r>
      <rPr>
        <sz val="12"/>
        <rFont val="標楷體"/>
        <family val="4"/>
        <charset val="136"/>
      </rPr>
      <t>一間土地公廟及</t>
    </r>
    <r>
      <rPr>
        <sz val="12"/>
        <rFont val="Times New Roman"/>
        <family val="1"/>
      </rPr>
      <t xml:space="preserve"> 8</t>
    </r>
    <r>
      <rPr>
        <sz val="12"/>
        <rFont val="標楷體"/>
        <family val="4"/>
        <charset val="136"/>
      </rPr>
      <t>輛車子翻滾滑落於下邊坡處。</t>
    </r>
    <r>
      <rPr>
        <sz val="12"/>
        <rFont val="Times New Roman"/>
        <family val="1"/>
      </rPr>
      <t xml:space="preserve"> </t>
    </r>
    <r>
      <rPr>
        <sz val="12"/>
        <rFont val="標楷體"/>
        <family val="4"/>
        <charset val="136"/>
      </rPr>
      <t>下邊坡一間工廠遭到土石掩埋。</t>
    </r>
    <r>
      <rPr>
        <sz val="12"/>
        <rFont val="Times New Roman"/>
        <family val="1"/>
      </rPr>
      <t xml:space="preserve"> </t>
    </r>
    <phoneticPr fontId="5" type="noConversion"/>
  </si>
  <si>
    <r>
      <rPr>
        <sz val="12"/>
        <rFont val="標楷體"/>
        <family val="4"/>
        <charset val="136"/>
      </rPr>
      <t>南勢角</t>
    </r>
    <phoneticPr fontId="5" type="noConversion"/>
  </si>
  <si>
    <r>
      <rPr>
        <sz val="12"/>
        <rFont val="標楷體"/>
        <family val="4"/>
        <charset val="136"/>
      </rPr>
      <t>彰明橋上游約</t>
    </r>
    <r>
      <rPr>
        <sz val="12"/>
        <rFont val="Times New Roman"/>
        <family val="1"/>
      </rPr>
      <t>60</t>
    </r>
    <r>
      <rPr>
        <sz val="12"/>
        <rFont val="標楷體"/>
        <family val="4"/>
        <charset val="136"/>
      </rPr>
      <t>公尺</t>
    </r>
    <phoneticPr fontId="5" type="noConversion"/>
  </si>
  <si>
    <r>
      <rPr>
        <sz val="12"/>
        <rFont val="標楷體"/>
        <family val="4"/>
        <charset val="136"/>
      </rPr>
      <t>郡坑村</t>
    </r>
    <phoneticPr fontId="5" type="noConversion"/>
  </si>
  <si>
    <r>
      <rPr>
        <sz val="12"/>
        <rFont val="標楷體"/>
        <family val="4"/>
        <charset val="136"/>
      </rPr>
      <t>投縣</t>
    </r>
    <r>
      <rPr>
        <sz val="12"/>
        <rFont val="Times New Roman"/>
        <family val="1"/>
      </rPr>
      <t>DF166</t>
    </r>
  </si>
  <si>
    <r>
      <rPr>
        <sz val="12"/>
        <rFont val="標楷體"/>
        <family val="4"/>
        <charset val="136"/>
      </rPr>
      <t>土石流潛勢溪南投</t>
    </r>
    <r>
      <rPr>
        <sz val="12"/>
        <rFont val="Times New Roman"/>
        <family val="1"/>
      </rPr>
      <t xml:space="preserve"> 070</t>
    </r>
    <r>
      <rPr>
        <sz val="12"/>
        <rFont val="標楷體"/>
        <family val="4"/>
        <charset val="136"/>
      </rPr>
      <t>於彰明橋上游處左岸發生河岸邊坡崩塌，滑落土石造成河道有堆積情況發生。本次災害未造成任何人員傷亡及財產損失。</t>
    </r>
    <r>
      <rPr>
        <sz val="12"/>
        <rFont val="Times New Roman"/>
        <family val="1"/>
      </rPr>
      <t xml:space="preserve"> </t>
    </r>
    <phoneticPr fontId="5" type="noConversion"/>
  </si>
  <si>
    <t>C1I300</t>
  </si>
  <si>
    <r>
      <rPr>
        <sz val="12"/>
        <rFont val="標楷體"/>
        <family val="4"/>
        <charset val="136"/>
      </rPr>
      <t>上安橋</t>
    </r>
    <phoneticPr fontId="5" type="noConversion"/>
  </si>
  <si>
    <r>
      <rPr>
        <sz val="12"/>
        <rFont val="標楷體"/>
        <family val="4"/>
        <charset val="136"/>
      </rPr>
      <t>錦豐橋上游側</t>
    </r>
    <r>
      <rPr>
        <sz val="12"/>
        <rFont val="Times New Roman"/>
        <family val="1"/>
      </rPr>
      <t>1300</t>
    </r>
    <r>
      <rPr>
        <sz val="12"/>
        <rFont val="標楷體"/>
        <family val="4"/>
        <charset val="136"/>
      </rPr>
      <t>公尺處之梳子壩</t>
    </r>
    <phoneticPr fontId="5" type="noConversion"/>
  </si>
  <si>
    <r>
      <rPr>
        <sz val="12"/>
        <rFont val="標楷體"/>
        <family val="4"/>
        <charset val="136"/>
      </rPr>
      <t>光復鄉</t>
    </r>
  </si>
  <si>
    <r>
      <rPr>
        <sz val="12"/>
        <rFont val="標楷體"/>
        <family val="4"/>
        <charset val="136"/>
      </rPr>
      <t>大興村</t>
    </r>
  </si>
  <si>
    <r>
      <rPr>
        <sz val="12"/>
        <rFont val="標楷體"/>
        <family val="4"/>
        <charset val="136"/>
      </rPr>
      <t>花縣</t>
    </r>
    <r>
      <rPr>
        <sz val="12"/>
        <rFont val="Times New Roman"/>
        <family val="1"/>
      </rPr>
      <t>DF118</t>
    </r>
  </si>
  <si>
    <r>
      <rPr>
        <sz val="12"/>
        <rFont val="標楷體"/>
        <family val="4"/>
        <charset val="136"/>
      </rPr>
      <t>鳳凰颱風</t>
    </r>
    <phoneticPr fontId="5" type="noConversion"/>
  </si>
  <si>
    <r>
      <rPr>
        <sz val="12"/>
        <rFont val="標楷體"/>
        <family val="4"/>
        <charset val="136"/>
      </rPr>
      <t>鳳凰颱風豪雨引發之土石流，造成南清水溪梳子壩上游側河道淤積約</t>
    </r>
    <r>
      <rPr>
        <sz val="12"/>
        <rFont val="Times New Roman"/>
        <family val="1"/>
      </rPr>
      <t xml:space="preserve"> 30</t>
    </r>
    <r>
      <rPr>
        <sz val="12"/>
        <rFont val="標楷體"/>
        <family val="4"/>
        <charset val="136"/>
      </rPr>
      <t>萬立方公尺。</t>
    </r>
    <r>
      <rPr>
        <sz val="12"/>
        <rFont val="Times New Roman"/>
        <family val="1"/>
      </rPr>
      <t xml:space="preserve"> </t>
    </r>
    <r>
      <rPr>
        <sz val="12"/>
        <rFont val="標楷體"/>
        <family val="4"/>
        <charset val="136"/>
      </rPr>
      <t>梳子壩右岸下游側護岸破損淘空約</t>
    </r>
    <r>
      <rPr>
        <sz val="12"/>
        <rFont val="Times New Roman"/>
        <family val="1"/>
      </rPr>
      <t xml:space="preserve"> 10</t>
    </r>
    <r>
      <rPr>
        <sz val="12"/>
        <rFont val="標楷體"/>
        <family val="4"/>
        <charset val="136"/>
      </rPr>
      <t>公尺長。</t>
    </r>
    <phoneticPr fontId="5" type="noConversion"/>
  </si>
  <si>
    <r>
      <rPr>
        <sz val="12"/>
        <rFont val="標楷體"/>
        <family val="4"/>
        <charset val="136"/>
      </rPr>
      <t>太安</t>
    </r>
    <phoneticPr fontId="5" type="noConversion"/>
  </si>
  <si>
    <r>
      <rPr>
        <sz val="12"/>
        <rFont val="標楷體"/>
        <family val="4"/>
        <charset val="136"/>
      </rPr>
      <t>檳榔園流失或崩毀約</t>
    </r>
    <r>
      <rPr>
        <sz val="12"/>
        <rFont val="Times New Roman"/>
        <family val="1"/>
      </rPr>
      <t xml:space="preserve"> 2.5</t>
    </r>
    <r>
      <rPr>
        <sz val="12"/>
        <rFont val="標楷體"/>
        <family val="4"/>
        <charset val="136"/>
      </rPr>
      <t>公頃。</t>
    </r>
    <r>
      <rPr>
        <sz val="12"/>
        <rFont val="Times New Roman"/>
        <family val="1"/>
      </rPr>
      <t xml:space="preserve"> </t>
    </r>
    <r>
      <rPr>
        <sz val="12"/>
        <rFont val="標楷體"/>
        <family val="4"/>
        <charset val="136"/>
      </rPr>
      <t>未造成任何人員傷亡。</t>
    </r>
    <r>
      <rPr>
        <sz val="12"/>
        <rFont val="Times New Roman"/>
        <family val="1"/>
      </rPr>
      <t xml:space="preserve"> </t>
    </r>
    <phoneticPr fontId="5" type="noConversion"/>
  </si>
  <si>
    <r>
      <rPr>
        <sz val="12"/>
        <rFont val="標楷體"/>
        <family val="4"/>
        <charset val="136"/>
      </rPr>
      <t>思源橋上游側</t>
    </r>
    <r>
      <rPr>
        <sz val="12"/>
        <rFont val="Times New Roman"/>
        <family val="1"/>
      </rPr>
      <t>130</t>
    </r>
    <r>
      <rPr>
        <sz val="12"/>
        <rFont val="標楷體"/>
        <family val="4"/>
        <charset val="136"/>
      </rPr>
      <t>公尺處之梳子壩</t>
    </r>
    <phoneticPr fontId="5" type="noConversion"/>
  </si>
  <si>
    <r>
      <rPr>
        <sz val="12"/>
        <rFont val="標楷體"/>
        <family val="4"/>
        <charset val="136"/>
      </rPr>
      <t>鳳義里</t>
    </r>
    <phoneticPr fontId="5" type="noConversion"/>
  </si>
  <si>
    <r>
      <rPr>
        <sz val="12"/>
        <rFont val="標楷體"/>
        <family val="4"/>
        <charset val="136"/>
      </rPr>
      <t>花縣</t>
    </r>
    <r>
      <rPr>
        <sz val="12"/>
        <rFont val="Times New Roman"/>
        <family val="1"/>
      </rPr>
      <t>DF127</t>
    </r>
    <phoneticPr fontId="5" type="noConversion"/>
  </si>
  <si>
    <r>
      <rPr>
        <sz val="12"/>
        <rFont val="標楷體"/>
        <family val="4"/>
        <charset val="136"/>
      </rPr>
      <t>鳳凰颱風豪雨帶來之泥砂土石，造成鳳林溪梳子壩上游側河道淤積約</t>
    </r>
    <r>
      <rPr>
        <sz val="12"/>
        <rFont val="Times New Roman"/>
        <family val="1"/>
      </rPr>
      <t xml:space="preserve"> 7,000</t>
    </r>
    <r>
      <rPr>
        <sz val="12"/>
        <rFont val="標楷體"/>
        <family val="4"/>
        <charset val="136"/>
      </rPr>
      <t>立方公尺。</t>
    </r>
    <r>
      <rPr>
        <sz val="12"/>
        <rFont val="Times New Roman"/>
        <family val="1"/>
      </rPr>
      <t xml:space="preserve"> </t>
    </r>
    <r>
      <rPr>
        <sz val="12"/>
        <rFont val="標楷體"/>
        <family val="4"/>
        <charset val="136"/>
      </rPr>
      <t>未造成任何人員傷亡。</t>
    </r>
    <r>
      <rPr>
        <sz val="12"/>
        <rFont val="Times New Roman"/>
        <family val="1"/>
      </rPr>
      <t xml:space="preserve"> </t>
    </r>
    <phoneticPr fontId="5" type="noConversion"/>
  </si>
  <si>
    <r>
      <rPr>
        <sz val="12"/>
        <rFont val="標楷體"/>
        <family val="4"/>
        <charset val="136"/>
      </rPr>
      <t>鳳林</t>
    </r>
    <phoneticPr fontId="5" type="noConversion"/>
  </si>
  <si>
    <r>
      <rPr>
        <sz val="12"/>
        <rFont val="標楷體"/>
        <family val="4"/>
        <charset val="136"/>
      </rPr>
      <t>國姓鄉大旗村</t>
    </r>
    <r>
      <rPr>
        <sz val="12"/>
        <rFont val="Times New Roman"/>
        <family val="1"/>
      </rPr>
      <t>(</t>
    </r>
    <r>
      <rPr>
        <sz val="12"/>
        <rFont val="標楷體"/>
        <family val="4"/>
        <charset val="136"/>
      </rPr>
      <t>長旗產業道路上</t>
    </r>
    <r>
      <rPr>
        <sz val="12"/>
        <rFont val="Times New Roman"/>
        <family val="1"/>
      </rPr>
      <t>)</t>
    </r>
    <phoneticPr fontId="5" type="noConversion"/>
  </si>
  <si>
    <r>
      <rPr>
        <sz val="12"/>
        <rFont val="標楷體"/>
        <family val="4"/>
        <charset val="136"/>
      </rPr>
      <t>大旗村</t>
    </r>
    <phoneticPr fontId="5" type="noConversion"/>
  </si>
  <si>
    <r>
      <t xml:space="preserve">97 </t>
    </r>
    <r>
      <rPr>
        <sz val="12"/>
        <rFont val="標楷體"/>
        <family val="4"/>
        <charset val="136"/>
      </rPr>
      <t>年其他</t>
    </r>
    <r>
      <rPr>
        <sz val="12"/>
        <rFont val="Times New Roman"/>
        <family val="1"/>
      </rPr>
      <t xml:space="preserve"> </t>
    </r>
  </si>
  <si>
    <r>
      <rPr>
        <sz val="12"/>
        <rFont val="標楷體"/>
        <family val="4"/>
        <charset val="136"/>
      </rPr>
      <t>長旗產業道路上邊坡及下邊坡發生大規模地滑，道路塌陷約</t>
    </r>
    <r>
      <rPr>
        <sz val="12"/>
        <rFont val="Times New Roman"/>
        <family val="1"/>
      </rPr>
      <t xml:space="preserve">30m </t>
    </r>
    <r>
      <rPr>
        <sz val="12"/>
        <rFont val="標楷體"/>
        <family val="4"/>
        <charset val="136"/>
      </rPr>
      <t>深，坍塌之土石阻塞河道形成小型堰塞湖，所幸緊急疏通後，無立即危害之虞。</t>
    </r>
    <r>
      <rPr>
        <sz val="12"/>
        <rFont val="Times New Roman"/>
        <family val="1"/>
      </rPr>
      <t xml:space="preserve"> </t>
    </r>
    <phoneticPr fontId="5" type="noConversion"/>
  </si>
  <si>
    <r>
      <rPr>
        <sz val="12"/>
        <rFont val="標楷體"/>
        <family val="4"/>
        <charset val="136"/>
      </rPr>
      <t>社頭鄉清水村</t>
    </r>
    <r>
      <rPr>
        <sz val="12"/>
        <rFont val="Times New Roman"/>
        <family val="1"/>
      </rPr>
      <t>(</t>
    </r>
    <r>
      <rPr>
        <sz val="12"/>
        <rFont val="標楷體"/>
        <family val="4"/>
        <charset val="136"/>
      </rPr>
      <t>位於重生路與清興路交叉口處</t>
    </r>
    <r>
      <rPr>
        <sz val="12"/>
        <rFont val="Times New Roman"/>
        <family val="1"/>
      </rPr>
      <t>)</t>
    </r>
    <phoneticPr fontId="5" type="noConversion"/>
  </si>
  <si>
    <r>
      <rPr>
        <sz val="12"/>
        <rFont val="標楷體"/>
        <family val="4"/>
        <charset val="136"/>
      </rPr>
      <t>彰化縣</t>
    </r>
    <phoneticPr fontId="5" type="noConversion"/>
  </si>
  <si>
    <r>
      <rPr>
        <sz val="12"/>
        <rFont val="標楷體"/>
        <family val="4"/>
        <charset val="136"/>
      </rPr>
      <t>社頭鄉</t>
    </r>
    <phoneticPr fontId="5" type="noConversion"/>
  </si>
  <si>
    <r>
      <t xml:space="preserve">97 </t>
    </r>
    <r>
      <rPr>
        <sz val="12"/>
        <rFont val="標楷體"/>
        <family val="4"/>
        <charset val="136"/>
      </rPr>
      <t>年其他</t>
    </r>
    <r>
      <rPr>
        <sz val="12"/>
        <rFont val="Times New Roman"/>
        <family val="1"/>
      </rPr>
      <t xml:space="preserve"> </t>
    </r>
    <phoneticPr fontId="5" type="noConversion"/>
  </si>
  <si>
    <r>
      <rPr>
        <sz val="12"/>
        <rFont val="標楷體"/>
        <family val="4"/>
        <charset val="136"/>
      </rPr>
      <t>阻斷道路交通。</t>
    </r>
    <r>
      <rPr>
        <sz val="12"/>
        <rFont val="Times New Roman"/>
        <family val="1"/>
      </rPr>
      <t xml:space="preserve"> </t>
    </r>
    <r>
      <rPr>
        <sz val="12"/>
        <rFont val="標楷體"/>
        <family val="4"/>
        <charset val="136"/>
      </rPr>
      <t>社區一度受困</t>
    </r>
    <r>
      <rPr>
        <sz val="12"/>
        <rFont val="Times New Roman"/>
        <family val="1"/>
      </rPr>
      <t xml:space="preserve"> 30</t>
    </r>
    <r>
      <rPr>
        <sz val="12"/>
        <rFont val="標楷體"/>
        <family val="4"/>
        <charset val="136"/>
      </rPr>
      <t>戶，約</t>
    </r>
    <r>
      <rPr>
        <sz val="12"/>
        <rFont val="Times New Roman"/>
        <family val="1"/>
      </rPr>
      <t xml:space="preserve"> 100</t>
    </r>
    <r>
      <rPr>
        <sz val="12"/>
        <rFont val="標楷體"/>
        <family val="4"/>
        <charset val="136"/>
      </rPr>
      <t>人。</t>
    </r>
    <r>
      <rPr>
        <sz val="12"/>
        <rFont val="Times New Roman"/>
        <family val="1"/>
      </rPr>
      <t xml:space="preserve"> </t>
    </r>
    <r>
      <rPr>
        <sz val="12"/>
        <rFont val="標楷體"/>
        <family val="4"/>
        <charset val="136"/>
      </rPr>
      <t>道路遭掩蓋長度約</t>
    </r>
    <r>
      <rPr>
        <sz val="12"/>
        <rFont val="Times New Roman"/>
        <family val="1"/>
      </rPr>
      <t xml:space="preserve"> 50</t>
    </r>
    <r>
      <rPr>
        <sz val="12"/>
        <rFont val="標楷體"/>
        <family val="4"/>
        <charset val="136"/>
      </rPr>
      <t>公尺。</t>
    </r>
    <r>
      <rPr>
        <sz val="12"/>
        <rFont val="Times New Roman"/>
        <family val="1"/>
      </rPr>
      <t xml:space="preserve"> </t>
    </r>
    <r>
      <rPr>
        <sz val="12"/>
        <rFont val="標楷體"/>
        <family val="4"/>
        <charset val="136"/>
      </rPr>
      <t>災害發生當日晚上</t>
    </r>
    <r>
      <rPr>
        <sz val="12"/>
        <rFont val="Times New Roman"/>
        <family val="1"/>
      </rPr>
      <t xml:space="preserve"> 7~8</t>
    </r>
    <r>
      <rPr>
        <sz val="12"/>
        <rFont val="標楷體"/>
        <family val="4"/>
        <charset val="136"/>
      </rPr>
      <t>時道路搶通。</t>
    </r>
    <phoneticPr fontId="5" type="noConversion"/>
  </si>
  <si>
    <t>C1H970</t>
  </si>
  <si>
    <r>
      <rPr>
        <sz val="12"/>
        <rFont val="標楷體"/>
        <family val="4"/>
        <charset val="136"/>
      </rPr>
      <t>六分寮</t>
    </r>
  </si>
  <si>
    <r>
      <rPr>
        <sz val="12"/>
        <rFont val="標楷體"/>
        <family val="4"/>
        <charset val="136"/>
      </rPr>
      <t>鹿谷鄉鳳凰村</t>
    </r>
    <r>
      <rPr>
        <sz val="12"/>
        <rFont val="Times New Roman"/>
        <family val="1"/>
      </rPr>
      <t>(</t>
    </r>
    <r>
      <rPr>
        <sz val="12"/>
        <rFont val="標楷體"/>
        <family val="4"/>
        <charset val="136"/>
      </rPr>
      <t>約位於投</t>
    </r>
    <r>
      <rPr>
        <sz val="12"/>
        <rFont val="Times New Roman"/>
        <family val="1"/>
      </rPr>
      <t>56</t>
    </r>
    <r>
      <rPr>
        <sz val="12"/>
        <rFont val="標楷體"/>
        <family val="4"/>
        <charset val="136"/>
      </rPr>
      <t>線</t>
    </r>
    <r>
      <rPr>
        <sz val="12"/>
        <rFont val="Times New Roman"/>
        <family val="1"/>
      </rPr>
      <t>14k</t>
    </r>
    <r>
      <rPr>
        <sz val="12"/>
        <rFont val="標楷體"/>
        <family val="4"/>
        <charset val="136"/>
      </rPr>
      <t>處</t>
    </r>
    <r>
      <rPr>
        <sz val="12"/>
        <rFont val="Times New Roman"/>
        <family val="1"/>
      </rPr>
      <t>)</t>
    </r>
    <phoneticPr fontId="5" type="noConversion"/>
  </si>
  <si>
    <r>
      <rPr>
        <sz val="12"/>
        <rFont val="標楷體"/>
        <family val="4"/>
        <charset val="136"/>
      </rPr>
      <t>鳳凰村</t>
    </r>
    <phoneticPr fontId="5" type="noConversion"/>
  </si>
  <si>
    <r>
      <rPr>
        <sz val="12"/>
        <rFont val="標楷體"/>
        <family val="4"/>
        <charset val="136"/>
      </rPr>
      <t>鹿谷鄉通往信義鄉投</t>
    </r>
    <r>
      <rPr>
        <sz val="12"/>
        <rFont val="Times New Roman"/>
        <family val="1"/>
      </rPr>
      <t xml:space="preserve"> 56</t>
    </r>
    <r>
      <rPr>
        <sz val="12"/>
        <rFont val="標楷體"/>
        <family val="4"/>
        <charset val="136"/>
      </rPr>
      <t>線道路，約於</t>
    </r>
    <r>
      <rPr>
        <sz val="12"/>
        <rFont val="Times New Roman"/>
        <family val="1"/>
      </rPr>
      <t xml:space="preserve"> 14k</t>
    </r>
    <r>
      <rPr>
        <sz val="12"/>
        <rFont val="標楷體"/>
        <family val="4"/>
        <charset val="136"/>
      </rPr>
      <t>處三彎段發生崩塌地滑，約</t>
    </r>
    <r>
      <rPr>
        <sz val="12"/>
        <rFont val="Times New Roman"/>
        <family val="1"/>
      </rPr>
      <t xml:space="preserve"> 10</t>
    </r>
    <r>
      <rPr>
        <sz val="12"/>
        <rFont val="標楷體"/>
        <family val="4"/>
        <charset val="136"/>
      </rPr>
      <t>萬方之土石滑落。</t>
    </r>
    <r>
      <rPr>
        <sz val="12"/>
        <rFont val="Times New Roman"/>
        <family val="1"/>
      </rPr>
      <t xml:space="preserve"> </t>
    </r>
    <r>
      <rPr>
        <sz val="12"/>
        <rFont val="標楷體"/>
        <family val="4"/>
        <charset val="136"/>
      </rPr>
      <t>投</t>
    </r>
    <r>
      <rPr>
        <sz val="12"/>
        <rFont val="Times New Roman"/>
        <family val="1"/>
      </rPr>
      <t xml:space="preserve"> 56</t>
    </r>
    <r>
      <rPr>
        <sz val="12"/>
        <rFont val="標楷體"/>
        <family val="4"/>
        <charset val="136"/>
      </rPr>
      <t>線道路毀損近</t>
    </r>
    <r>
      <rPr>
        <sz val="12"/>
        <rFont val="Times New Roman"/>
        <family val="1"/>
      </rPr>
      <t xml:space="preserve"> 400</t>
    </r>
    <r>
      <rPr>
        <sz val="12"/>
        <rFont val="標楷體"/>
        <family val="4"/>
        <charset val="136"/>
      </rPr>
      <t>公尺。</t>
    </r>
    <r>
      <rPr>
        <sz val="12"/>
        <rFont val="Times New Roman"/>
        <family val="1"/>
      </rPr>
      <t xml:space="preserve"> </t>
    </r>
    <phoneticPr fontId="5" type="noConversion"/>
  </si>
  <si>
    <r>
      <rPr>
        <sz val="12"/>
        <rFont val="標楷體"/>
        <family val="4"/>
        <charset val="136"/>
      </rPr>
      <t>五峰鄉桃山村</t>
    </r>
    <r>
      <rPr>
        <sz val="12"/>
        <rFont val="Times New Roman"/>
        <family val="1"/>
      </rPr>
      <t>(</t>
    </r>
    <r>
      <rPr>
        <sz val="12"/>
        <rFont val="標楷體"/>
        <family val="4"/>
        <charset val="136"/>
      </rPr>
      <t>約位於大鹿林道</t>
    </r>
    <r>
      <rPr>
        <sz val="12"/>
        <rFont val="Times New Roman"/>
        <family val="1"/>
      </rPr>
      <t>1k</t>
    </r>
    <r>
      <rPr>
        <sz val="12"/>
        <rFont val="標楷體"/>
        <family val="4"/>
        <charset val="136"/>
      </rPr>
      <t>處</t>
    </r>
    <r>
      <rPr>
        <sz val="12"/>
        <rFont val="Times New Roman"/>
        <family val="1"/>
      </rPr>
      <t>)</t>
    </r>
    <phoneticPr fontId="5" type="noConversion"/>
  </si>
  <si>
    <r>
      <rPr>
        <sz val="12"/>
        <rFont val="標楷體"/>
        <family val="4"/>
        <charset val="136"/>
      </rPr>
      <t>桃山村</t>
    </r>
    <phoneticPr fontId="5" type="noConversion"/>
  </si>
  <si>
    <r>
      <rPr>
        <sz val="12"/>
        <rFont val="標楷體"/>
        <family val="4"/>
        <charset val="136"/>
      </rPr>
      <t>箱型車遭土石推入山谷</t>
    </r>
    <r>
      <rPr>
        <sz val="12"/>
        <rFont val="Times New Roman"/>
        <family val="1"/>
      </rPr>
      <t xml:space="preserve"> 1</t>
    </r>
    <r>
      <rPr>
        <sz val="12"/>
        <rFont val="標楷體"/>
        <family val="4"/>
        <charset val="136"/>
      </rPr>
      <t>部。</t>
    </r>
    <r>
      <rPr>
        <sz val="12"/>
        <rFont val="Times New Roman"/>
        <family val="1"/>
      </rPr>
      <t xml:space="preserve">  </t>
    </r>
    <r>
      <rPr>
        <sz val="12"/>
        <rFont val="標楷體"/>
        <family val="4"/>
        <charset val="136"/>
      </rPr>
      <t>一度受困車輛</t>
    </r>
    <r>
      <rPr>
        <sz val="12"/>
        <rFont val="Times New Roman"/>
        <family val="1"/>
      </rPr>
      <t xml:space="preserve"> 22</t>
    </r>
    <r>
      <rPr>
        <sz val="12"/>
        <rFont val="標楷體"/>
        <family val="4"/>
        <charset val="136"/>
      </rPr>
      <t>部，旅客</t>
    </r>
    <r>
      <rPr>
        <sz val="12"/>
        <rFont val="Times New Roman"/>
        <family val="1"/>
      </rPr>
      <t xml:space="preserve"> 80</t>
    </r>
    <r>
      <rPr>
        <sz val="12"/>
        <rFont val="標楷體"/>
        <family val="4"/>
        <charset val="136"/>
      </rPr>
      <t>人。</t>
    </r>
    <r>
      <rPr>
        <sz val="12"/>
        <rFont val="Times New Roman"/>
        <family val="1"/>
      </rPr>
      <t xml:space="preserve"> </t>
    </r>
    <r>
      <rPr>
        <sz val="12"/>
        <rFont val="標楷體"/>
        <family val="4"/>
        <charset val="136"/>
      </rPr>
      <t>道路遭掩蓋約</t>
    </r>
    <r>
      <rPr>
        <sz val="12"/>
        <rFont val="Times New Roman"/>
        <family val="1"/>
      </rPr>
      <t xml:space="preserve"> 70</t>
    </r>
    <r>
      <rPr>
        <sz val="12"/>
        <rFont val="標楷體"/>
        <family val="4"/>
        <charset val="136"/>
      </rPr>
      <t>公尺。</t>
    </r>
    <r>
      <rPr>
        <sz val="12"/>
        <rFont val="Times New Roman"/>
        <family val="1"/>
      </rPr>
      <t xml:space="preserve">  </t>
    </r>
    <r>
      <rPr>
        <sz val="12"/>
        <rFont val="標楷體"/>
        <family val="4"/>
        <charset val="136"/>
      </rPr>
      <t>災害發生當日晚間</t>
    </r>
    <r>
      <rPr>
        <sz val="12"/>
        <rFont val="Times New Roman"/>
        <family val="1"/>
      </rPr>
      <t xml:space="preserve"> 9</t>
    </r>
    <r>
      <rPr>
        <sz val="12"/>
        <rFont val="標楷體"/>
        <family val="4"/>
        <charset val="136"/>
      </rPr>
      <t>時許道路搶通。</t>
    </r>
    <r>
      <rPr>
        <sz val="12"/>
        <rFont val="Times New Roman"/>
        <family val="1"/>
      </rPr>
      <t xml:space="preserve"> </t>
    </r>
    <phoneticPr fontId="5" type="noConversion"/>
  </si>
  <si>
    <r>
      <rPr>
        <sz val="12"/>
        <rFont val="標楷體"/>
        <family val="4"/>
        <charset val="136"/>
      </rPr>
      <t>白蘭</t>
    </r>
  </si>
  <si>
    <r>
      <rPr>
        <sz val="12"/>
        <rFont val="標楷體"/>
        <family val="4"/>
        <charset val="136"/>
      </rPr>
      <t>信義鄉雙龍村</t>
    </r>
    <r>
      <rPr>
        <sz val="12"/>
        <rFont val="Times New Roman"/>
        <family val="1"/>
      </rPr>
      <t>(</t>
    </r>
    <r>
      <rPr>
        <sz val="12"/>
        <rFont val="標楷體"/>
        <family val="4"/>
        <charset val="136"/>
      </rPr>
      <t>約位於台</t>
    </r>
    <r>
      <rPr>
        <sz val="12"/>
        <rFont val="Times New Roman"/>
        <family val="1"/>
      </rPr>
      <t>16</t>
    </r>
    <r>
      <rPr>
        <sz val="12"/>
        <rFont val="標楷體"/>
        <family val="4"/>
        <charset val="136"/>
      </rPr>
      <t>線</t>
    </r>
    <r>
      <rPr>
        <sz val="12"/>
        <rFont val="Times New Roman"/>
        <family val="1"/>
      </rPr>
      <t>40k</t>
    </r>
    <r>
      <rPr>
        <sz val="12"/>
        <rFont val="標楷體"/>
        <family val="4"/>
        <charset val="136"/>
      </rPr>
      <t>處</t>
    </r>
    <r>
      <rPr>
        <sz val="12"/>
        <rFont val="Times New Roman"/>
        <family val="1"/>
      </rPr>
      <t>)</t>
    </r>
    <phoneticPr fontId="5" type="noConversion"/>
  </si>
  <si>
    <r>
      <rPr>
        <sz val="12"/>
        <rFont val="標楷體"/>
        <family val="4"/>
        <charset val="136"/>
      </rPr>
      <t>雙龍村</t>
    </r>
    <phoneticPr fontId="5" type="noConversion"/>
  </si>
  <si>
    <r>
      <t xml:space="preserve">97 </t>
    </r>
    <r>
      <rPr>
        <sz val="12"/>
        <rFont val="標楷體"/>
        <family val="4"/>
        <charset val="136"/>
      </rPr>
      <t>年其他</t>
    </r>
    <phoneticPr fontId="5" type="noConversion"/>
  </si>
  <si>
    <r>
      <t xml:space="preserve">2008/3/12 </t>
    </r>
    <r>
      <rPr>
        <sz val="12"/>
        <rFont val="標楷體"/>
        <family val="4"/>
        <charset val="136"/>
      </rPr>
      <t>下午</t>
    </r>
    <phoneticPr fontId="5" type="noConversion"/>
  </si>
  <si>
    <r>
      <rPr>
        <sz val="12"/>
        <rFont val="標楷體"/>
        <family val="4"/>
        <charset val="136"/>
      </rPr>
      <t>台</t>
    </r>
    <r>
      <rPr>
        <sz val="12"/>
        <rFont val="Times New Roman"/>
        <family val="1"/>
      </rPr>
      <t xml:space="preserve"> 16</t>
    </r>
    <r>
      <rPr>
        <sz val="12"/>
        <rFont val="標楷體"/>
        <family val="4"/>
        <charset val="136"/>
      </rPr>
      <t>線</t>
    </r>
    <r>
      <rPr>
        <sz val="12"/>
        <rFont val="Times New Roman"/>
        <family val="1"/>
      </rPr>
      <t xml:space="preserve"> 40k </t>
    </r>
    <r>
      <rPr>
        <sz val="12"/>
        <rFont val="標楷體"/>
        <family val="4"/>
        <charset val="136"/>
      </rPr>
      <t>濁水溪左岸邊坡發生崩塌，土石阻塞河道形成小型堰塞湖，所幸溪水僅些微抬昇且仍可溢流，無立即危害之虞。</t>
    </r>
    <phoneticPr fontId="5" type="noConversion"/>
  </si>
  <si>
    <t>C1I040</t>
  </si>
  <si>
    <r>
      <rPr>
        <sz val="12"/>
        <rFont val="標楷體"/>
        <family val="4"/>
        <charset val="136"/>
      </rPr>
      <t>文文社</t>
    </r>
    <phoneticPr fontId="5" type="noConversion"/>
  </si>
  <si>
    <r>
      <rPr>
        <sz val="12"/>
        <rFont val="標楷體"/>
        <family val="4"/>
        <charset val="136"/>
      </rPr>
      <t>三星鄉天山村</t>
    </r>
    <r>
      <rPr>
        <sz val="12"/>
        <rFont val="Times New Roman"/>
        <family val="1"/>
      </rPr>
      <t xml:space="preserve"> (</t>
    </r>
    <r>
      <rPr>
        <sz val="12"/>
        <rFont val="標楷體"/>
        <family val="4"/>
        <charset val="136"/>
      </rPr>
      <t>天山農場</t>
    </r>
    <r>
      <rPr>
        <sz val="12"/>
        <rFont val="Times New Roman"/>
        <family val="1"/>
      </rPr>
      <t>)</t>
    </r>
    <phoneticPr fontId="5" type="noConversion"/>
  </si>
  <si>
    <r>
      <rPr>
        <sz val="12"/>
        <rFont val="標楷體"/>
        <family val="4"/>
        <charset val="136"/>
      </rPr>
      <t>宜蘭縣</t>
    </r>
    <phoneticPr fontId="5" type="noConversion"/>
  </si>
  <si>
    <r>
      <rPr>
        <sz val="12"/>
        <rFont val="標楷體"/>
        <family val="4"/>
        <charset val="136"/>
      </rPr>
      <t>三星鄉</t>
    </r>
    <phoneticPr fontId="5" type="noConversion"/>
  </si>
  <si>
    <r>
      <rPr>
        <sz val="12"/>
        <rFont val="標楷體"/>
        <family val="4"/>
        <charset val="136"/>
      </rPr>
      <t>天山村</t>
    </r>
  </si>
  <si>
    <r>
      <rPr>
        <sz val="12"/>
        <rFont val="標楷體"/>
        <family val="4"/>
        <charset val="136"/>
      </rPr>
      <t>宜縣</t>
    </r>
    <r>
      <rPr>
        <sz val="12"/>
        <rFont val="Times New Roman"/>
        <family val="1"/>
      </rPr>
      <t>DF135</t>
    </r>
    <phoneticPr fontId="5" type="noConversion"/>
  </si>
  <si>
    <r>
      <rPr>
        <sz val="12"/>
        <rFont val="標楷體"/>
        <family val="4"/>
        <charset val="136"/>
      </rPr>
      <t>芭瑪颱風</t>
    </r>
    <phoneticPr fontId="5" type="noConversion"/>
  </si>
  <si>
    <r>
      <rPr>
        <sz val="12"/>
        <rFont val="標楷體"/>
        <family val="4"/>
        <charset val="136"/>
      </rPr>
      <t>因大雨連續沖刷發生崩塌，崩落土石形成土石流淤滿河道。崩塌面積約</t>
    </r>
    <r>
      <rPr>
        <sz val="12"/>
        <rFont val="Times New Roman"/>
        <family val="1"/>
      </rPr>
      <t xml:space="preserve">2.5 </t>
    </r>
    <r>
      <rPr>
        <sz val="12"/>
        <rFont val="標楷體"/>
        <family val="4"/>
        <charset val="136"/>
      </rPr>
      <t>公頃餘，道路損毀計</t>
    </r>
    <r>
      <rPr>
        <sz val="12"/>
        <rFont val="Times New Roman"/>
        <family val="1"/>
      </rPr>
      <t xml:space="preserve">300 </t>
    </r>
    <r>
      <rPr>
        <sz val="12"/>
        <rFont val="標楷體"/>
        <family val="4"/>
        <charset val="136"/>
      </rPr>
      <t>公尺。造成溪床抬高，溪水漫流淹沒河道堤岸道路及鐵皮屋舍一棟。</t>
    </r>
    <phoneticPr fontId="5" type="noConversion"/>
  </si>
  <si>
    <t>C1U660</t>
  </si>
  <si>
    <r>
      <rPr>
        <sz val="12"/>
        <rFont val="標楷體"/>
        <family val="4"/>
        <charset val="136"/>
      </rPr>
      <t>三星</t>
    </r>
    <phoneticPr fontId="5" type="noConversion"/>
  </si>
  <si>
    <r>
      <rPr>
        <sz val="12"/>
        <rFont val="標楷體"/>
        <family val="4"/>
        <charset val="136"/>
      </rPr>
      <t>大同鄉寒溪村</t>
    </r>
    <r>
      <rPr>
        <sz val="12"/>
        <rFont val="Times New Roman"/>
        <family val="1"/>
      </rPr>
      <t>(</t>
    </r>
    <r>
      <rPr>
        <sz val="12"/>
        <rFont val="標楷體"/>
        <family val="4"/>
        <charset val="136"/>
      </rPr>
      <t>寒溪大橋</t>
    </r>
    <r>
      <rPr>
        <sz val="12"/>
        <rFont val="Times New Roman"/>
        <family val="1"/>
      </rPr>
      <t>) (</t>
    </r>
    <r>
      <rPr>
        <sz val="12"/>
        <rFont val="標楷體"/>
        <family val="4"/>
        <charset val="136"/>
      </rPr>
      <t>約位於宜</t>
    </r>
    <r>
      <rPr>
        <sz val="12"/>
        <rFont val="Times New Roman"/>
        <family val="1"/>
      </rPr>
      <t>33</t>
    </r>
    <r>
      <rPr>
        <sz val="12"/>
        <rFont val="標楷體"/>
        <family val="4"/>
        <charset val="136"/>
      </rPr>
      <t>線道路</t>
    </r>
    <r>
      <rPr>
        <sz val="12"/>
        <rFont val="Times New Roman"/>
        <family val="1"/>
      </rPr>
      <t>4.2K</t>
    </r>
    <r>
      <rPr>
        <sz val="12"/>
        <rFont val="標楷體"/>
        <family val="4"/>
        <charset val="136"/>
      </rPr>
      <t>處</t>
    </r>
    <r>
      <rPr>
        <sz val="12"/>
        <rFont val="Times New Roman"/>
        <family val="1"/>
      </rPr>
      <t>)</t>
    </r>
    <phoneticPr fontId="5" type="noConversion"/>
  </si>
  <si>
    <r>
      <rPr>
        <sz val="12"/>
        <rFont val="標楷體"/>
        <family val="4"/>
        <charset val="136"/>
      </rPr>
      <t>大同鄉</t>
    </r>
    <phoneticPr fontId="5" type="noConversion"/>
  </si>
  <si>
    <r>
      <rPr>
        <sz val="12"/>
        <rFont val="標楷體"/>
        <family val="4"/>
        <charset val="136"/>
      </rPr>
      <t>寒溪村</t>
    </r>
  </si>
  <si>
    <r>
      <rPr>
        <sz val="12"/>
        <rFont val="標楷體"/>
        <family val="4"/>
        <charset val="136"/>
      </rPr>
      <t>宜縣</t>
    </r>
    <r>
      <rPr>
        <sz val="12"/>
        <rFont val="Times New Roman"/>
        <family val="1"/>
      </rPr>
      <t>DF085</t>
    </r>
    <phoneticPr fontId="5" type="noConversion"/>
  </si>
  <si>
    <r>
      <t xml:space="preserve">10 </t>
    </r>
    <r>
      <rPr>
        <sz val="12"/>
        <rFont val="標楷體"/>
        <family val="4"/>
        <charset val="136"/>
      </rPr>
      <t>月</t>
    </r>
    <r>
      <rPr>
        <sz val="12"/>
        <rFont val="Times New Roman"/>
        <family val="1"/>
      </rPr>
      <t xml:space="preserve">5 </t>
    </r>
    <r>
      <rPr>
        <sz val="12"/>
        <rFont val="標楷體"/>
        <family val="4"/>
        <charset val="136"/>
      </rPr>
      <t>日晚間寒溪大橋上游約</t>
    </r>
    <r>
      <rPr>
        <sz val="12"/>
        <rFont val="Times New Roman"/>
        <family val="1"/>
      </rPr>
      <t xml:space="preserve">600 </t>
    </r>
    <r>
      <rPr>
        <sz val="12"/>
        <rFont val="標楷體"/>
        <family val="4"/>
        <charset val="136"/>
      </rPr>
      <t>公尺處之右岸邊坡發生崩塌，崩塌土石阻塞原有河道，導致野溪洪水改道沖毀原有左岸堤防，並沿原有堤後道路及河灘地向下游氾濫，造成共</t>
    </r>
    <r>
      <rPr>
        <sz val="12"/>
        <rFont val="Times New Roman"/>
        <family val="1"/>
      </rPr>
      <t xml:space="preserve">5 </t>
    </r>
    <r>
      <rPr>
        <sz val="12"/>
        <rFont val="標楷體"/>
        <family val="4"/>
        <charset val="136"/>
      </rPr>
      <t>棟房舍遭掩埋、沖毀。至</t>
    </r>
    <r>
      <rPr>
        <sz val="12"/>
        <rFont val="Times New Roman"/>
        <family val="1"/>
      </rPr>
      <t xml:space="preserve">10 </t>
    </r>
    <r>
      <rPr>
        <sz val="12"/>
        <rFont val="標楷體"/>
        <family val="4"/>
        <charset val="136"/>
      </rPr>
      <t>月</t>
    </r>
    <r>
      <rPr>
        <sz val="12"/>
        <rFont val="Times New Roman"/>
        <family val="1"/>
      </rPr>
      <t xml:space="preserve">6 </t>
    </r>
    <r>
      <rPr>
        <sz val="12"/>
        <rFont val="標楷體"/>
        <family val="4"/>
        <charset val="136"/>
      </rPr>
      <t>日凌晨約</t>
    </r>
    <r>
      <rPr>
        <sz val="12"/>
        <rFont val="Times New Roman"/>
        <family val="1"/>
      </rPr>
      <t xml:space="preserve">1 </t>
    </r>
    <r>
      <rPr>
        <sz val="12"/>
        <rFont val="標楷體"/>
        <family val="4"/>
        <charset val="136"/>
      </rPr>
      <t>時，野溪堤後之氾濫洪水將寒溪大橋左岸上游堤防衝破約</t>
    </r>
    <r>
      <rPr>
        <sz val="12"/>
        <rFont val="Times New Roman"/>
        <family val="1"/>
      </rPr>
      <t xml:space="preserve">40 </t>
    </r>
    <r>
      <rPr>
        <sz val="12"/>
        <rFont val="標楷體"/>
        <family val="4"/>
        <charset val="136"/>
      </rPr>
      <t>公尺寬缺口，同時將寒溪大橋之左岸橋台路基沖刷淘空形成</t>
    </r>
    <r>
      <rPr>
        <sz val="12"/>
        <rFont val="Times New Roman"/>
        <family val="1"/>
      </rPr>
      <t xml:space="preserve">10 </t>
    </r>
    <r>
      <rPr>
        <sz val="12"/>
        <rFont val="標楷體"/>
        <family val="4"/>
        <charset val="136"/>
      </rPr>
      <t>公尺寬缺口，造成寒溪村對外聯絡道路</t>
    </r>
    <r>
      <rPr>
        <sz val="12"/>
        <rFont val="Times New Roman"/>
        <family val="1"/>
      </rPr>
      <t>(</t>
    </r>
    <r>
      <rPr>
        <sz val="12"/>
        <rFont val="標楷體"/>
        <family val="4"/>
        <charset val="136"/>
      </rPr>
      <t>宜</t>
    </r>
    <r>
      <rPr>
        <sz val="12"/>
        <rFont val="Times New Roman"/>
        <family val="1"/>
      </rPr>
      <t xml:space="preserve">33 </t>
    </r>
    <r>
      <rPr>
        <sz val="12"/>
        <rFont val="標楷體"/>
        <family val="4"/>
        <charset val="136"/>
      </rPr>
      <t>線</t>
    </r>
    <r>
      <rPr>
        <sz val="12"/>
        <rFont val="Times New Roman"/>
        <family val="1"/>
      </rPr>
      <t>)</t>
    </r>
    <r>
      <rPr>
        <sz val="12"/>
        <rFont val="標楷體"/>
        <family val="4"/>
        <charset val="136"/>
      </rPr>
      <t>中斷，並導致一輛中華電信公司之工程維修車輛墜落橋下意外，幸未造成人員傷亡。</t>
    </r>
    <phoneticPr fontId="5" type="noConversion"/>
  </si>
  <si>
    <r>
      <rPr>
        <sz val="12"/>
        <rFont val="標楷體"/>
        <family val="4"/>
        <charset val="136"/>
      </rPr>
      <t>古魯</t>
    </r>
  </si>
  <si>
    <r>
      <rPr>
        <sz val="12"/>
        <rFont val="標楷體"/>
        <family val="4"/>
        <charset val="136"/>
      </rPr>
      <t>太麻里鄉金崙村</t>
    </r>
    <r>
      <rPr>
        <sz val="12"/>
        <rFont val="Times New Roman"/>
        <family val="1"/>
      </rPr>
      <t>(</t>
    </r>
    <r>
      <rPr>
        <sz val="12"/>
        <rFont val="標楷體"/>
        <family val="4"/>
        <charset val="136"/>
      </rPr>
      <t>第</t>
    </r>
    <r>
      <rPr>
        <sz val="12"/>
        <rFont val="Times New Roman"/>
        <family val="1"/>
      </rPr>
      <t xml:space="preserve">14 </t>
    </r>
    <r>
      <rPr>
        <sz val="12"/>
        <rFont val="標楷體"/>
        <family val="4"/>
        <charset val="136"/>
      </rPr>
      <t>鄰</t>
    </r>
    <r>
      <rPr>
        <sz val="12"/>
        <rFont val="Times New Roman"/>
        <family val="1"/>
      </rPr>
      <t xml:space="preserve">) (20-3~5 </t>
    </r>
    <r>
      <rPr>
        <sz val="12"/>
        <rFont val="標楷體"/>
        <family val="4"/>
        <charset val="136"/>
      </rPr>
      <t>號旁，於東</t>
    </r>
    <r>
      <rPr>
        <sz val="12"/>
        <rFont val="Times New Roman"/>
        <family val="1"/>
      </rPr>
      <t xml:space="preserve">66 </t>
    </r>
    <r>
      <rPr>
        <sz val="12"/>
        <rFont val="標楷體"/>
        <family val="4"/>
        <charset val="136"/>
      </rPr>
      <t>線約</t>
    </r>
    <r>
      <rPr>
        <sz val="12"/>
        <rFont val="Times New Roman"/>
        <family val="1"/>
      </rPr>
      <t xml:space="preserve">1.3k </t>
    </r>
    <r>
      <rPr>
        <sz val="12"/>
        <rFont val="標楷體"/>
        <family val="4"/>
        <charset val="136"/>
      </rPr>
      <t>處</t>
    </r>
    <r>
      <rPr>
        <sz val="12"/>
        <rFont val="Times New Roman"/>
        <family val="1"/>
      </rPr>
      <t>)</t>
    </r>
    <phoneticPr fontId="5" type="noConversion"/>
  </si>
  <si>
    <r>
      <rPr>
        <sz val="12"/>
        <rFont val="標楷體"/>
        <family val="4"/>
        <charset val="136"/>
      </rPr>
      <t>金崙村</t>
    </r>
  </si>
  <si>
    <r>
      <rPr>
        <sz val="12"/>
        <rFont val="標楷體"/>
        <family val="4"/>
        <charset val="136"/>
      </rPr>
      <t>東縣</t>
    </r>
    <r>
      <rPr>
        <sz val="12"/>
        <rFont val="Times New Roman"/>
        <family val="1"/>
      </rPr>
      <t>DF114</t>
    </r>
  </si>
  <si>
    <r>
      <rPr>
        <sz val="12"/>
        <rFont val="標楷體"/>
        <family val="4"/>
        <charset val="136"/>
      </rPr>
      <t>莫拉克颱風</t>
    </r>
    <phoneticPr fontId="5" type="noConversion"/>
  </si>
  <si>
    <r>
      <rPr>
        <sz val="12"/>
        <rFont val="標楷體"/>
        <family val="4"/>
        <charset val="136"/>
      </rPr>
      <t>土石流潛勢溪流東縣</t>
    </r>
    <r>
      <rPr>
        <sz val="12"/>
        <rFont val="Times New Roman"/>
        <family val="1"/>
      </rPr>
      <t xml:space="preserve">DF114 </t>
    </r>
    <r>
      <rPr>
        <sz val="12"/>
        <rFont val="標楷體"/>
        <family val="4"/>
        <charset val="136"/>
      </rPr>
      <t>受莫拉克颱風所挾帶來之持續豪雨，約於</t>
    </r>
    <r>
      <rPr>
        <sz val="12"/>
        <rFont val="Times New Roman"/>
        <family val="1"/>
      </rPr>
      <t xml:space="preserve">8 </t>
    </r>
    <r>
      <rPr>
        <sz val="12"/>
        <rFont val="標楷體"/>
        <family val="4"/>
        <charset val="136"/>
      </rPr>
      <t>月</t>
    </r>
    <r>
      <rPr>
        <sz val="12"/>
        <rFont val="Times New Roman"/>
        <family val="1"/>
      </rPr>
      <t xml:space="preserve">9 </t>
    </r>
    <r>
      <rPr>
        <sz val="12"/>
        <rFont val="標楷體"/>
        <family val="4"/>
        <charset val="136"/>
      </rPr>
      <t>日早上爆發土石流，大量土石溢流造成金崙村</t>
    </r>
    <r>
      <rPr>
        <sz val="12"/>
        <rFont val="Times New Roman"/>
        <family val="1"/>
      </rPr>
      <t xml:space="preserve">14 </t>
    </r>
    <r>
      <rPr>
        <sz val="12"/>
        <rFont val="標楷體"/>
        <family val="4"/>
        <charset val="136"/>
      </rPr>
      <t>鄰</t>
    </r>
    <r>
      <rPr>
        <sz val="12"/>
        <rFont val="Times New Roman"/>
        <family val="1"/>
      </rPr>
      <t xml:space="preserve">18 </t>
    </r>
    <r>
      <rPr>
        <sz val="12"/>
        <rFont val="標楷體"/>
        <family val="4"/>
        <charset val="136"/>
      </rPr>
      <t>戶民宅半掩埋，並漫流至東</t>
    </r>
    <r>
      <rPr>
        <sz val="12"/>
        <rFont val="Times New Roman"/>
        <family val="1"/>
      </rPr>
      <t xml:space="preserve">66 </t>
    </r>
    <r>
      <rPr>
        <sz val="12"/>
        <rFont val="標楷體"/>
        <family val="4"/>
        <charset val="136"/>
      </rPr>
      <t>線鄉道上，太麻里鄉公所緊急撤離</t>
    </r>
    <r>
      <rPr>
        <sz val="12"/>
        <rFont val="Times New Roman"/>
        <family val="1"/>
      </rPr>
      <t xml:space="preserve">16 </t>
    </r>
    <r>
      <rPr>
        <sz val="12"/>
        <rFont val="標楷體"/>
        <family val="4"/>
        <charset val="136"/>
      </rPr>
      <t>位居民，幸無人傷亡。</t>
    </r>
    <phoneticPr fontId="5" type="noConversion"/>
  </si>
  <si>
    <r>
      <rPr>
        <sz val="12"/>
        <rFont val="標楷體"/>
        <family val="4"/>
        <charset val="136"/>
      </rPr>
      <t>大溪山</t>
    </r>
  </si>
  <si>
    <r>
      <rPr>
        <sz val="12"/>
        <rFont val="標楷體"/>
        <family val="4"/>
        <charset val="136"/>
      </rPr>
      <t>大武鄉大竹村</t>
    </r>
    <r>
      <rPr>
        <sz val="12"/>
        <rFont val="Times New Roman"/>
        <family val="1"/>
      </rPr>
      <t>(</t>
    </r>
    <r>
      <rPr>
        <sz val="12"/>
        <rFont val="標楷體"/>
        <family val="4"/>
        <charset val="136"/>
      </rPr>
      <t>富山部落</t>
    </r>
    <r>
      <rPr>
        <sz val="12"/>
        <rFont val="Times New Roman"/>
        <family val="1"/>
      </rPr>
      <t>) (</t>
    </r>
    <r>
      <rPr>
        <sz val="12"/>
        <rFont val="標楷體"/>
        <family val="4"/>
        <charset val="136"/>
      </rPr>
      <t>台</t>
    </r>
    <r>
      <rPr>
        <sz val="12"/>
        <rFont val="Times New Roman"/>
        <family val="1"/>
      </rPr>
      <t>9</t>
    </r>
    <r>
      <rPr>
        <sz val="12"/>
        <rFont val="標楷體"/>
        <family val="4"/>
        <charset val="136"/>
      </rPr>
      <t>線約</t>
    </r>
    <r>
      <rPr>
        <sz val="12"/>
        <rFont val="Times New Roman"/>
        <family val="1"/>
      </rPr>
      <t>426.5k</t>
    </r>
    <r>
      <rPr>
        <sz val="12"/>
        <rFont val="標楷體"/>
        <family val="4"/>
        <charset val="136"/>
      </rPr>
      <t>處</t>
    </r>
    <r>
      <rPr>
        <sz val="12"/>
        <rFont val="Times New Roman"/>
        <family val="1"/>
      </rPr>
      <t>)</t>
    </r>
    <phoneticPr fontId="5" type="noConversion"/>
  </si>
  <si>
    <r>
      <rPr>
        <sz val="12"/>
        <rFont val="標楷體"/>
        <family val="4"/>
        <charset val="136"/>
      </rPr>
      <t>大武鄉</t>
    </r>
    <phoneticPr fontId="5" type="noConversion"/>
  </si>
  <si>
    <r>
      <rPr>
        <sz val="12"/>
        <rFont val="標楷體"/>
        <family val="4"/>
        <charset val="136"/>
      </rPr>
      <t>大竹村</t>
    </r>
  </si>
  <si>
    <r>
      <rPr>
        <sz val="12"/>
        <rFont val="標楷體"/>
        <family val="4"/>
        <charset val="136"/>
      </rPr>
      <t>東縣</t>
    </r>
    <r>
      <rPr>
        <sz val="12"/>
        <rFont val="Times New Roman"/>
        <family val="1"/>
      </rPr>
      <t>DF092</t>
    </r>
    <phoneticPr fontId="5" type="noConversion"/>
  </si>
  <si>
    <r>
      <rPr>
        <sz val="12"/>
        <rFont val="標楷體"/>
        <family val="4"/>
        <charset val="136"/>
      </rPr>
      <t>土石流潛勢溪流</t>
    </r>
    <r>
      <rPr>
        <sz val="12"/>
        <rFont val="Times New Roman"/>
        <family val="1"/>
      </rPr>
      <t>(</t>
    </r>
    <r>
      <rPr>
        <sz val="12"/>
        <rFont val="標楷體"/>
        <family val="4"/>
        <charset val="136"/>
      </rPr>
      <t>東縣</t>
    </r>
    <r>
      <rPr>
        <sz val="12"/>
        <rFont val="Times New Roman"/>
        <family val="1"/>
      </rPr>
      <t>DF092)</t>
    </r>
    <r>
      <rPr>
        <sz val="12"/>
        <rFont val="標楷體"/>
        <family val="4"/>
        <charset val="136"/>
      </rPr>
      <t>於</t>
    </r>
    <r>
      <rPr>
        <sz val="12"/>
        <rFont val="Times New Roman"/>
        <family val="1"/>
      </rPr>
      <t>8</t>
    </r>
    <r>
      <rPr>
        <sz val="12"/>
        <rFont val="標楷體"/>
        <family val="4"/>
        <charset val="136"/>
      </rPr>
      <t>月</t>
    </r>
    <r>
      <rPr>
        <sz val="12"/>
        <rFont val="Times New Roman"/>
        <family val="1"/>
      </rPr>
      <t xml:space="preserve">9 </t>
    </r>
    <r>
      <rPr>
        <sz val="12"/>
        <rFont val="標楷體"/>
        <family val="4"/>
        <charset val="136"/>
      </rPr>
      <t>日午夜爆發土石流，土石侵入多處民宅，所幸人員已事前疏散，並未造成人員傷亡。</t>
    </r>
    <phoneticPr fontId="5" type="noConversion"/>
  </si>
  <si>
    <r>
      <rPr>
        <sz val="12"/>
        <rFont val="標楷體"/>
        <family val="4"/>
        <charset val="136"/>
      </rPr>
      <t>土阪</t>
    </r>
    <phoneticPr fontId="5" type="noConversion"/>
  </si>
  <si>
    <r>
      <rPr>
        <sz val="12"/>
        <rFont val="標楷體"/>
        <family val="4"/>
        <charset val="136"/>
      </rPr>
      <t>大武鄉大鳥村</t>
    </r>
    <r>
      <rPr>
        <sz val="12"/>
        <rFont val="Times New Roman"/>
        <family val="1"/>
      </rPr>
      <t xml:space="preserve"> (</t>
    </r>
    <r>
      <rPr>
        <sz val="12"/>
        <rFont val="標楷體"/>
        <family val="4"/>
        <charset val="136"/>
      </rPr>
      <t>台</t>
    </r>
    <r>
      <rPr>
        <sz val="12"/>
        <rFont val="Times New Roman"/>
        <family val="1"/>
      </rPr>
      <t xml:space="preserve">9 </t>
    </r>
    <r>
      <rPr>
        <sz val="12"/>
        <rFont val="標楷體"/>
        <family val="4"/>
        <charset val="136"/>
      </rPr>
      <t>線</t>
    </r>
    <r>
      <rPr>
        <sz val="12"/>
        <rFont val="Times New Roman"/>
        <family val="1"/>
      </rPr>
      <t xml:space="preserve">420.5k </t>
    </r>
    <r>
      <rPr>
        <sz val="12"/>
        <rFont val="標楷體"/>
        <family val="4"/>
        <charset val="136"/>
      </rPr>
      <t>旁</t>
    </r>
    <r>
      <rPr>
        <sz val="12"/>
        <rFont val="Times New Roman"/>
        <family val="1"/>
      </rPr>
      <t>)</t>
    </r>
    <phoneticPr fontId="5" type="noConversion"/>
  </si>
  <si>
    <r>
      <rPr>
        <sz val="12"/>
        <rFont val="標楷體"/>
        <family val="4"/>
        <charset val="136"/>
      </rPr>
      <t>大鳥村</t>
    </r>
  </si>
  <si>
    <r>
      <rPr>
        <sz val="12"/>
        <rFont val="標楷體"/>
        <family val="4"/>
        <charset val="136"/>
      </rPr>
      <t>東縣</t>
    </r>
    <r>
      <rPr>
        <sz val="12"/>
        <rFont val="Times New Roman"/>
        <family val="1"/>
      </rPr>
      <t xml:space="preserve">DF097 </t>
    </r>
    <phoneticPr fontId="5" type="noConversion"/>
  </si>
  <si>
    <r>
      <rPr>
        <sz val="12"/>
        <rFont val="標楷體"/>
        <family val="4"/>
        <charset val="136"/>
      </rPr>
      <t>民宅大鳥</t>
    </r>
    <r>
      <rPr>
        <sz val="12"/>
        <rFont val="Times New Roman"/>
        <family val="1"/>
      </rPr>
      <t xml:space="preserve">346 </t>
    </r>
    <r>
      <rPr>
        <sz val="12"/>
        <rFont val="標楷體"/>
        <family val="4"/>
        <charset val="136"/>
      </rPr>
      <t>號等</t>
    </r>
    <r>
      <rPr>
        <sz val="12"/>
        <rFont val="Times New Roman"/>
        <family val="1"/>
      </rPr>
      <t xml:space="preserve">8 </t>
    </r>
    <r>
      <rPr>
        <sz val="12"/>
        <rFont val="標楷體"/>
        <family val="4"/>
        <charset val="136"/>
      </rPr>
      <t>戶，以及
無門牌鐵皮屋及貨櫃遭土石掩
埋。
大鳥村聯外道路亦遭土石掩埋。本次土石災害危害範圍甚廣，所幸村長即時進行村民之疏散避難，因此並無人員罹難。</t>
    </r>
    <phoneticPr fontId="5" type="noConversion"/>
  </si>
  <si>
    <r>
      <rPr>
        <sz val="12"/>
        <rFont val="標楷體"/>
        <family val="4"/>
        <charset val="136"/>
      </rPr>
      <t>東縣</t>
    </r>
    <r>
      <rPr>
        <sz val="12"/>
        <rFont val="Times New Roman"/>
        <family val="1"/>
      </rPr>
      <t>DF098</t>
    </r>
    <phoneticPr fontId="5" type="noConversion"/>
  </si>
  <si>
    <r>
      <rPr>
        <sz val="12"/>
        <rFont val="標楷體"/>
        <family val="4"/>
        <charset val="136"/>
      </rPr>
      <t>南化鄉玉山村</t>
    </r>
    <r>
      <rPr>
        <sz val="12"/>
        <rFont val="Times New Roman"/>
        <family val="1"/>
      </rPr>
      <t>(</t>
    </r>
    <r>
      <rPr>
        <sz val="12"/>
        <rFont val="標楷體"/>
        <family val="4"/>
        <charset val="136"/>
      </rPr>
      <t>青山宮</t>
    </r>
    <r>
      <rPr>
        <sz val="12"/>
        <rFont val="Times New Roman"/>
        <family val="1"/>
      </rPr>
      <t>)</t>
    </r>
    <phoneticPr fontId="5" type="noConversion"/>
  </si>
  <si>
    <r>
      <rPr>
        <sz val="12"/>
        <rFont val="標楷體"/>
        <family val="4"/>
        <charset val="136"/>
      </rPr>
      <t>青山宮旁之野溪上游林班地，受莫拉克颱風所挾帶來之持續豪雨沖刷，約於</t>
    </r>
    <r>
      <rPr>
        <sz val="12"/>
        <rFont val="Times New Roman"/>
        <family val="1"/>
      </rPr>
      <t xml:space="preserve">8 </t>
    </r>
    <r>
      <rPr>
        <sz val="12"/>
        <rFont val="標楷體"/>
        <family val="4"/>
        <charset val="136"/>
      </rPr>
      <t>月</t>
    </r>
    <r>
      <rPr>
        <sz val="12"/>
        <rFont val="Times New Roman"/>
        <family val="1"/>
      </rPr>
      <t xml:space="preserve">8 </t>
    </r>
    <r>
      <rPr>
        <sz val="12"/>
        <rFont val="標楷體"/>
        <family val="4"/>
        <charset val="136"/>
      </rPr>
      <t>日傍晚爆發土石流沿野溪溢流而下，大量土石淹埋侵入羌黃坑多戶民宅，南化鄉公所緊急撤離四十多戶居民，幸無人傷亡。</t>
    </r>
    <phoneticPr fontId="5" type="noConversion"/>
  </si>
  <si>
    <r>
      <rPr>
        <sz val="12"/>
        <rFont val="標楷體"/>
        <family val="4"/>
        <charset val="136"/>
      </rPr>
      <t>水里鄉玉峰村</t>
    </r>
    <r>
      <rPr>
        <sz val="12"/>
        <rFont val="Times New Roman"/>
        <family val="1"/>
      </rPr>
      <t>(</t>
    </r>
    <r>
      <rPr>
        <sz val="12"/>
        <rFont val="標楷體"/>
        <family val="4"/>
        <charset val="136"/>
      </rPr>
      <t>大坑橋</t>
    </r>
    <r>
      <rPr>
        <sz val="12"/>
        <rFont val="Times New Roman"/>
        <family val="1"/>
      </rPr>
      <t>)</t>
    </r>
    <phoneticPr fontId="5" type="noConversion"/>
  </si>
  <si>
    <r>
      <rPr>
        <sz val="12"/>
        <rFont val="標楷體"/>
        <family val="4"/>
        <charset val="136"/>
      </rPr>
      <t>投縣</t>
    </r>
    <r>
      <rPr>
        <sz val="12"/>
        <rFont val="Times New Roman"/>
        <family val="1"/>
      </rPr>
      <t>DF216</t>
    </r>
  </si>
  <si>
    <r>
      <t xml:space="preserve">8 </t>
    </r>
    <r>
      <rPr>
        <sz val="12"/>
        <rFont val="標楷體"/>
        <family val="4"/>
        <charset val="136"/>
      </rPr>
      <t>月</t>
    </r>
    <r>
      <rPr>
        <sz val="12"/>
        <rFont val="Times New Roman"/>
        <family val="1"/>
      </rPr>
      <t xml:space="preserve">9 </t>
    </r>
    <r>
      <rPr>
        <sz val="12"/>
        <rFont val="標楷體"/>
        <family val="4"/>
        <charset val="136"/>
      </rPr>
      <t>日</t>
    </r>
    <r>
      <rPr>
        <sz val="12"/>
        <rFont val="Times New Roman"/>
        <family val="1"/>
      </rPr>
      <t xml:space="preserve">02 </t>
    </r>
    <r>
      <rPr>
        <sz val="12"/>
        <rFont val="標楷體"/>
        <family val="4"/>
        <charset val="136"/>
      </rPr>
      <t>時因莫拉克颱風帶來之超大豪雨導致山頂坡地崩塌，土石順溪流而下並淤積於河道
中。</t>
    </r>
    <r>
      <rPr>
        <sz val="12"/>
        <rFont val="Times New Roman"/>
        <family val="1"/>
      </rPr>
      <t xml:space="preserve">8 </t>
    </r>
    <r>
      <rPr>
        <sz val="12"/>
        <rFont val="標楷體"/>
        <family val="4"/>
        <charset val="136"/>
      </rPr>
      <t>月</t>
    </r>
    <r>
      <rPr>
        <sz val="12"/>
        <rFont val="Times New Roman"/>
        <family val="1"/>
      </rPr>
      <t xml:space="preserve">18 </t>
    </r>
    <r>
      <rPr>
        <sz val="12"/>
        <rFont val="標楷體"/>
        <family val="4"/>
        <charset val="136"/>
      </rPr>
      <t>日</t>
    </r>
    <r>
      <rPr>
        <sz val="12"/>
        <rFont val="Times New Roman"/>
        <family val="1"/>
      </rPr>
      <t xml:space="preserve">17 </t>
    </r>
    <r>
      <rPr>
        <sz val="12"/>
        <rFont val="標楷體"/>
        <family val="4"/>
        <charset val="136"/>
      </rPr>
      <t>時受降雨影響，河道中土石發生流動，堵塞大坑橋橋孔，並造成護岸、防砂壩毀損</t>
    </r>
    <phoneticPr fontId="5" type="noConversion"/>
  </si>
  <si>
    <r>
      <rPr>
        <sz val="12"/>
        <rFont val="標楷體"/>
        <family val="4"/>
        <charset val="136"/>
      </rPr>
      <t>三地門鄉口社村</t>
    </r>
    <r>
      <rPr>
        <sz val="12"/>
        <rFont val="Times New Roman"/>
        <family val="1"/>
      </rPr>
      <t xml:space="preserve"> (</t>
    </r>
    <r>
      <rPr>
        <sz val="12"/>
        <rFont val="標楷體"/>
        <family val="4"/>
        <charset val="136"/>
      </rPr>
      <t>位於</t>
    </r>
    <r>
      <rPr>
        <sz val="12"/>
        <rFont val="Times New Roman"/>
        <family val="1"/>
      </rPr>
      <t xml:space="preserve">185 </t>
    </r>
    <r>
      <rPr>
        <sz val="12"/>
        <rFont val="標楷體"/>
        <family val="4"/>
        <charset val="136"/>
      </rPr>
      <t>線約</t>
    </r>
    <r>
      <rPr>
        <sz val="12"/>
        <rFont val="Times New Roman"/>
        <family val="1"/>
      </rPr>
      <t xml:space="preserve">15.5k </t>
    </r>
    <r>
      <rPr>
        <sz val="12"/>
        <rFont val="標楷體"/>
        <family val="4"/>
        <charset val="136"/>
      </rPr>
      <t>處</t>
    </r>
    <r>
      <rPr>
        <sz val="12"/>
        <rFont val="Times New Roman"/>
        <family val="1"/>
      </rPr>
      <t>)</t>
    </r>
    <phoneticPr fontId="5" type="noConversion"/>
  </si>
  <si>
    <r>
      <rPr>
        <sz val="12"/>
        <rFont val="標楷體"/>
        <family val="4"/>
        <charset val="136"/>
      </rPr>
      <t>口社村</t>
    </r>
  </si>
  <si>
    <r>
      <rPr>
        <sz val="12"/>
        <rFont val="標楷體"/>
        <family val="4"/>
        <charset val="136"/>
      </rPr>
      <t>屏縣</t>
    </r>
    <r>
      <rPr>
        <sz val="12"/>
        <rFont val="Times New Roman"/>
        <family val="1"/>
      </rPr>
      <t>DF010</t>
    </r>
  </si>
  <si>
    <r>
      <rPr>
        <sz val="12"/>
        <rFont val="標楷體"/>
        <family val="4"/>
        <charset val="136"/>
      </rPr>
      <t>屏縣</t>
    </r>
    <r>
      <rPr>
        <sz val="12"/>
        <rFont val="Times New Roman"/>
        <family val="1"/>
      </rPr>
      <t xml:space="preserve">DF010 </t>
    </r>
    <r>
      <rPr>
        <sz val="12"/>
        <rFont val="標楷體"/>
        <family val="4"/>
        <charset val="136"/>
      </rPr>
      <t>土石流潛勢溪流下游與沙溪林道道路交會處，溪流右岸發生土石崩塌，且下游河道遭土石淤埋，並造成土砂漫地流之情形。</t>
    </r>
    <phoneticPr fontId="5" type="noConversion"/>
  </si>
  <si>
    <r>
      <rPr>
        <sz val="12"/>
        <rFont val="標楷體"/>
        <family val="4"/>
        <charset val="136"/>
      </rPr>
      <t>尾寮山</t>
    </r>
    <phoneticPr fontId="5" type="noConversion"/>
  </si>
  <si>
    <r>
      <rPr>
        <sz val="12"/>
        <rFont val="標楷體"/>
        <family val="4"/>
        <charset val="136"/>
      </rPr>
      <t>來義鄉義林村</t>
    </r>
    <r>
      <rPr>
        <sz val="12"/>
        <rFont val="Times New Roman"/>
        <family val="1"/>
      </rPr>
      <t xml:space="preserve"> (</t>
    </r>
    <r>
      <rPr>
        <sz val="12"/>
        <rFont val="標楷體"/>
        <family val="4"/>
        <charset val="136"/>
      </rPr>
      <t>大後社區</t>
    </r>
    <r>
      <rPr>
        <sz val="12"/>
        <rFont val="Times New Roman"/>
        <family val="1"/>
      </rPr>
      <t>)</t>
    </r>
    <phoneticPr fontId="5" type="noConversion"/>
  </si>
  <si>
    <r>
      <rPr>
        <sz val="12"/>
        <rFont val="標楷體"/>
        <family val="4"/>
        <charset val="136"/>
      </rPr>
      <t>來義鄉</t>
    </r>
    <phoneticPr fontId="5" type="noConversion"/>
  </si>
  <si>
    <r>
      <rPr>
        <sz val="12"/>
        <rFont val="標楷體"/>
        <family val="4"/>
        <charset val="136"/>
      </rPr>
      <t>義林村</t>
    </r>
  </si>
  <si>
    <r>
      <rPr>
        <sz val="12"/>
        <rFont val="標楷體"/>
        <family val="4"/>
        <charset val="136"/>
      </rPr>
      <t>大後社區後方坡地發生土石流，土石堵塞箱涵、淤埋道路、果園及</t>
    </r>
    <r>
      <rPr>
        <sz val="12"/>
        <rFont val="Times New Roman"/>
        <family val="1"/>
      </rPr>
      <t>4</t>
    </r>
    <r>
      <rPr>
        <sz val="12"/>
        <rFont val="標楷體"/>
        <family val="4"/>
        <charset val="136"/>
      </rPr>
      <t>戶工寮。</t>
    </r>
    <phoneticPr fontId="5" type="noConversion"/>
  </si>
  <si>
    <t>C1R240</t>
  </si>
  <si>
    <r>
      <rPr>
        <sz val="12"/>
        <rFont val="標楷體"/>
        <family val="4"/>
        <charset val="136"/>
      </rPr>
      <t>來義</t>
    </r>
    <phoneticPr fontId="5" type="noConversion"/>
  </si>
  <si>
    <r>
      <rPr>
        <sz val="12"/>
        <rFont val="標楷體"/>
        <family val="4"/>
        <charset val="136"/>
      </rPr>
      <t>那瑪夏鄉瑪雅村</t>
    </r>
    <r>
      <rPr>
        <sz val="12"/>
        <rFont val="Times New Roman"/>
        <family val="1"/>
      </rPr>
      <t>(</t>
    </r>
    <r>
      <rPr>
        <sz val="12"/>
        <rFont val="標楷體"/>
        <family val="4"/>
        <charset val="136"/>
      </rPr>
      <t>台</t>
    </r>
    <r>
      <rPr>
        <sz val="12"/>
        <rFont val="Times New Roman"/>
        <family val="1"/>
      </rPr>
      <t>21</t>
    </r>
    <r>
      <rPr>
        <sz val="12"/>
        <rFont val="標楷體"/>
        <family val="4"/>
        <charset val="136"/>
      </rPr>
      <t>線月兒橋旁文物館</t>
    </r>
    <r>
      <rPr>
        <sz val="12"/>
        <rFont val="Times New Roman"/>
        <family val="1"/>
      </rPr>
      <t>)</t>
    </r>
    <phoneticPr fontId="5" type="noConversion"/>
  </si>
  <si>
    <r>
      <rPr>
        <sz val="12"/>
        <rFont val="標楷體"/>
        <family val="4"/>
        <charset val="136"/>
      </rPr>
      <t>高市</t>
    </r>
    <r>
      <rPr>
        <sz val="12"/>
        <rFont val="Times New Roman"/>
        <family val="1"/>
      </rPr>
      <t>DF068</t>
    </r>
  </si>
  <si>
    <r>
      <rPr>
        <sz val="12"/>
        <rFont val="標楷體"/>
        <family val="4"/>
        <charset val="136"/>
      </rPr>
      <t>文物館旁野溪於</t>
    </r>
    <r>
      <rPr>
        <sz val="12"/>
        <rFont val="Times New Roman"/>
        <family val="1"/>
      </rPr>
      <t xml:space="preserve">8 </t>
    </r>
    <r>
      <rPr>
        <sz val="12"/>
        <rFont val="標楷體"/>
        <family val="4"/>
        <charset val="136"/>
      </rPr>
      <t>月</t>
    </r>
    <r>
      <rPr>
        <sz val="12"/>
        <rFont val="Times New Roman"/>
        <family val="1"/>
      </rPr>
      <t xml:space="preserve">8 </t>
    </r>
    <r>
      <rPr>
        <sz val="12"/>
        <rFont val="標楷體"/>
        <family val="4"/>
        <charset val="136"/>
      </rPr>
      <t>日下午爆發土石流災害，土石侵入文物館及多處民宅，所幸人員已事前疏散，並未造成人員傷亡。</t>
    </r>
    <phoneticPr fontId="5" type="noConversion"/>
  </si>
  <si>
    <r>
      <rPr>
        <sz val="12"/>
        <rFont val="標楷體"/>
        <family val="4"/>
        <charset val="136"/>
      </rPr>
      <t>民生</t>
    </r>
    <phoneticPr fontId="5" type="noConversion"/>
  </si>
  <si>
    <r>
      <rPr>
        <sz val="12"/>
        <rFont val="標楷體"/>
        <family val="4"/>
        <charset val="136"/>
      </rPr>
      <t>那瑪夏鄉瑪雅村</t>
    </r>
    <r>
      <rPr>
        <sz val="12"/>
        <rFont val="Times New Roman"/>
        <family val="1"/>
      </rPr>
      <t xml:space="preserve"> (</t>
    </r>
    <r>
      <rPr>
        <sz val="12"/>
        <rFont val="標楷體"/>
        <family val="4"/>
        <charset val="136"/>
      </rPr>
      <t>台</t>
    </r>
    <r>
      <rPr>
        <sz val="12"/>
        <rFont val="Times New Roman"/>
        <family val="1"/>
      </rPr>
      <t>21</t>
    </r>
    <r>
      <rPr>
        <sz val="12"/>
        <rFont val="標楷體"/>
        <family val="4"/>
        <charset val="136"/>
      </rPr>
      <t>線三民國中</t>
    </r>
    <r>
      <rPr>
        <sz val="12"/>
        <rFont val="Times New Roman"/>
        <family val="1"/>
      </rPr>
      <t>)</t>
    </r>
    <phoneticPr fontId="5" type="noConversion"/>
  </si>
  <si>
    <r>
      <rPr>
        <sz val="12"/>
        <rFont val="標楷體"/>
        <family val="4"/>
        <charset val="136"/>
      </rPr>
      <t>高市</t>
    </r>
    <r>
      <rPr>
        <sz val="12"/>
        <rFont val="Times New Roman"/>
        <family val="1"/>
      </rPr>
      <t>DF006</t>
    </r>
    <phoneticPr fontId="5" type="noConversion"/>
  </si>
  <si>
    <r>
      <rPr>
        <sz val="12"/>
        <rFont val="標楷體"/>
        <family val="4"/>
        <charset val="136"/>
      </rPr>
      <t>土石流潛勢溪</t>
    </r>
    <r>
      <rPr>
        <sz val="12"/>
        <rFont val="Times New Roman"/>
        <family val="1"/>
      </rPr>
      <t>(</t>
    </r>
    <r>
      <rPr>
        <sz val="12"/>
        <rFont val="標楷體"/>
        <family val="4"/>
        <charset val="136"/>
      </rPr>
      <t>高縣</t>
    </r>
    <r>
      <rPr>
        <sz val="12"/>
        <rFont val="Times New Roman"/>
        <family val="1"/>
      </rPr>
      <t>DF003)</t>
    </r>
    <r>
      <rPr>
        <sz val="12"/>
        <rFont val="標楷體"/>
        <family val="4"/>
        <charset val="136"/>
      </rPr>
      <t>於</t>
    </r>
    <r>
      <rPr>
        <sz val="12"/>
        <rFont val="Times New Roman"/>
        <family val="1"/>
      </rPr>
      <t xml:space="preserve">8 </t>
    </r>
    <r>
      <rPr>
        <sz val="12"/>
        <rFont val="標楷體"/>
        <family val="4"/>
        <charset val="136"/>
      </rPr>
      <t>月</t>
    </r>
    <r>
      <rPr>
        <sz val="12"/>
        <rFont val="Times New Roman"/>
        <family val="1"/>
      </rPr>
      <t>8</t>
    </r>
    <r>
      <rPr>
        <sz val="12"/>
        <rFont val="標楷體"/>
        <family val="4"/>
        <charset val="136"/>
      </rPr>
      <t>日下午爆發土石流災害，土石侵入多處民宅及三民國中，所幸人員已事前疏散，並未造成人員傷亡。</t>
    </r>
    <phoneticPr fontId="5" type="noConversion"/>
  </si>
  <si>
    <t>C1V160</t>
    <phoneticPr fontId="5" type="noConversion"/>
  </si>
  <si>
    <r>
      <rPr>
        <sz val="12"/>
        <rFont val="標楷體"/>
        <family val="4"/>
        <charset val="136"/>
      </rPr>
      <t>甲仙鄉東安村</t>
    </r>
    <r>
      <rPr>
        <sz val="12"/>
        <rFont val="Times New Roman"/>
        <family val="1"/>
      </rPr>
      <t>(</t>
    </r>
    <r>
      <rPr>
        <sz val="12"/>
        <rFont val="標楷體"/>
        <family val="4"/>
        <charset val="136"/>
      </rPr>
      <t>崩坪溪</t>
    </r>
    <r>
      <rPr>
        <sz val="12"/>
        <rFont val="Times New Roman"/>
        <family val="1"/>
      </rPr>
      <t>) (</t>
    </r>
    <r>
      <rPr>
        <sz val="12"/>
        <rFont val="標楷體"/>
        <family val="4"/>
        <charset val="136"/>
      </rPr>
      <t>油礦四號橋</t>
    </r>
    <r>
      <rPr>
        <sz val="12"/>
        <rFont val="Times New Roman"/>
        <family val="1"/>
      </rPr>
      <t>)</t>
    </r>
    <phoneticPr fontId="5" type="noConversion"/>
  </si>
  <si>
    <r>
      <rPr>
        <sz val="12"/>
        <rFont val="標楷體"/>
        <family val="4"/>
        <charset val="136"/>
      </rPr>
      <t>高市</t>
    </r>
    <r>
      <rPr>
        <sz val="12"/>
        <rFont val="Times New Roman"/>
        <family val="1"/>
      </rPr>
      <t>DF020</t>
    </r>
    <phoneticPr fontId="5" type="noConversion"/>
  </si>
  <si>
    <r>
      <rPr>
        <sz val="12"/>
        <rFont val="標楷體"/>
        <family val="4"/>
        <charset val="136"/>
      </rPr>
      <t>高雄縣甲仙鄉崩坪溪</t>
    </r>
    <r>
      <rPr>
        <sz val="12"/>
        <rFont val="Times New Roman"/>
        <family val="1"/>
      </rPr>
      <t>(</t>
    </r>
    <r>
      <rPr>
        <sz val="12"/>
        <rFont val="標楷體"/>
        <family val="4"/>
        <charset val="136"/>
      </rPr>
      <t>高縣</t>
    </r>
    <r>
      <rPr>
        <sz val="12"/>
        <rFont val="Times New Roman"/>
        <family val="1"/>
      </rPr>
      <t>DF017)</t>
    </r>
    <r>
      <rPr>
        <sz val="12"/>
        <rFont val="標楷體"/>
        <family val="4"/>
        <charset val="136"/>
      </rPr>
      <t>於</t>
    </r>
    <r>
      <rPr>
        <sz val="12"/>
        <rFont val="Times New Roman"/>
        <family val="1"/>
      </rPr>
      <t xml:space="preserve">8 </t>
    </r>
    <r>
      <rPr>
        <sz val="12"/>
        <rFont val="標楷體"/>
        <family val="4"/>
        <charset val="136"/>
      </rPr>
      <t>月</t>
    </r>
    <r>
      <rPr>
        <sz val="12"/>
        <rFont val="Times New Roman"/>
        <family val="1"/>
      </rPr>
      <t xml:space="preserve">8 </t>
    </r>
    <r>
      <rPr>
        <sz val="12"/>
        <rFont val="標楷體"/>
        <family val="4"/>
        <charset val="136"/>
      </rPr>
      <t>日晚間爆發土石流，沖毀並掩埋溪畔產業道路、護岸及多戶民宅，且大量土石並淤埋堵塞河道內。</t>
    </r>
    <phoneticPr fontId="5" type="noConversion"/>
  </si>
  <si>
    <r>
      <rPr>
        <sz val="12"/>
        <rFont val="標楷體"/>
        <family val="4"/>
        <charset val="136"/>
      </rPr>
      <t>杉林鄉集來村</t>
    </r>
    <r>
      <rPr>
        <sz val="12"/>
        <rFont val="Times New Roman"/>
        <family val="1"/>
      </rPr>
      <t>(</t>
    </r>
    <r>
      <rPr>
        <sz val="12"/>
        <rFont val="標楷體"/>
        <family val="4"/>
        <charset val="136"/>
      </rPr>
      <t>火山橋</t>
    </r>
    <r>
      <rPr>
        <sz val="12"/>
        <rFont val="Times New Roman"/>
        <family val="1"/>
      </rPr>
      <t>) (</t>
    </r>
    <r>
      <rPr>
        <sz val="12"/>
        <rFont val="標楷體"/>
        <family val="4"/>
        <charset val="136"/>
      </rPr>
      <t>台</t>
    </r>
    <r>
      <rPr>
        <sz val="12"/>
        <rFont val="Times New Roman"/>
        <family val="1"/>
      </rPr>
      <t>21</t>
    </r>
    <r>
      <rPr>
        <sz val="12"/>
        <rFont val="標楷體"/>
        <family val="4"/>
        <charset val="136"/>
      </rPr>
      <t>線約</t>
    </r>
    <r>
      <rPr>
        <sz val="12"/>
        <rFont val="Times New Roman"/>
        <family val="1"/>
      </rPr>
      <t>249K</t>
    </r>
    <r>
      <rPr>
        <sz val="12"/>
        <rFont val="標楷體"/>
        <family val="4"/>
        <charset val="136"/>
      </rPr>
      <t>處</t>
    </r>
    <r>
      <rPr>
        <sz val="12"/>
        <rFont val="Times New Roman"/>
        <family val="1"/>
      </rPr>
      <t>)</t>
    </r>
    <phoneticPr fontId="5" type="noConversion"/>
  </si>
  <si>
    <r>
      <rPr>
        <sz val="12"/>
        <rFont val="標楷體"/>
        <family val="4"/>
        <charset val="136"/>
      </rPr>
      <t>集來里</t>
    </r>
  </si>
  <si>
    <r>
      <rPr>
        <sz val="12"/>
        <rFont val="標楷體"/>
        <family val="4"/>
        <charset val="136"/>
      </rPr>
      <t>高市</t>
    </r>
    <r>
      <rPr>
        <sz val="12"/>
        <rFont val="Times New Roman"/>
        <family val="1"/>
      </rPr>
      <t>DF072</t>
    </r>
    <phoneticPr fontId="5" type="noConversion"/>
  </si>
  <si>
    <r>
      <t xml:space="preserve">8 </t>
    </r>
    <r>
      <rPr>
        <sz val="12"/>
        <rFont val="標楷體"/>
        <family val="4"/>
        <charset val="136"/>
      </rPr>
      <t>月</t>
    </r>
    <r>
      <rPr>
        <sz val="12"/>
        <rFont val="Times New Roman"/>
        <family val="1"/>
      </rPr>
      <t xml:space="preserve">9 </t>
    </r>
    <r>
      <rPr>
        <sz val="12"/>
        <rFont val="標楷體"/>
        <family val="4"/>
        <charset val="136"/>
      </rPr>
      <t>日清晨爆發土石流，土石侵入多處民宅，所幸人員已事前疏散，並未造成人員傷亡。</t>
    </r>
    <phoneticPr fontId="5" type="noConversion"/>
  </si>
  <si>
    <r>
      <rPr>
        <sz val="12"/>
        <rFont val="標楷體"/>
        <family val="4"/>
        <charset val="136"/>
      </rPr>
      <t>六龜鄉大津村</t>
    </r>
    <r>
      <rPr>
        <sz val="12"/>
        <rFont val="Times New Roman"/>
        <family val="1"/>
      </rPr>
      <t>(</t>
    </r>
    <r>
      <rPr>
        <sz val="12"/>
        <rFont val="標楷體"/>
        <family val="4"/>
        <charset val="136"/>
      </rPr>
      <t>津鳳宮</t>
    </r>
    <r>
      <rPr>
        <sz val="12"/>
        <rFont val="Times New Roman"/>
        <family val="1"/>
      </rPr>
      <t>)</t>
    </r>
    <phoneticPr fontId="5" type="noConversion"/>
  </si>
  <si>
    <r>
      <rPr>
        <sz val="12"/>
        <rFont val="標楷體"/>
        <family val="4"/>
        <charset val="136"/>
      </rPr>
      <t>舊崩塌地遭大雨沖蝕，土石再次淤埋防砂壩，大量土石沿高縣</t>
    </r>
    <r>
      <rPr>
        <sz val="12"/>
        <rFont val="Times New Roman"/>
        <family val="1"/>
      </rPr>
      <t xml:space="preserve">DF046 </t>
    </r>
    <r>
      <rPr>
        <sz val="12"/>
        <rFont val="標楷體"/>
        <family val="4"/>
        <charset val="136"/>
      </rPr>
      <t>及津鳳宮後方沖蝕溝傾瀉而下，所幸並無人傷亡。</t>
    </r>
    <phoneticPr fontId="5" type="noConversion"/>
  </si>
  <si>
    <r>
      <rPr>
        <sz val="12"/>
        <rFont val="標楷體"/>
        <family val="4"/>
        <charset val="136"/>
      </rPr>
      <t>六龜鄉新發村</t>
    </r>
    <r>
      <rPr>
        <sz val="12"/>
        <rFont val="Times New Roman"/>
        <family val="1"/>
      </rPr>
      <t xml:space="preserve">(6 </t>
    </r>
    <r>
      <rPr>
        <sz val="12"/>
        <rFont val="標楷體"/>
        <family val="4"/>
        <charset val="136"/>
      </rPr>
      <t>鄰</t>
    </r>
    <r>
      <rPr>
        <sz val="12"/>
        <rFont val="Times New Roman"/>
        <family val="1"/>
      </rPr>
      <t>)</t>
    </r>
  </si>
  <si>
    <r>
      <rPr>
        <sz val="12"/>
        <rFont val="標楷體"/>
        <family val="4"/>
        <charset val="136"/>
      </rPr>
      <t>高市</t>
    </r>
    <r>
      <rPr>
        <sz val="12"/>
        <rFont val="Times New Roman"/>
        <family val="1"/>
      </rPr>
      <t>DF108</t>
    </r>
    <phoneticPr fontId="5" type="noConversion"/>
  </si>
  <si>
    <r>
      <rPr>
        <sz val="12"/>
        <rFont val="標楷體"/>
        <family val="4"/>
        <charset val="136"/>
      </rPr>
      <t>因莫拉克颱風所挾帶豪雨，六龜鄉新發村</t>
    </r>
    <r>
      <rPr>
        <sz val="12"/>
        <rFont val="Times New Roman"/>
        <family val="1"/>
      </rPr>
      <t xml:space="preserve">6 </t>
    </r>
    <r>
      <rPr>
        <sz val="12"/>
        <rFont val="標楷體"/>
        <family val="4"/>
        <charset val="136"/>
      </rPr>
      <t>鄰後方大規模崩塌，多戶民宅遭流出土石掩埋或摧毀。</t>
    </r>
    <phoneticPr fontId="5" type="noConversion"/>
  </si>
  <si>
    <r>
      <rPr>
        <sz val="12"/>
        <rFont val="標楷體"/>
        <family val="4"/>
        <charset val="136"/>
      </rPr>
      <t>六龜鄉寶來村</t>
    </r>
    <r>
      <rPr>
        <sz val="12"/>
        <rFont val="Times New Roman"/>
        <family val="1"/>
      </rPr>
      <t>(</t>
    </r>
    <r>
      <rPr>
        <sz val="12"/>
        <rFont val="標楷體"/>
        <family val="4"/>
        <charset val="136"/>
      </rPr>
      <t>五龍宮</t>
    </r>
    <r>
      <rPr>
        <sz val="12"/>
        <rFont val="Times New Roman"/>
        <family val="1"/>
      </rPr>
      <t>) (</t>
    </r>
    <r>
      <rPr>
        <sz val="12"/>
        <rFont val="標楷體"/>
        <family val="4"/>
        <charset val="136"/>
      </rPr>
      <t>台</t>
    </r>
    <r>
      <rPr>
        <sz val="12"/>
        <rFont val="Times New Roman"/>
        <family val="1"/>
      </rPr>
      <t>20</t>
    </r>
    <r>
      <rPr>
        <sz val="12"/>
        <rFont val="標楷體"/>
        <family val="4"/>
        <charset val="136"/>
      </rPr>
      <t>線轉入寶建路約</t>
    </r>
    <r>
      <rPr>
        <sz val="12"/>
        <rFont val="Times New Roman"/>
        <family val="1"/>
      </rPr>
      <t>200</t>
    </r>
    <r>
      <rPr>
        <sz val="12"/>
        <rFont val="標楷體"/>
        <family val="4"/>
        <charset val="136"/>
      </rPr>
      <t>公尺處</t>
    </r>
    <r>
      <rPr>
        <sz val="12"/>
        <rFont val="Times New Roman"/>
        <family val="1"/>
      </rPr>
      <t>)</t>
    </r>
    <phoneticPr fontId="5" type="noConversion"/>
  </si>
  <si>
    <r>
      <rPr>
        <sz val="12"/>
        <rFont val="標楷體"/>
        <family val="4"/>
        <charset val="136"/>
      </rPr>
      <t>寶來村五龍宮後方既有崩塌地，因莫拉克颱風挾帶豪雨造成崩塌範圍持續擴大，大量土石沿土石流潛勢溪流</t>
    </r>
    <r>
      <rPr>
        <sz val="12"/>
        <rFont val="Times New Roman"/>
        <family val="1"/>
      </rPr>
      <t>(</t>
    </r>
    <r>
      <rPr>
        <sz val="12"/>
        <rFont val="標楷體"/>
        <family val="4"/>
        <charset val="136"/>
      </rPr>
      <t>高縣</t>
    </r>
    <r>
      <rPr>
        <sz val="12"/>
        <rFont val="Times New Roman"/>
        <family val="1"/>
      </rPr>
      <t>DF043)</t>
    </r>
    <r>
      <rPr>
        <sz val="12"/>
        <rFont val="標楷體"/>
        <family val="4"/>
        <charset val="136"/>
      </rPr>
      <t>衝出，掩埋下游處之五龍宮與兩戶民宅，並阻斷寶建路及台估計達約</t>
    </r>
    <r>
      <rPr>
        <sz val="12"/>
        <rFont val="Times New Roman"/>
        <family val="1"/>
      </rPr>
      <t xml:space="preserve">3 </t>
    </r>
    <r>
      <rPr>
        <sz val="12"/>
        <rFont val="標楷體"/>
        <family val="4"/>
        <charset val="136"/>
      </rPr>
      <t>萬立方公尺。</t>
    </r>
    <phoneticPr fontId="5" type="noConversion"/>
  </si>
  <si>
    <r>
      <rPr>
        <sz val="12"/>
        <rFont val="標楷體"/>
        <family val="4"/>
        <charset val="136"/>
      </rPr>
      <t>桃源鄉建山村</t>
    </r>
    <r>
      <rPr>
        <sz val="12"/>
        <rFont val="Times New Roman"/>
        <family val="1"/>
      </rPr>
      <t>(</t>
    </r>
    <r>
      <rPr>
        <sz val="12"/>
        <rFont val="標楷體"/>
        <family val="4"/>
        <charset val="136"/>
      </rPr>
      <t>建山二橋</t>
    </r>
    <r>
      <rPr>
        <sz val="12"/>
        <rFont val="Times New Roman"/>
        <family val="1"/>
      </rPr>
      <t>) (</t>
    </r>
    <r>
      <rPr>
        <sz val="12"/>
        <rFont val="標楷體"/>
        <family val="4"/>
        <charset val="136"/>
      </rPr>
      <t>位於台</t>
    </r>
    <r>
      <rPr>
        <sz val="12"/>
        <rFont val="Times New Roman"/>
        <family val="1"/>
      </rPr>
      <t>20</t>
    </r>
    <r>
      <rPr>
        <sz val="12"/>
        <rFont val="標楷體"/>
        <family val="4"/>
        <charset val="136"/>
      </rPr>
      <t>線約</t>
    </r>
    <r>
      <rPr>
        <sz val="12"/>
        <rFont val="Times New Roman"/>
        <family val="1"/>
      </rPr>
      <t>78.4k</t>
    </r>
    <r>
      <rPr>
        <sz val="12"/>
        <rFont val="標楷體"/>
        <family val="4"/>
        <charset val="136"/>
      </rPr>
      <t>處</t>
    </r>
    <r>
      <rPr>
        <sz val="12"/>
        <rFont val="Times New Roman"/>
        <family val="1"/>
      </rPr>
      <t>)</t>
    </r>
    <phoneticPr fontId="5" type="noConversion"/>
  </si>
  <si>
    <r>
      <rPr>
        <sz val="12"/>
        <rFont val="標楷體"/>
        <family val="4"/>
        <charset val="136"/>
      </rPr>
      <t>高市</t>
    </r>
    <r>
      <rPr>
        <sz val="12"/>
        <rFont val="Times New Roman"/>
        <family val="1"/>
      </rPr>
      <t>DF064</t>
    </r>
    <phoneticPr fontId="5" type="noConversion"/>
  </si>
  <si>
    <r>
      <rPr>
        <sz val="12"/>
        <rFont val="標楷體"/>
        <family val="4"/>
        <charset val="136"/>
      </rPr>
      <t>台</t>
    </r>
    <r>
      <rPr>
        <sz val="12"/>
        <rFont val="Times New Roman"/>
        <family val="1"/>
      </rPr>
      <t xml:space="preserve">20 </t>
    </r>
    <r>
      <rPr>
        <sz val="12"/>
        <rFont val="標楷體"/>
        <family val="4"/>
        <charset val="136"/>
      </rPr>
      <t>線建山二橋處之野溪</t>
    </r>
    <r>
      <rPr>
        <sz val="12"/>
        <rFont val="Times New Roman"/>
        <family val="1"/>
      </rPr>
      <t>(</t>
    </r>
    <r>
      <rPr>
        <sz val="12"/>
        <rFont val="標楷體"/>
        <family val="4"/>
        <charset val="136"/>
      </rPr>
      <t>高縣</t>
    </r>
    <r>
      <rPr>
        <sz val="12"/>
        <rFont val="Times New Roman"/>
        <family val="1"/>
      </rPr>
      <t>DF061)</t>
    </r>
    <r>
      <rPr>
        <sz val="12"/>
        <rFont val="標楷體"/>
        <family val="4"/>
        <charset val="136"/>
      </rPr>
      <t>於莫拉克颱風期間爆發土石流，造成建山二橋遭沖毀及台</t>
    </r>
    <r>
      <rPr>
        <sz val="12"/>
        <rFont val="Times New Roman"/>
        <family val="1"/>
      </rPr>
      <t xml:space="preserve">20 </t>
    </r>
    <r>
      <rPr>
        <sz val="12"/>
        <rFont val="標楷體"/>
        <family val="4"/>
        <charset val="136"/>
      </rPr>
      <t>線交通中斷，且大量土石堆積於下游匯流入荖濃溪河口處。因荖濃溪主河道受野溪流出土石之擠壓，引致荖濃溪洪流改衝擊向左岸，造成台</t>
    </r>
    <r>
      <rPr>
        <sz val="12"/>
        <rFont val="Times New Roman"/>
        <family val="1"/>
      </rPr>
      <t xml:space="preserve">20 </t>
    </r>
    <r>
      <rPr>
        <sz val="12"/>
        <rFont val="標楷體"/>
        <family val="4"/>
        <charset val="136"/>
      </rPr>
      <t>線對岸之邊坡崩塌，以及高</t>
    </r>
    <r>
      <rPr>
        <sz val="12"/>
        <rFont val="Times New Roman"/>
        <family val="1"/>
      </rPr>
      <t xml:space="preserve">133 </t>
    </r>
    <r>
      <rPr>
        <sz val="12"/>
        <rFont val="標楷體"/>
        <family val="4"/>
        <charset val="136"/>
      </rPr>
      <t>線道路中斷。</t>
    </r>
    <phoneticPr fontId="5" type="noConversion"/>
  </si>
  <si>
    <r>
      <rPr>
        <sz val="12"/>
        <rFont val="標楷體"/>
        <family val="4"/>
        <charset val="136"/>
      </rPr>
      <t>復興</t>
    </r>
    <phoneticPr fontId="5" type="noConversion"/>
  </si>
  <si>
    <r>
      <rPr>
        <sz val="12"/>
        <rFont val="標楷體"/>
        <family val="4"/>
        <charset val="136"/>
      </rPr>
      <t>阿里山鄉來吉村</t>
    </r>
    <r>
      <rPr>
        <sz val="12"/>
        <rFont val="Times New Roman"/>
        <family val="1"/>
      </rPr>
      <t>(</t>
    </r>
    <r>
      <rPr>
        <sz val="12"/>
        <rFont val="標楷體"/>
        <family val="4"/>
        <charset val="136"/>
      </rPr>
      <t>來吉國小</t>
    </r>
    <r>
      <rPr>
        <sz val="12"/>
        <rFont val="Times New Roman"/>
        <family val="1"/>
      </rPr>
      <t>)</t>
    </r>
    <phoneticPr fontId="5" type="noConversion"/>
  </si>
  <si>
    <r>
      <rPr>
        <sz val="12"/>
        <rFont val="標楷體"/>
        <family val="4"/>
        <charset val="136"/>
      </rPr>
      <t>阿里山鄉</t>
    </r>
  </si>
  <si>
    <r>
      <rPr>
        <sz val="12"/>
        <rFont val="標楷體"/>
        <family val="4"/>
        <charset val="136"/>
      </rPr>
      <t>來吉村</t>
    </r>
  </si>
  <si>
    <r>
      <rPr>
        <sz val="12"/>
        <rFont val="標楷體"/>
        <family val="4"/>
        <charset val="136"/>
      </rPr>
      <t>來吉國小後方野溪爆發土石流，來吉國小內土石堆積約</t>
    </r>
    <r>
      <rPr>
        <sz val="12"/>
        <rFont val="Times New Roman"/>
        <family val="1"/>
      </rPr>
      <t xml:space="preserve">1~2m </t>
    </r>
    <r>
      <rPr>
        <sz val="12"/>
        <rFont val="標楷體"/>
        <family val="4"/>
        <charset val="136"/>
      </rPr>
      <t>高。來吉村自</t>
    </r>
    <r>
      <rPr>
        <sz val="12"/>
        <rFont val="Times New Roman"/>
        <family val="1"/>
      </rPr>
      <t xml:space="preserve">8/7 </t>
    </r>
    <r>
      <rPr>
        <sz val="12"/>
        <rFont val="標楷體"/>
        <family val="4"/>
        <charset val="136"/>
      </rPr>
      <t>即停電、停水、市話停話，聯外橋梁中斷出入須暫行河床臨時便道。</t>
    </r>
    <phoneticPr fontId="5" type="noConversion"/>
  </si>
  <si>
    <r>
      <rPr>
        <sz val="12"/>
        <rFont val="標楷體"/>
        <family val="4"/>
        <charset val="136"/>
      </rPr>
      <t>豐山</t>
    </r>
    <phoneticPr fontId="5" type="noConversion"/>
  </si>
  <si>
    <r>
      <rPr>
        <sz val="12"/>
        <rFont val="標楷體"/>
        <family val="4"/>
        <charset val="136"/>
      </rPr>
      <t>阿里山鄉來吉村</t>
    </r>
    <r>
      <rPr>
        <sz val="12"/>
        <rFont val="Times New Roman"/>
        <family val="1"/>
      </rPr>
      <t>(</t>
    </r>
    <r>
      <rPr>
        <sz val="12"/>
        <rFont val="標楷體"/>
        <family val="4"/>
        <charset val="136"/>
      </rPr>
      <t>內來吉</t>
    </r>
    <r>
      <rPr>
        <sz val="12"/>
        <rFont val="Times New Roman"/>
        <family val="1"/>
      </rPr>
      <t>-</t>
    </r>
    <r>
      <rPr>
        <sz val="12"/>
        <rFont val="標楷體"/>
        <family val="4"/>
        <charset val="136"/>
      </rPr>
      <t>來吉橋</t>
    </r>
    <r>
      <rPr>
        <sz val="12"/>
        <rFont val="Times New Roman"/>
        <family val="1"/>
      </rPr>
      <t>)</t>
    </r>
    <phoneticPr fontId="5" type="noConversion"/>
  </si>
  <si>
    <r>
      <t>􀀹</t>
    </r>
    <r>
      <rPr>
        <sz val="12"/>
        <rFont val="標楷體"/>
        <family val="4"/>
        <charset val="136"/>
      </rPr>
      <t>阿里山溪爆發土石流，挾帶土石掩埋右岸來吉村</t>
    </r>
    <r>
      <rPr>
        <sz val="12"/>
        <rFont val="Times New Roman"/>
        <family val="1"/>
      </rPr>
      <t xml:space="preserve">1 </t>
    </r>
    <r>
      <rPr>
        <sz val="12"/>
        <rFont val="標楷體"/>
        <family val="4"/>
        <charset val="136"/>
      </rPr>
      <t>鄰農地約</t>
    </r>
    <r>
      <rPr>
        <sz val="12"/>
        <rFont val="Times New Roman"/>
        <family val="1"/>
      </rPr>
      <t xml:space="preserve">4.2 </t>
    </r>
    <r>
      <rPr>
        <sz val="12"/>
        <rFont val="標楷體"/>
        <family val="4"/>
        <charset val="136"/>
      </rPr>
      <t>公頃，並損毀嘉</t>
    </r>
    <r>
      <rPr>
        <sz val="12"/>
        <rFont val="Times New Roman"/>
        <family val="1"/>
      </rPr>
      <t xml:space="preserve">155 </t>
    </r>
    <r>
      <rPr>
        <sz val="12"/>
        <rFont val="標楷體"/>
        <family val="4"/>
        <charset val="136"/>
      </rPr>
      <t>線道路
約</t>
    </r>
    <r>
      <rPr>
        <sz val="12"/>
        <rFont val="Times New Roman"/>
        <family val="1"/>
      </rPr>
      <t xml:space="preserve">200 </t>
    </r>
    <r>
      <rPr>
        <sz val="12"/>
        <rFont val="標楷體"/>
        <family val="4"/>
        <charset val="136"/>
      </rPr>
      <t>公尺及沖毀來吉橋，造成來吉村往阿里山方向交通中斷。土石泥流沿嘉</t>
    </r>
    <r>
      <rPr>
        <sz val="12"/>
        <rFont val="Times New Roman"/>
        <family val="1"/>
      </rPr>
      <t xml:space="preserve">155 </t>
    </r>
    <r>
      <rPr>
        <sz val="12"/>
        <rFont val="標楷體"/>
        <family val="4"/>
        <charset val="136"/>
      </rPr>
      <t>線道路竄流並侵入民宅，造成內來吉民宅全毀</t>
    </r>
    <r>
      <rPr>
        <sz val="12"/>
        <rFont val="Times New Roman"/>
        <family val="1"/>
      </rPr>
      <t xml:space="preserve">4 </t>
    </r>
    <r>
      <rPr>
        <sz val="12"/>
        <rFont val="標楷體"/>
        <family val="4"/>
        <charset val="136"/>
      </rPr>
      <t>棟、半毀</t>
    </r>
    <r>
      <rPr>
        <sz val="12"/>
        <rFont val="Times New Roman"/>
        <family val="1"/>
      </rPr>
      <t xml:space="preserve">2 </t>
    </r>
    <r>
      <rPr>
        <sz val="12"/>
        <rFont val="標楷體"/>
        <family val="4"/>
        <charset val="136"/>
      </rPr>
      <t>棟。</t>
    </r>
    <phoneticPr fontId="5" type="noConversion"/>
  </si>
  <si>
    <r>
      <rPr>
        <sz val="12"/>
        <rFont val="標楷體"/>
        <family val="4"/>
        <charset val="136"/>
      </rPr>
      <t>中埔鄉中崙村</t>
    </r>
    <r>
      <rPr>
        <sz val="12"/>
        <rFont val="Times New Roman"/>
        <family val="1"/>
      </rPr>
      <t>(</t>
    </r>
    <r>
      <rPr>
        <sz val="12"/>
        <rFont val="標楷體"/>
        <family val="4"/>
        <charset val="136"/>
      </rPr>
      <t>台</t>
    </r>
    <r>
      <rPr>
        <sz val="12"/>
        <rFont val="Times New Roman"/>
        <family val="1"/>
      </rPr>
      <t xml:space="preserve">3 </t>
    </r>
    <r>
      <rPr>
        <sz val="12"/>
        <rFont val="標楷體"/>
        <family val="4"/>
        <charset val="136"/>
      </rPr>
      <t>線中崙四號橋</t>
    </r>
    <r>
      <rPr>
        <sz val="12"/>
        <rFont val="Times New Roman"/>
        <family val="1"/>
      </rPr>
      <t>)</t>
    </r>
    <phoneticPr fontId="5" type="noConversion"/>
  </si>
  <si>
    <r>
      <rPr>
        <sz val="12"/>
        <rFont val="標楷體"/>
        <family val="4"/>
        <charset val="136"/>
      </rPr>
      <t>嘉縣</t>
    </r>
    <r>
      <rPr>
        <sz val="12"/>
        <rFont val="Times New Roman"/>
        <family val="1"/>
      </rPr>
      <t>DF051</t>
    </r>
    <phoneticPr fontId="5" type="noConversion"/>
  </si>
  <si>
    <r>
      <rPr>
        <sz val="12"/>
        <rFont val="標楷體"/>
        <family val="4"/>
        <charset val="136"/>
      </rPr>
      <t>上游土石沿既有河道傾洩而下，衝毀右岸民宅。橋梁上游及左岸山壁多處崩塌，河道遭淤埋，中崙四號橋遭沖毀。</t>
    </r>
    <phoneticPr fontId="5" type="noConversion"/>
  </si>
  <si>
    <r>
      <t xml:space="preserve">8 </t>
    </r>
    <r>
      <rPr>
        <sz val="12"/>
        <rFont val="標楷體"/>
        <family val="4"/>
        <charset val="136"/>
      </rPr>
      <t>鄰檜木巷</t>
    </r>
    <r>
      <rPr>
        <sz val="12"/>
        <rFont val="Times New Roman"/>
        <family val="1"/>
      </rPr>
      <t xml:space="preserve"> 63 </t>
    </r>
    <r>
      <rPr>
        <sz val="12"/>
        <rFont val="標楷體"/>
        <family val="4"/>
        <charset val="136"/>
      </rPr>
      <t>號</t>
    </r>
  </si>
  <si>
    <r>
      <rPr>
        <sz val="12"/>
        <rFont val="標楷體"/>
        <family val="4"/>
        <charset val="136"/>
      </rPr>
      <t>望美村</t>
    </r>
  </si>
  <si>
    <r>
      <rPr>
        <sz val="12"/>
        <rFont val="標楷體"/>
        <family val="4"/>
        <charset val="136"/>
      </rPr>
      <t>投縣</t>
    </r>
    <r>
      <rPr>
        <sz val="12"/>
        <rFont val="Times New Roman"/>
        <family val="1"/>
      </rPr>
      <t>DF223</t>
    </r>
  </si>
  <si>
    <r>
      <t xml:space="preserve">8 </t>
    </r>
    <r>
      <rPr>
        <sz val="12"/>
        <rFont val="標楷體"/>
        <family val="4"/>
        <charset val="136"/>
      </rPr>
      <t>月</t>
    </r>
    <r>
      <rPr>
        <sz val="12"/>
        <rFont val="Times New Roman"/>
        <family val="1"/>
      </rPr>
      <t xml:space="preserve"> 9 </t>
    </r>
    <r>
      <rPr>
        <sz val="12"/>
        <rFont val="標楷體"/>
        <family val="4"/>
        <charset val="136"/>
      </rPr>
      <t>日</t>
    </r>
    <r>
      <rPr>
        <sz val="12"/>
        <rFont val="Times New Roman"/>
        <family val="1"/>
      </rPr>
      <t xml:space="preserve"> 02 </t>
    </r>
    <r>
      <rPr>
        <sz val="12"/>
        <rFont val="標楷體"/>
        <family val="4"/>
        <charset val="136"/>
      </rPr>
      <t>時倉庫溪山洪爆發，洪水沖刷導致羅美橋上游河岸發生崩塌，土石混合溪水形成土石流沖刷而下，造成民宅掩埋、道路中斷與農園損毀的災害。前期工程所施作之構造物多已被淹埋，與陳有蘭溪主流銜接處護岸與固床工被沖毀。</t>
    </r>
    <phoneticPr fontId="5" type="noConversion"/>
  </si>
  <si>
    <r>
      <rPr>
        <sz val="12"/>
        <rFont val="標楷體"/>
        <family val="4"/>
        <charset val="136"/>
      </rPr>
      <t>豐丘</t>
    </r>
    <phoneticPr fontId="5" type="noConversion"/>
  </si>
  <si>
    <r>
      <rPr>
        <sz val="12"/>
        <rFont val="標楷體"/>
        <family val="4"/>
        <charset val="136"/>
      </rPr>
      <t>民和巷</t>
    </r>
    <r>
      <rPr>
        <sz val="12"/>
        <rFont val="Times New Roman"/>
        <family val="1"/>
      </rPr>
      <t xml:space="preserve"> 57-1 </t>
    </r>
    <r>
      <rPr>
        <sz val="12"/>
        <rFont val="標楷體"/>
        <family val="4"/>
        <charset val="136"/>
      </rPr>
      <t>號、</t>
    </r>
    <r>
      <rPr>
        <sz val="12"/>
        <rFont val="Times New Roman"/>
        <family val="1"/>
      </rPr>
      <t xml:space="preserve">57-7 </t>
    </r>
    <r>
      <rPr>
        <sz val="12"/>
        <rFont val="標楷體"/>
        <family val="4"/>
        <charset val="136"/>
      </rPr>
      <t>號及</t>
    </r>
    <r>
      <rPr>
        <sz val="12"/>
        <rFont val="Times New Roman"/>
        <family val="1"/>
      </rPr>
      <t xml:space="preserve"> 57-8 </t>
    </r>
    <r>
      <rPr>
        <sz val="12"/>
        <rFont val="標楷體"/>
        <family val="4"/>
        <charset val="136"/>
      </rPr>
      <t>號</t>
    </r>
    <r>
      <rPr>
        <sz val="12"/>
        <rFont val="Times New Roman"/>
        <family val="1"/>
      </rPr>
      <t>(</t>
    </r>
    <r>
      <rPr>
        <sz val="12"/>
        <rFont val="標楷體"/>
        <family val="4"/>
        <charset val="136"/>
      </rPr>
      <t>隆華高枝</t>
    </r>
    <r>
      <rPr>
        <sz val="12"/>
        <rFont val="Times New Roman"/>
        <family val="1"/>
      </rPr>
      <t xml:space="preserve"> 18 </t>
    </r>
    <r>
      <rPr>
        <sz val="12"/>
        <rFont val="標楷體"/>
        <family val="4"/>
        <charset val="136"/>
      </rPr>
      <t>號電桿</t>
    </r>
    <r>
      <rPr>
        <sz val="12"/>
        <rFont val="Times New Roman"/>
        <family val="1"/>
      </rPr>
      <t>)</t>
    </r>
    <phoneticPr fontId="5" type="noConversion"/>
  </si>
  <si>
    <r>
      <rPr>
        <sz val="12"/>
        <rFont val="標楷體"/>
        <family val="4"/>
        <charset val="136"/>
      </rPr>
      <t>神木村</t>
    </r>
  </si>
  <si>
    <r>
      <rPr>
        <sz val="12"/>
        <rFont val="標楷體"/>
        <family val="4"/>
        <charset val="136"/>
      </rPr>
      <t>因頭坑溪爆發土石流，土石擠壓和社溪主流，造成位於民和巷和社溪河道旁之民宅，住宅基礎遭嚴重沖刷，台</t>
    </r>
    <r>
      <rPr>
        <sz val="12"/>
        <rFont val="Times New Roman"/>
        <family val="1"/>
      </rPr>
      <t xml:space="preserve"> 21 </t>
    </r>
    <r>
      <rPr>
        <sz val="12"/>
        <rFont val="標楷體"/>
        <family val="4"/>
        <charset val="136"/>
      </rPr>
      <t>線沿線下邊坡亦遭溪水淘刷，路基毀損。</t>
    </r>
    <phoneticPr fontId="5" type="noConversion"/>
  </si>
  <si>
    <r>
      <rPr>
        <sz val="12"/>
        <rFont val="標楷體"/>
        <family val="4"/>
        <charset val="136"/>
      </rPr>
      <t>神木村</t>
    </r>
    <phoneticPr fontId="5" type="noConversion"/>
  </si>
  <si>
    <r>
      <rPr>
        <sz val="12"/>
        <rFont val="標楷體"/>
        <family val="4"/>
        <charset val="136"/>
      </rPr>
      <t>神木村</t>
    </r>
    <r>
      <rPr>
        <sz val="12"/>
        <rFont val="Times New Roman"/>
        <family val="1"/>
      </rPr>
      <t xml:space="preserve">8~10 </t>
    </r>
    <r>
      <rPr>
        <sz val="12"/>
        <rFont val="標楷體"/>
        <family val="4"/>
        <charset val="136"/>
      </rPr>
      <t>鄰神木大橋</t>
    </r>
    <r>
      <rPr>
        <sz val="12"/>
        <rFont val="Times New Roman"/>
        <family val="1"/>
      </rPr>
      <t>(</t>
    </r>
    <r>
      <rPr>
        <sz val="12"/>
        <rFont val="標楷體"/>
        <family val="4"/>
        <charset val="136"/>
      </rPr>
      <t>神木大橋</t>
    </r>
    <r>
      <rPr>
        <sz val="12"/>
        <rFont val="Times New Roman"/>
        <family val="1"/>
      </rPr>
      <t>)</t>
    </r>
    <phoneticPr fontId="5" type="noConversion"/>
  </si>
  <si>
    <r>
      <rPr>
        <sz val="12"/>
        <rFont val="標楷體"/>
        <family val="4"/>
        <charset val="136"/>
      </rPr>
      <t>投縣</t>
    </r>
    <r>
      <rPr>
        <sz val="12"/>
        <rFont val="Times New Roman"/>
        <family val="1"/>
      </rPr>
      <t>DF226</t>
    </r>
    <phoneticPr fontId="5" type="noConversion"/>
  </si>
  <si>
    <r>
      <rPr>
        <sz val="12"/>
        <rFont val="標楷體"/>
        <family val="4"/>
        <charset val="136"/>
      </rPr>
      <t>莫拉克颱風挾帶大量雨勢，導致愛玉子橋因溪水暴漲沖毀，使神木國小鄰近</t>
    </r>
    <r>
      <rPr>
        <sz val="12"/>
        <rFont val="Times New Roman"/>
        <family val="1"/>
      </rPr>
      <t xml:space="preserve"> 9 </t>
    </r>
    <r>
      <rPr>
        <sz val="12"/>
        <rFont val="標楷體"/>
        <family val="4"/>
        <charset val="136"/>
      </rPr>
      <t>鄰、</t>
    </r>
    <r>
      <rPr>
        <sz val="12"/>
        <rFont val="Times New Roman"/>
        <family val="1"/>
      </rPr>
      <t xml:space="preserve">10 </t>
    </r>
    <r>
      <rPr>
        <sz val="12"/>
        <rFont val="標楷體"/>
        <family val="4"/>
        <charset val="136"/>
      </rPr>
      <t>鄰</t>
    </r>
    <r>
      <rPr>
        <sz val="12"/>
        <rFont val="Times New Roman"/>
        <family val="1"/>
      </rPr>
      <t xml:space="preserve"> </t>
    </r>
    <r>
      <rPr>
        <sz val="12"/>
        <rFont val="標楷體"/>
        <family val="4"/>
        <charset val="136"/>
      </rPr>
      <t>外之文心聯通道路中斷。愛玉子溪與那瑪嘎班溪之間</t>
    </r>
    <r>
      <rPr>
        <sz val="12"/>
        <rFont val="Times New Roman"/>
        <family val="1"/>
      </rPr>
      <t xml:space="preserve"> </t>
    </r>
    <r>
      <rPr>
        <sz val="12"/>
        <rFont val="標楷體"/>
        <family val="4"/>
        <charset val="136"/>
      </rPr>
      <t>鄰民宅兩側基礎均有因沖刷導致淘空現象。土石淤埋：愛玉子溪上游及沿岸崩塌帶砂石淤積於原愛玉子橋處，導致愛玉子溪下游河道大量土石淤積。那瑪嘎班溪河床大量土石堆積於河床，淤埋神木大橋與舊神木橋橋梁墩柱基礎。</t>
    </r>
    <phoneticPr fontId="5" type="noConversion"/>
  </si>
  <si>
    <r>
      <rPr>
        <sz val="12"/>
        <rFont val="標楷體"/>
        <family val="4"/>
        <charset val="136"/>
      </rPr>
      <t>信義鄉神木村</t>
    </r>
    <r>
      <rPr>
        <sz val="12"/>
        <rFont val="Times New Roman"/>
        <family val="1"/>
      </rPr>
      <t xml:space="preserve"> 12 </t>
    </r>
    <r>
      <rPr>
        <sz val="12"/>
        <rFont val="標楷體"/>
        <family val="4"/>
        <charset val="136"/>
      </rPr>
      <t>鄰</t>
    </r>
    <r>
      <rPr>
        <sz val="12"/>
        <rFont val="Times New Roman"/>
        <family val="1"/>
      </rPr>
      <t>(</t>
    </r>
    <r>
      <rPr>
        <sz val="12"/>
        <rFont val="標楷體"/>
        <family val="4"/>
        <charset val="136"/>
      </rPr>
      <t>愛玉橋</t>
    </r>
    <r>
      <rPr>
        <sz val="12"/>
        <rFont val="Times New Roman"/>
        <family val="1"/>
      </rPr>
      <t>)</t>
    </r>
    <phoneticPr fontId="5" type="noConversion"/>
  </si>
  <si>
    <r>
      <rPr>
        <sz val="12"/>
        <rFont val="標楷體"/>
        <family val="4"/>
        <charset val="136"/>
      </rPr>
      <t>投縣</t>
    </r>
    <r>
      <rPr>
        <sz val="12"/>
        <rFont val="Times New Roman"/>
        <family val="1"/>
      </rPr>
      <t>DF200</t>
    </r>
    <phoneticPr fontId="5" type="noConversion"/>
  </si>
  <si>
    <r>
      <rPr>
        <sz val="12"/>
        <rFont val="標楷體"/>
        <family val="4"/>
        <charset val="136"/>
      </rPr>
      <t>四區溪</t>
    </r>
    <r>
      <rPr>
        <sz val="12"/>
        <rFont val="Times New Roman"/>
        <family val="1"/>
      </rPr>
      <t>(</t>
    </r>
    <r>
      <rPr>
        <sz val="12"/>
        <rFont val="標楷體"/>
        <family val="4"/>
        <charset val="136"/>
      </rPr>
      <t>投縣</t>
    </r>
    <r>
      <rPr>
        <sz val="12"/>
        <rFont val="Times New Roman"/>
        <family val="1"/>
      </rPr>
      <t xml:space="preserve"> DF200)</t>
    </r>
    <r>
      <rPr>
        <sz val="12"/>
        <rFont val="標楷體"/>
        <family val="4"/>
        <charset val="136"/>
      </rPr>
      <t>因莫拉克颱風之豪雨引致山洪暴發，造成上游約</t>
    </r>
    <r>
      <rPr>
        <sz val="12"/>
        <rFont val="Times New Roman"/>
        <family val="1"/>
      </rPr>
      <t xml:space="preserve"> 8 </t>
    </r>
    <r>
      <rPr>
        <sz val="12"/>
        <rFont val="標楷體"/>
        <family val="4"/>
        <charset val="136"/>
      </rPr>
      <t>公頃的崩塌地，崩落的土石混雜溪水致使土石流發生。</t>
    </r>
    <phoneticPr fontId="5" type="noConversion"/>
  </si>
  <si>
    <r>
      <rPr>
        <sz val="12"/>
        <rFont val="標楷體"/>
        <family val="4"/>
        <charset val="136"/>
      </rPr>
      <t>梅溪渡假村</t>
    </r>
    <r>
      <rPr>
        <sz val="12"/>
        <rFont val="Times New Roman"/>
        <family val="1"/>
      </rPr>
      <t>(</t>
    </r>
    <r>
      <rPr>
        <sz val="12"/>
        <rFont val="標楷體"/>
        <family val="4"/>
        <charset val="136"/>
      </rPr>
      <t>竹篙水</t>
    </r>
    <r>
      <rPr>
        <sz val="12"/>
        <rFont val="Times New Roman"/>
        <family val="1"/>
      </rPr>
      <t xml:space="preserve"> 35 </t>
    </r>
    <r>
      <rPr>
        <sz val="12"/>
        <rFont val="標楷體"/>
        <family val="4"/>
        <charset val="136"/>
      </rPr>
      <t>號電桿處</t>
    </r>
    <r>
      <rPr>
        <sz val="12"/>
        <rFont val="Times New Roman"/>
        <family val="1"/>
      </rPr>
      <t>)</t>
    </r>
    <phoneticPr fontId="5" type="noConversion"/>
  </si>
  <si>
    <r>
      <rPr>
        <sz val="12"/>
        <rFont val="標楷體"/>
        <family val="4"/>
        <charset val="136"/>
      </rPr>
      <t>古坑鄉</t>
    </r>
    <phoneticPr fontId="5" type="noConversion"/>
  </si>
  <si>
    <r>
      <rPr>
        <sz val="12"/>
        <rFont val="標楷體"/>
        <family val="4"/>
        <charset val="136"/>
      </rPr>
      <t>草嶺村</t>
    </r>
  </si>
  <si>
    <r>
      <rPr>
        <sz val="12"/>
        <rFont val="標楷體"/>
        <family val="4"/>
        <charset val="136"/>
      </rPr>
      <t>雲縣</t>
    </r>
    <r>
      <rPr>
        <sz val="12"/>
        <rFont val="Times New Roman"/>
        <family val="1"/>
      </rPr>
      <t>DF006</t>
    </r>
  </si>
  <si>
    <r>
      <rPr>
        <sz val="12"/>
        <rFont val="標楷體"/>
        <family val="4"/>
        <charset val="136"/>
      </rPr>
      <t>草嶺村梅溪渡假村旁野溪因莫拉克颱風帶來雨量爆發土石流災害，大量水流挾帶上游土石及漂流木淤埋河道並毀損野溪內連續性防砂壩，沖毀橙螢橋並堵塞橋涵，土石溢流至梅溪渡假村前台地，並淤埋一樓房舍。野溪洪水帶土石通往下游，毀損鄉道雲</t>
    </r>
    <r>
      <rPr>
        <sz val="12"/>
        <rFont val="Times New Roman"/>
        <family val="1"/>
      </rPr>
      <t xml:space="preserve"> 220</t>
    </r>
    <r>
      <rPr>
        <sz val="12"/>
        <rFont val="標楷體"/>
        <family val="4"/>
        <charset val="136"/>
      </rPr>
      <t>線路基及下方排水箱涵，使道路損壞中斷約</t>
    </r>
    <r>
      <rPr>
        <sz val="12"/>
        <rFont val="Times New Roman"/>
        <family val="1"/>
      </rPr>
      <t xml:space="preserve"> 50</t>
    </r>
    <r>
      <rPr>
        <sz val="12"/>
        <rFont val="標楷體"/>
        <family val="4"/>
        <charset val="136"/>
      </rPr>
      <t>公尺長。</t>
    </r>
    <phoneticPr fontId="5" type="noConversion"/>
  </si>
  <si>
    <r>
      <rPr>
        <sz val="12"/>
        <rFont val="標楷體"/>
        <family val="4"/>
        <charset val="136"/>
      </rPr>
      <t>草嶺</t>
    </r>
    <phoneticPr fontId="5" type="noConversion"/>
  </si>
  <si>
    <r>
      <rPr>
        <sz val="12"/>
        <rFont val="標楷體"/>
        <family val="4"/>
        <charset val="136"/>
      </rPr>
      <t>梅山鄉瑞里村</t>
    </r>
    <r>
      <rPr>
        <sz val="12"/>
        <rFont val="Times New Roman"/>
        <family val="1"/>
      </rPr>
      <t xml:space="preserve">(7 </t>
    </r>
    <r>
      <rPr>
        <sz val="12"/>
        <rFont val="標楷體"/>
        <family val="4"/>
        <charset val="136"/>
      </rPr>
      <t>鄰</t>
    </r>
    <r>
      <rPr>
        <sz val="12"/>
        <rFont val="Times New Roman"/>
        <family val="1"/>
      </rPr>
      <t>)</t>
    </r>
  </si>
  <si>
    <r>
      <rPr>
        <sz val="12"/>
        <rFont val="標楷體"/>
        <family val="4"/>
        <charset val="136"/>
      </rPr>
      <t>梅山鄉</t>
    </r>
    <phoneticPr fontId="5" type="noConversion"/>
  </si>
  <si>
    <r>
      <rPr>
        <sz val="12"/>
        <rFont val="標楷體"/>
        <family val="4"/>
        <charset val="136"/>
      </rPr>
      <t>瑞里村</t>
    </r>
    <phoneticPr fontId="5" type="noConversion"/>
  </si>
  <si>
    <r>
      <rPr>
        <sz val="12"/>
        <rFont val="標楷體"/>
        <family val="4"/>
        <charset val="136"/>
      </rPr>
      <t>嘉縣</t>
    </r>
    <r>
      <rPr>
        <sz val="12"/>
        <rFont val="Times New Roman"/>
        <family val="1"/>
      </rPr>
      <t>DF061</t>
    </r>
    <phoneticPr fontId="5" type="noConversion"/>
  </si>
  <si>
    <r>
      <rPr>
        <sz val="12"/>
        <rFont val="標楷體"/>
        <family val="4"/>
        <charset val="136"/>
      </rPr>
      <t>因莫拉克颱風挾帶豪大雨，野溪上游發生崩塌，並於野溪無名橋橋孔處土砂阻塞，水流改道，導致瑞里村</t>
    </r>
    <r>
      <rPr>
        <sz val="12"/>
        <rFont val="Times New Roman"/>
        <family val="1"/>
      </rPr>
      <t xml:space="preserve"> 7 </t>
    </r>
    <r>
      <rPr>
        <sz val="12"/>
        <rFont val="標楷體"/>
        <family val="4"/>
        <charset val="136"/>
      </rPr>
      <t>鄰發生洪水災害，淹水深度約</t>
    </r>
    <r>
      <rPr>
        <sz val="12"/>
        <rFont val="Times New Roman"/>
        <family val="1"/>
      </rPr>
      <t xml:space="preserve"> 50cm</t>
    </r>
    <r>
      <rPr>
        <sz val="12"/>
        <rFont val="標楷體"/>
        <family val="4"/>
        <charset val="136"/>
      </rPr>
      <t>。</t>
    </r>
    <phoneticPr fontId="5" type="noConversion"/>
  </si>
  <si>
    <r>
      <rPr>
        <sz val="12"/>
        <rFont val="標楷體"/>
        <family val="4"/>
        <charset val="136"/>
      </rPr>
      <t>瑞里</t>
    </r>
    <phoneticPr fontId="5" type="noConversion"/>
  </si>
  <si>
    <r>
      <rPr>
        <sz val="12"/>
        <rFont val="標楷體"/>
        <family val="4"/>
        <charset val="136"/>
      </rPr>
      <t>梅山鄉太和村</t>
    </r>
    <r>
      <rPr>
        <sz val="12"/>
        <rFont val="Times New Roman"/>
        <family val="1"/>
      </rPr>
      <t>(</t>
    </r>
    <r>
      <rPr>
        <sz val="12"/>
        <rFont val="標楷體"/>
        <family val="4"/>
        <charset val="136"/>
      </rPr>
      <t>蛤里味部落太和國小</t>
    </r>
    <r>
      <rPr>
        <sz val="12"/>
        <rFont val="Times New Roman"/>
        <family val="1"/>
      </rPr>
      <t>) (</t>
    </r>
    <r>
      <rPr>
        <sz val="12"/>
        <rFont val="標楷體"/>
        <family val="4"/>
        <charset val="136"/>
      </rPr>
      <t>位於嘉</t>
    </r>
    <r>
      <rPr>
        <sz val="12"/>
        <rFont val="Times New Roman"/>
        <family val="1"/>
      </rPr>
      <t xml:space="preserve"> 169 </t>
    </r>
    <r>
      <rPr>
        <sz val="12"/>
        <rFont val="標楷體"/>
        <family val="4"/>
        <charset val="136"/>
      </rPr>
      <t>線</t>
    </r>
    <r>
      <rPr>
        <sz val="12"/>
        <rFont val="Times New Roman"/>
        <family val="1"/>
      </rPr>
      <t xml:space="preserve"> 4K </t>
    </r>
    <r>
      <rPr>
        <sz val="12"/>
        <rFont val="標楷體"/>
        <family val="4"/>
        <charset val="136"/>
      </rPr>
      <t>處</t>
    </r>
    <r>
      <rPr>
        <sz val="12"/>
        <rFont val="Times New Roman"/>
        <family val="1"/>
      </rPr>
      <t>)</t>
    </r>
    <phoneticPr fontId="5" type="noConversion"/>
  </si>
  <si>
    <r>
      <rPr>
        <sz val="12"/>
        <rFont val="標楷體"/>
        <family val="4"/>
        <charset val="136"/>
      </rPr>
      <t>太和村</t>
    </r>
  </si>
  <si>
    <r>
      <rPr>
        <sz val="12"/>
        <rFont val="標楷體"/>
        <family val="4"/>
        <charset val="136"/>
      </rPr>
      <t>嘉縣</t>
    </r>
    <r>
      <rPr>
        <sz val="12"/>
        <rFont val="Times New Roman"/>
        <family val="1"/>
      </rPr>
      <t xml:space="preserve">DF008 </t>
    </r>
  </si>
  <si>
    <r>
      <rPr>
        <sz val="12"/>
        <rFont val="標楷體"/>
        <family val="4"/>
        <charset val="136"/>
      </rPr>
      <t>莫拉克颱風挾帶豪大雨，造成嘉縣</t>
    </r>
    <r>
      <rPr>
        <sz val="12"/>
        <rFont val="Times New Roman"/>
        <family val="1"/>
      </rPr>
      <t xml:space="preserve">DF008 </t>
    </r>
    <r>
      <rPr>
        <sz val="12"/>
        <rFont val="標楷體"/>
        <family val="4"/>
        <charset val="136"/>
      </rPr>
      <t>溪流兩側產生大面積崩塌，崩落土石伴隨大量洪水宣洩而下，造成既有護岸遭沖毀，土石流溢流改道，導致太和村</t>
    </r>
    <r>
      <rPr>
        <sz val="12"/>
        <rFont val="Times New Roman"/>
        <family val="1"/>
      </rPr>
      <t xml:space="preserve"> 3 </t>
    </r>
    <r>
      <rPr>
        <sz val="12"/>
        <rFont val="標楷體"/>
        <family val="4"/>
        <charset val="136"/>
      </rPr>
      <t>鄰民宅及農舍毀損，聯外道路亦遭土石流毀損約</t>
    </r>
    <r>
      <rPr>
        <sz val="12"/>
        <rFont val="Times New Roman"/>
        <family val="1"/>
      </rPr>
      <t xml:space="preserve"> 100 </t>
    </r>
    <r>
      <rPr>
        <sz val="12"/>
        <rFont val="標楷體"/>
        <family val="4"/>
        <charset val="136"/>
      </rPr>
      <t>公尺。太和國小亦因邊坡發生崩塌，掩埋了太和國小部分教室，並造成嘉</t>
    </r>
    <r>
      <rPr>
        <sz val="12"/>
        <rFont val="Times New Roman"/>
        <family val="1"/>
      </rPr>
      <t xml:space="preserve"> 169 </t>
    </r>
    <r>
      <rPr>
        <sz val="12"/>
        <rFont val="標楷體"/>
        <family val="4"/>
        <charset val="136"/>
      </rPr>
      <t>線中斷約</t>
    </r>
    <r>
      <rPr>
        <sz val="12"/>
        <rFont val="Times New Roman"/>
        <family val="1"/>
      </rPr>
      <t xml:space="preserve"> 50m</t>
    </r>
    <r>
      <rPr>
        <sz val="12"/>
        <rFont val="標楷體"/>
        <family val="4"/>
        <charset val="136"/>
      </rPr>
      <t>。</t>
    </r>
    <phoneticPr fontId="5" type="noConversion"/>
  </si>
  <si>
    <t>C1M620</t>
    <phoneticPr fontId="5" type="noConversion"/>
  </si>
  <si>
    <r>
      <rPr>
        <sz val="12"/>
        <rFont val="標楷體"/>
        <family val="4"/>
        <charset val="136"/>
      </rPr>
      <t>梅山鄉太和村</t>
    </r>
    <r>
      <rPr>
        <sz val="12"/>
        <rFont val="Times New Roman"/>
        <family val="1"/>
      </rPr>
      <t>(</t>
    </r>
    <r>
      <rPr>
        <sz val="12"/>
        <rFont val="標楷體"/>
        <family val="4"/>
        <charset val="136"/>
      </rPr>
      <t>社前湖</t>
    </r>
    <r>
      <rPr>
        <sz val="12"/>
        <rFont val="Times New Roman"/>
        <family val="1"/>
      </rPr>
      <t xml:space="preserve"> 8-5 </t>
    </r>
    <r>
      <rPr>
        <sz val="12"/>
        <rFont val="標楷體"/>
        <family val="4"/>
        <charset val="136"/>
      </rPr>
      <t>號</t>
    </r>
    <r>
      <rPr>
        <sz val="12"/>
        <rFont val="Times New Roman"/>
        <family val="1"/>
      </rPr>
      <t>)</t>
    </r>
    <phoneticPr fontId="5" type="noConversion"/>
  </si>
  <si>
    <r>
      <rPr>
        <sz val="12"/>
        <rFont val="標楷體"/>
        <family val="4"/>
        <charset val="136"/>
      </rPr>
      <t>嘉縣</t>
    </r>
    <r>
      <rPr>
        <sz val="12"/>
        <rFont val="Times New Roman"/>
        <family val="1"/>
      </rPr>
      <t>DF047</t>
    </r>
    <phoneticPr fontId="5" type="noConversion"/>
  </si>
  <si>
    <r>
      <rPr>
        <sz val="12"/>
        <rFont val="標楷體"/>
        <family val="4"/>
        <charset val="136"/>
      </rPr>
      <t>潛勢溪嘉縣</t>
    </r>
    <r>
      <rPr>
        <sz val="12"/>
        <rFont val="Times New Roman"/>
        <family val="1"/>
      </rPr>
      <t xml:space="preserve"> DF048 </t>
    </r>
    <r>
      <rPr>
        <sz val="12"/>
        <rFont val="標楷體"/>
        <family val="4"/>
        <charset val="136"/>
      </rPr>
      <t>爆發土石流，土石淤埋仁和國小宿舍後方之住戶，溪水挾帶泥砂侵入國小宿舍。潛勢溪嘉縣</t>
    </r>
    <r>
      <rPr>
        <sz val="12"/>
        <rFont val="Times New Roman"/>
        <family val="1"/>
      </rPr>
      <t xml:space="preserve"> DF047 </t>
    </r>
    <r>
      <rPr>
        <sz val="12"/>
        <rFont val="標楷體"/>
        <family val="4"/>
        <charset val="136"/>
      </rPr>
      <t>土石流潛勢溪流亦發生土石流災害，溪水挾帶崩塌土石撞擊嘉</t>
    </r>
    <r>
      <rPr>
        <sz val="12"/>
        <rFont val="Times New Roman"/>
        <family val="1"/>
      </rPr>
      <t xml:space="preserve">169 </t>
    </r>
    <r>
      <rPr>
        <sz val="12"/>
        <rFont val="標楷體"/>
        <family val="4"/>
        <charset val="136"/>
      </rPr>
      <t>線，部分道路毀損中斷。阿里山溪洪暴漲，沖毀社興橋及河岸農田；嘉</t>
    </r>
    <r>
      <rPr>
        <sz val="12"/>
        <rFont val="Times New Roman"/>
        <family val="1"/>
      </rPr>
      <t xml:space="preserve"> 169 </t>
    </r>
    <r>
      <rPr>
        <sz val="12"/>
        <rFont val="標楷體"/>
        <family val="4"/>
        <charset val="136"/>
      </rPr>
      <t>線沿線多處上邊坡崩塌，路基因而流失毀損。</t>
    </r>
    <phoneticPr fontId="5" type="noConversion"/>
  </si>
  <si>
    <r>
      <rPr>
        <sz val="12"/>
        <rFont val="標楷體"/>
        <family val="4"/>
        <charset val="136"/>
      </rPr>
      <t>嘉縣</t>
    </r>
    <r>
      <rPr>
        <sz val="12"/>
        <rFont val="Times New Roman"/>
        <family val="1"/>
      </rPr>
      <t>DF048</t>
    </r>
    <phoneticPr fontId="5" type="noConversion"/>
  </si>
  <si>
    <r>
      <rPr>
        <sz val="12"/>
        <rFont val="標楷體"/>
        <family val="4"/>
        <charset val="136"/>
      </rPr>
      <t>梅山鄉太和村</t>
    </r>
    <r>
      <rPr>
        <sz val="12"/>
        <rFont val="Times New Roman"/>
        <family val="1"/>
      </rPr>
      <t>(</t>
    </r>
    <r>
      <rPr>
        <sz val="12"/>
        <rFont val="標楷體"/>
        <family val="4"/>
        <charset val="136"/>
      </rPr>
      <t>全仔社</t>
    </r>
    <r>
      <rPr>
        <sz val="12"/>
        <rFont val="Times New Roman"/>
        <family val="1"/>
      </rPr>
      <t xml:space="preserve"> 6 </t>
    </r>
    <r>
      <rPr>
        <sz val="12"/>
        <rFont val="標楷體"/>
        <family val="4"/>
        <charset val="136"/>
      </rPr>
      <t>鄰</t>
    </r>
    <r>
      <rPr>
        <sz val="12"/>
        <rFont val="Times New Roman"/>
        <family val="1"/>
      </rPr>
      <t>)</t>
    </r>
  </si>
  <si>
    <r>
      <rPr>
        <sz val="12"/>
        <rFont val="標楷體"/>
        <family val="4"/>
        <charset val="136"/>
      </rPr>
      <t>嘉縣</t>
    </r>
    <r>
      <rPr>
        <sz val="12"/>
        <rFont val="Times New Roman"/>
        <family val="1"/>
      </rPr>
      <t>DF040</t>
    </r>
    <phoneticPr fontId="5" type="noConversion"/>
  </si>
  <si>
    <r>
      <rPr>
        <sz val="12"/>
        <rFont val="標楷體"/>
        <family val="4"/>
        <charset val="136"/>
      </rPr>
      <t>大量土石淤積於河道，並衝擊全仔社橋，造成橋面版扭曲變形、伸縮縫張裂，全仔社橋橋孔遭土石嚴重堵塞。阿里山溪溪水暴漲，河岸邊坡大量崩塌，造位於嘉縣</t>
    </r>
    <r>
      <rPr>
        <sz val="12"/>
        <rFont val="Times New Roman"/>
        <family val="1"/>
      </rPr>
      <t xml:space="preserve"> 149 </t>
    </r>
    <r>
      <rPr>
        <sz val="12"/>
        <rFont val="標楷體"/>
        <family val="4"/>
        <charset val="136"/>
      </rPr>
      <t>甲</t>
    </r>
    <r>
      <rPr>
        <sz val="12"/>
        <rFont val="Times New Roman"/>
        <family val="1"/>
      </rPr>
      <t xml:space="preserve"> 44K </t>
    </r>
    <r>
      <rPr>
        <sz val="12"/>
        <rFont val="標楷體"/>
        <family val="4"/>
        <charset val="136"/>
      </rPr>
      <t>處通往溪底便道之聯絡道路毀損，溪底便道遭土沖毀淹沒。</t>
    </r>
    <phoneticPr fontId="5" type="noConversion"/>
  </si>
  <si>
    <r>
      <rPr>
        <sz val="12"/>
        <rFont val="標楷體"/>
        <family val="4"/>
        <charset val="136"/>
      </rPr>
      <t>大埔鄉茄苳村</t>
    </r>
    <r>
      <rPr>
        <sz val="12"/>
        <rFont val="Times New Roman"/>
        <family val="1"/>
      </rPr>
      <t>(9</t>
    </r>
    <r>
      <rPr>
        <sz val="12"/>
        <rFont val="標楷體"/>
        <family val="4"/>
        <charset val="136"/>
      </rPr>
      <t>鄰木瓜坑</t>
    </r>
    <r>
      <rPr>
        <sz val="12"/>
        <rFont val="Times New Roman"/>
        <family val="1"/>
      </rPr>
      <t>) (</t>
    </r>
    <r>
      <rPr>
        <sz val="12"/>
        <rFont val="標楷體"/>
        <family val="4"/>
        <charset val="136"/>
      </rPr>
      <t>嘉</t>
    </r>
    <r>
      <rPr>
        <sz val="12"/>
        <rFont val="Times New Roman"/>
        <family val="1"/>
      </rPr>
      <t>149</t>
    </r>
    <r>
      <rPr>
        <sz val="12"/>
        <rFont val="標楷體"/>
        <family val="4"/>
        <charset val="136"/>
      </rPr>
      <t>接近台南嘉義縣界處</t>
    </r>
    <r>
      <rPr>
        <sz val="12"/>
        <rFont val="Times New Roman"/>
        <family val="1"/>
      </rPr>
      <t>)</t>
    </r>
    <phoneticPr fontId="5" type="noConversion"/>
  </si>
  <si>
    <r>
      <rPr>
        <sz val="12"/>
        <rFont val="標楷體"/>
        <family val="4"/>
        <charset val="136"/>
      </rPr>
      <t>大埔鄉</t>
    </r>
    <phoneticPr fontId="5" type="noConversion"/>
  </si>
  <si>
    <r>
      <rPr>
        <sz val="12"/>
        <rFont val="標楷體"/>
        <family val="4"/>
        <charset val="136"/>
      </rPr>
      <t>茄苳村</t>
    </r>
    <phoneticPr fontId="5" type="noConversion"/>
  </si>
  <si>
    <r>
      <rPr>
        <sz val="12"/>
        <rFont val="標楷體"/>
        <family val="4"/>
        <charset val="136"/>
      </rPr>
      <t>嘉縣</t>
    </r>
    <r>
      <rPr>
        <sz val="12"/>
        <rFont val="Times New Roman"/>
        <family val="1"/>
      </rPr>
      <t>DF053</t>
    </r>
    <phoneticPr fontId="5" type="noConversion"/>
  </si>
  <si>
    <r>
      <rPr>
        <sz val="12"/>
        <rFont val="標楷體"/>
        <family val="4"/>
        <charset val="136"/>
      </rPr>
      <t>乾水坑</t>
    </r>
    <r>
      <rPr>
        <sz val="12"/>
        <rFont val="Times New Roman"/>
        <family val="1"/>
      </rPr>
      <t>(</t>
    </r>
    <r>
      <rPr>
        <sz val="12"/>
        <rFont val="標楷體"/>
        <family val="4"/>
        <charset val="136"/>
      </rPr>
      <t>嘉縣</t>
    </r>
    <r>
      <rPr>
        <sz val="12"/>
        <rFont val="Times New Roman"/>
        <family val="1"/>
      </rPr>
      <t xml:space="preserve"> DF053)</t>
    </r>
    <r>
      <rPr>
        <sz val="12"/>
        <rFont val="標楷體"/>
        <family val="4"/>
        <charset val="136"/>
      </rPr>
      <t>於莫拉克颱風造成土石流災害，現場堆有大量土砂，於轉彎處溢流，土石淤滿河道並沖毀桃水溪橋及既有護岸，阻斷嘉</t>
    </r>
    <r>
      <rPr>
        <sz val="12"/>
        <rFont val="Times New Roman"/>
        <family val="1"/>
      </rPr>
      <t xml:space="preserve"> 149 </t>
    </r>
    <r>
      <rPr>
        <sz val="12"/>
        <rFont val="標楷體"/>
        <family val="4"/>
        <charset val="136"/>
      </rPr>
      <t>縣道約</t>
    </r>
    <r>
      <rPr>
        <sz val="12"/>
        <rFont val="Times New Roman"/>
        <family val="1"/>
      </rPr>
      <t xml:space="preserve"> 100 </t>
    </r>
    <r>
      <rPr>
        <sz val="12"/>
        <rFont val="標楷體"/>
        <family val="4"/>
        <charset val="136"/>
      </rPr>
      <t>公尺，有上百隻雞鴨遭土石流掩埋土石流出量估計達約</t>
    </r>
    <r>
      <rPr>
        <sz val="12"/>
        <rFont val="Times New Roman"/>
        <family val="1"/>
      </rPr>
      <t xml:space="preserve"> 10 </t>
    </r>
    <r>
      <rPr>
        <sz val="12"/>
        <rFont val="標楷體"/>
        <family val="4"/>
        <charset val="136"/>
      </rPr>
      <t>萬立方公尺。</t>
    </r>
    <phoneticPr fontId="5" type="noConversion"/>
  </si>
  <si>
    <r>
      <rPr>
        <sz val="12"/>
        <rFont val="標楷體"/>
        <family val="4"/>
        <charset val="136"/>
      </rPr>
      <t>馬頭山</t>
    </r>
    <phoneticPr fontId="5" type="noConversion"/>
  </si>
  <si>
    <r>
      <rPr>
        <sz val="12"/>
        <rFont val="標楷體"/>
        <family val="4"/>
        <charset val="136"/>
      </rPr>
      <t>阿里山鄉來吉村</t>
    </r>
    <r>
      <rPr>
        <sz val="12"/>
        <rFont val="Times New Roman"/>
        <family val="1"/>
      </rPr>
      <t>(</t>
    </r>
    <r>
      <rPr>
        <sz val="12"/>
        <rFont val="標楷體"/>
        <family val="4"/>
        <charset val="136"/>
      </rPr>
      <t>來吉大橋、來吉五鄰大橋</t>
    </r>
    <r>
      <rPr>
        <sz val="12"/>
        <rFont val="Times New Roman"/>
        <family val="1"/>
      </rPr>
      <t>)(</t>
    </r>
    <r>
      <rPr>
        <sz val="12"/>
        <rFont val="標楷體"/>
        <family val="4"/>
        <charset val="136"/>
      </rPr>
      <t>縣道</t>
    </r>
    <r>
      <rPr>
        <sz val="12"/>
        <rFont val="Times New Roman"/>
        <family val="1"/>
      </rPr>
      <t xml:space="preserve"> 149 </t>
    </r>
    <r>
      <rPr>
        <sz val="12"/>
        <rFont val="標楷體"/>
        <family val="4"/>
        <charset val="136"/>
      </rPr>
      <t>甲</t>
    </r>
    <r>
      <rPr>
        <sz val="12"/>
        <rFont val="Times New Roman"/>
        <family val="1"/>
      </rPr>
      <t xml:space="preserve"> 49K </t>
    </r>
    <r>
      <rPr>
        <sz val="12"/>
        <rFont val="標楷體"/>
        <family val="4"/>
        <charset val="136"/>
      </rPr>
      <t>處</t>
    </r>
    <r>
      <rPr>
        <sz val="12"/>
        <rFont val="Times New Roman"/>
        <family val="1"/>
      </rPr>
      <t xml:space="preserve">) </t>
    </r>
    <phoneticPr fontId="5" type="noConversion"/>
  </si>
  <si>
    <r>
      <rPr>
        <sz val="12"/>
        <rFont val="標楷體"/>
        <family val="4"/>
        <charset val="136"/>
      </rPr>
      <t>嘉縣</t>
    </r>
    <r>
      <rPr>
        <sz val="12"/>
        <rFont val="Times New Roman"/>
        <family val="1"/>
      </rPr>
      <t>DF042</t>
    </r>
    <phoneticPr fontId="5" type="noConversion"/>
  </si>
  <si>
    <r>
      <rPr>
        <sz val="12"/>
        <rFont val="標楷體"/>
        <family val="4"/>
        <charset val="136"/>
      </rPr>
      <t>莫拉克颱風侵襲阿里山山區，帶來充沛雨量，使阿里山溪溪水暴漲，並引起土石流潛勢溪流嘉縣</t>
    </r>
    <r>
      <rPr>
        <sz val="12"/>
        <rFont val="Times New Roman"/>
        <family val="1"/>
      </rPr>
      <t xml:space="preserve"> DF042 </t>
    </r>
    <r>
      <rPr>
        <sz val="12"/>
        <rFont val="標楷體"/>
        <family val="4"/>
        <charset val="136"/>
      </rPr>
      <t>爆發土石災害，阿里山溪因土石淤塞致使水位上升，造成民宅</t>
    </r>
    <r>
      <rPr>
        <sz val="12"/>
        <rFont val="Times New Roman"/>
        <family val="1"/>
      </rPr>
      <t xml:space="preserve"> 18 </t>
    </r>
    <r>
      <rPr>
        <sz val="12"/>
        <rFont val="標楷體"/>
        <family val="4"/>
        <charset val="136"/>
      </rPr>
      <t>戶受損，並沖毀來吉大橋及來吉五鄰大橋阻斷五鄰聯外道路，縣道</t>
    </r>
    <r>
      <rPr>
        <sz val="12"/>
        <rFont val="Times New Roman"/>
        <family val="1"/>
      </rPr>
      <t xml:space="preserve"> 149 </t>
    </r>
    <r>
      <rPr>
        <sz val="12"/>
        <rFont val="標楷體"/>
        <family val="4"/>
        <charset val="136"/>
      </rPr>
      <t>甲線受溪水淘刷，多處路基流失。</t>
    </r>
    <phoneticPr fontId="5" type="noConversion"/>
  </si>
  <si>
    <t>C1M630</t>
    <phoneticPr fontId="5" type="noConversion"/>
  </si>
  <si>
    <r>
      <rPr>
        <sz val="12"/>
        <rFont val="標楷體"/>
        <family val="4"/>
        <charset val="136"/>
      </rPr>
      <t>阿里山鄉山美村</t>
    </r>
    <r>
      <rPr>
        <sz val="12"/>
        <rFont val="Times New Roman"/>
        <family val="1"/>
      </rPr>
      <t>(</t>
    </r>
    <r>
      <rPr>
        <sz val="12"/>
        <rFont val="標楷體"/>
        <family val="4"/>
        <charset val="136"/>
      </rPr>
      <t>山美部落</t>
    </r>
    <r>
      <rPr>
        <sz val="12"/>
        <rFont val="Times New Roman"/>
        <family val="1"/>
      </rPr>
      <t>)(</t>
    </r>
    <r>
      <rPr>
        <sz val="12"/>
        <rFont val="標楷體"/>
        <family val="4"/>
        <charset val="136"/>
      </rPr>
      <t>第</t>
    </r>
    <r>
      <rPr>
        <sz val="12"/>
        <rFont val="Times New Roman"/>
        <family val="1"/>
      </rPr>
      <t xml:space="preserve"> 4 </t>
    </r>
    <r>
      <rPr>
        <sz val="12"/>
        <rFont val="標楷體"/>
        <family val="4"/>
        <charset val="136"/>
      </rPr>
      <t>鄰山美國小附近）</t>
    </r>
    <phoneticPr fontId="5" type="noConversion"/>
  </si>
  <si>
    <r>
      <rPr>
        <sz val="12"/>
        <rFont val="標楷體"/>
        <family val="4"/>
        <charset val="136"/>
      </rPr>
      <t>山美村</t>
    </r>
    <phoneticPr fontId="5" type="noConversion"/>
  </si>
  <si>
    <r>
      <rPr>
        <sz val="12"/>
        <rFont val="標楷體"/>
        <family val="4"/>
        <charset val="136"/>
      </rPr>
      <t>嘉縣</t>
    </r>
    <r>
      <rPr>
        <sz val="12"/>
        <rFont val="Times New Roman"/>
        <family val="1"/>
      </rPr>
      <t>DF057</t>
    </r>
    <phoneticPr fontId="5" type="noConversion"/>
  </si>
  <si>
    <r>
      <rPr>
        <sz val="12"/>
        <rFont val="標楷體"/>
        <family val="4"/>
        <charset val="136"/>
      </rPr>
      <t>本處於莫拉克颱風時，豪雨引至上游坡地崩塌並爆發土石流災害，土石流由嘉</t>
    </r>
    <r>
      <rPr>
        <sz val="12"/>
        <rFont val="Times New Roman"/>
        <family val="1"/>
      </rPr>
      <t xml:space="preserve"> 129 </t>
    </r>
    <r>
      <rPr>
        <sz val="12"/>
        <rFont val="標楷體"/>
        <family val="4"/>
        <charset val="136"/>
      </rPr>
      <t>線與嘉縣</t>
    </r>
    <r>
      <rPr>
        <sz val="12"/>
        <rFont val="Times New Roman"/>
        <family val="1"/>
      </rPr>
      <t xml:space="preserve"> DF057 </t>
    </r>
    <r>
      <rPr>
        <sz val="12"/>
        <rFont val="標楷體"/>
        <family val="4"/>
        <charset val="136"/>
      </rPr>
      <t>交會處排水箱涵溢流，造成山美國小與數戶民宅遭土石淤埋，阻斷道路約</t>
    </r>
    <r>
      <rPr>
        <sz val="12"/>
        <rFont val="Times New Roman"/>
        <family val="1"/>
      </rPr>
      <t xml:space="preserve">100 </t>
    </r>
    <r>
      <rPr>
        <sz val="12"/>
        <rFont val="標楷體"/>
        <family val="4"/>
        <charset val="136"/>
      </rPr>
      <t>公尺</t>
    </r>
    <r>
      <rPr>
        <sz val="12"/>
        <rFont val="Times New Roman"/>
        <family val="1"/>
      </rPr>
      <t>(</t>
    </r>
    <r>
      <rPr>
        <sz val="12"/>
        <rFont val="標楷體"/>
        <family val="4"/>
        <charset val="136"/>
      </rPr>
      <t>嘉</t>
    </r>
    <r>
      <rPr>
        <sz val="12"/>
        <rFont val="Times New Roman"/>
        <family val="1"/>
      </rPr>
      <t xml:space="preserve"> 129 </t>
    </r>
    <r>
      <rPr>
        <sz val="12"/>
        <rFont val="標楷體"/>
        <family val="4"/>
        <charset val="136"/>
      </rPr>
      <t>線靠近山美段</t>
    </r>
    <r>
      <rPr>
        <sz val="12"/>
        <rFont val="Times New Roman"/>
        <family val="1"/>
      </rPr>
      <t xml:space="preserve"> 209 </t>
    </r>
    <r>
      <rPr>
        <sz val="12"/>
        <rFont val="標楷體"/>
        <family val="4"/>
        <charset val="136"/>
      </rPr>
      <t>號電線桿處</t>
    </r>
    <r>
      <rPr>
        <sz val="12"/>
        <rFont val="Times New Roman"/>
        <family val="1"/>
      </rPr>
      <t>)</t>
    </r>
    <r>
      <rPr>
        <sz val="12"/>
        <rFont val="標楷體"/>
        <family val="4"/>
        <charset val="136"/>
      </rPr>
      <t>，排水渠道亦遭土石撞擊毀損。</t>
    </r>
    <phoneticPr fontId="5" type="noConversion"/>
  </si>
  <si>
    <r>
      <rPr>
        <sz val="12"/>
        <rFont val="標楷體"/>
        <family val="4"/>
        <charset val="136"/>
      </rPr>
      <t>瀨頭</t>
    </r>
  </si>
  <si>
    <r>
      <rPr>
        <sz val="12"/>
        <rFont val="標楷體"/>
        <family val="4"/>
        <charset val="136"/>
      </rPr>
      <t>阿里山鄉茶山村</t>
    </r>
    <r>
      <rPr>
        <sz val="12"/>
        <rFont val="Times New Roman"/>
        <family val="1"/>
      </rPr>
      <t>(</t>
    </r>
    <r>
      <rPr>
        <sz val="12"/>
        <rFont val="標楷體"/>
        <family val="4"/>
        <charset val="136"/>
      </rPr>
      <t>雅米阿那部落</t>
    </r>
    <r>
      <rPr>
        <sz val="12"/>
        <rFont val="Times New Roman"/>
        <family val="1"/>
      </rPr>
      <t>)(</t>
    </r>
    <r>
      <rPr>
        <sz val="12"/>
        <rFont val="標楷體"/>
        <family val="4"/>
        <charset val="136"/>
      </rPr>
      <t>茶山村</t>
    </r>
    <r>
      <rPr>
        <sz val="12"/>
        <rFont val="Times New Roman"/>
        <family val="1"/>
      </rPr>
      <t xml:space="preserve"> 1 </t>
    </r>
    <r>
      <rPr>
        <sz val="12"/>
        <rFont val="標楷體"/>
        <family val="4"/>
        <charset val="136"/>
      </rPr>
      <t>鄰</t>
    </r>
    <r>
      <rPr>
        <sz val="12"/>
        <rFont val="Times New Roman"/>
        <family val="1"/>
      </rPr>
      <t>)</t>
    </r>
    <phoneticPr fontId="5" type="noConversion"/>
  </si>
  <si>
    <r>
      <rPr>
        <sz val="12"/>
        <rFont val="標楷體"/>
        <family val="4"/>
        <charset val="136"/>
      </rPr>
      <t>茶山村</t>
    </r>
    <phoneticPr fontId="5" type="noConversion"/>
  </si>
  <si>
    <r>
      <rPr>
        <sz val="12"/>
        <rFont val="標楷體"/>
        <family val="4"/>
        <charset val="136"/>
      </rPr>
      <t>嘉縣</t>
    </r>
    <r>
      <rPr>
        <sz val="12"/>
        <rFont val="Times New Roman"/>
        <family val="1"/>
      </rPr>
      <t>DF062</t>
    </r>
  </si>
  <si>
    <r>
      <rPr>
        <sz val="12"/>
        <rFont val="標楷體"/>
        <family val="4"/>
        <charset val="136"/>
      </rPr>
      <t>雅米阿那聚落旁清茶橋野溪上游於莫拉克颱風時引發土石流災情，土石破壞美寮部落聯絡道與清茶橋，阻斷道路合計約</t>
    </r>
    <r>
      <rPr>
        <sz val="12"/>
        <rFont val="Times New Roman"/>
        <family val="1"/>
      </rPr>
      <t xml:space="preserve"> 40 </t>
    </r>
    <r>
      <rPr>
        <sz val="12"/>
        <rFont val="標楷體"/>
        <family val="4"/>
        <charset val="136"/>
      </rPr>
      <t>公尺長，所幸並未對部落造成直接傷害。</t>
    </r>
    <phoneticPr fontId="5" type="noConversion"/>
  </si>
  <si>
    <r>
      <rPr>
        <sz val="12"/>
        <rFont val="標楷體"/>
        <family val="4"/>
        <charset val="136"/>
      </rPr>
      <t>甲仙鄉東安村咖啡巷</t>
    </r>
    <r>
      <rPr>
        <sz val="12"/>
        <rFont val="Times New Roman"/>
        <family val="1"/>
      </rPr>
      <t xml:space="preserve">(11 </t>
    </r>
    <r>
      <rPr>
        <sz val="12"/>
        <rFont val="標楷體"/>
        <family val="4"/>
        <charset val="136"/>
      </rPr>
      <t>鄰</t>
    </r>
    <r>
      <rPr>
        <sz val="12"/>
        <rFont val="Times New Roman"/>
        <family val="1"/>
      </rPr>
      <t>)</t>
    </r>
    <phoneticPr fontId="5" type="noConversion"/>
  </si>
  <si>
    <r>
      <rPr>
        <sz val="12"/>
        <rFont val="標楷體"/>
        <family val="4"/>
        <charset val="136"/>
      </rPr>
      <t>高市</t>
    </r>
    <r>
      <rPr>
        <sz val="12"/>
        <rFont val="Times New Roman"/>
        <family val="1"/>
      </rPr>
      <t>DF019</t>
    </r>
    <phoneticPr fontId="5" type="noConversion"/>
  </si>
  <si>
    <r>
      <rPr>
        <sz val="12"/>
        <rFont val="標楷體"/>
        <family val="4"/>
        <charset val="136"/>
      </rPr>
      <t>東安村野溪</t>
    </r>
    <r>
      <rPr>
        <sz val="12"/>
        <rFont val="Times New Roman"/>
        <family val="1"/>
      </rPr>
      <t>(</t>
    </r>
    <r>
      <rPr>
        <sz val="12"/>
        <rFont val="標楷體"/>
        <family val="4"/>
        <charset val="136"/>
      </rPr>
      <t>高縣</t>
    </r>
    <r>
      <rPr>
        <sz val="12"/>
        <rFont val="Times New Roman"/>
        <family val="1"/>
      </rPr>
      <t xml:space="preserve"> DF016)</t>
    </r>
    <r>
      <rPr>
        <sz val="12"/>
        <rFont val="標楷體"/>
        <family val="4"/>
        <charset val="136"/>
      </rPr>
      <t>於</t>
    </r>
    <r>
      <rPr>
        <sz val="12"/>
        <rFont val="Times New Roman"/>
        <family val="1"/>
      </rPr>
      <t xml:space="preserve"> 8 </t>
    </r>
    <r>
      <rPr>
        <sz val="12"/>
        <rFont val="標楷體"/>
        <family val="4"/>
        <charset val="136"/>
      </rPr>
      <t>月</t>
    </r>
    <r>
      <rPr>
        <sz val="12"/>
        <rFont val="Times New Roman"/>
        <family val="1"/>
      </rPr>
      <t xml:space="preserve"> 8</t>
    </r>
    <r>
      <rPr>
        <sz val="12"/>
        <rFont val="標楷體"/>
        <family val="4"/>
        <charset val="136"/>
      </rPr>
      <t>日晚間爆發土石流，掩埋台</t>
    </r>
    <r>
      <rPr>
        <sz val="12"/>
        <rFont val="Times New Roman"/>
        <family val="1"/>
      </rPr>
      <t xml:space="preserve"> 20 </t>
    </r>
    <r>
      <rPr>
        <sz val="12"/>
        <rFont val="標楷體"/>
        <family val="4"/>
        <charset val="136"/>
      </rPr>
      <t>線並沖毀</t>
    </r>
    <r>
      <rPr>
        <sz val="12"/>
        <rFont val="Times New Roman"/>
        <family val="1"/>
      </rPr>
      <t xml:space="preserve"> 11 </t>
    </r>
    <r>
      <rPr>
        <sz val="12"/>
        <rFont val="標楷體"/>
        <family val="4"/>
        <charset val="136"/>
      </rPr>
      <t>鄰多戶民宅，造成</t>
    </r>
    <r>
      <rPr>
        <sz val="12"/>
        <rFont val="Times New Roman"/>
        <family val="1"/>
      </rPr>
      <t xml:space="preserve"> 1 </t>
    </r>
    <r>
      <rPr>
        <sz val="12"/>
        <rFont val="標楷體"/>
        <family val="4"/>
        <charset val="136"/>
      </rPr>
      <t>人死亡。</t>
    </r>
    <phoneticPr fontId="5" type="noConversion"/>
  </si>
  <si>
    <r>
      <rPr>
        <sz val="12"/>
        <rFont val="標楷體"/>
        <family val="4"/>
        <charset val="136"/>
      </rPr>
      <t>六龜鄉寶來村</t>
    </r>
    <r>
      <rPr>
        <sz val="12"/>
        <rFont val="Times New Roman"/>
        <family val="1"/>
      </rPr>
      <t>(</t>
    </r>
    <r>
      <rPr>
        <sz val="12"/>
        <rFont val="標楷體"/>
        <family val="4"/>
        <charset val="136"/>
      </rPr>
      <t>大埔部落</t>
    </r>
    <r>
      <rPr>
        <sz val="12"/>
        <rFont val="Times New Roman"/>
        <family val="1"/>
      </rPr>
      <t>)</t>
    </r>
    <phoneticPr fontId="5" type="noConversion"/>
  </si>
  <si>
    <r>
      <rPr>
        <sz val="12"/>
        <rFont val="標楷體"/>
        <family val="4"/>
        <charset val="136"/>
      </rPr>
      <t>土石流潛勢溪高縣</t>
    </r>
    <r>
      <rPr>
        <sz val="12"/>
        <rFont val="Times New Roman"/>
        <family val="1"/>
      </rPr>
      <t xml:space="preserve"> DF043 </t>
    </r>
    <r>
      <rPr>
        <sz val="12"/>
        <rFont val="標楷體"/>
        <family val="4"/>
        <charset val="136"/>
      </rPr>
      <t>於</t>
    </r>
    <r>
      <rPr>
        <sz val="12"/>
        <rFont val="Times New Roman"/>
        <family val="1"/>
      </rPr>
      <t xml:space="preserve"> 98 </t>
    </r>
    <r>
      <rPr>
        <sz val="12"/>
        <rFont val="標楷體"/>
        <family val="4"/>
        <charset val="136"/>
      </rPr>
      <t>年莫拉克災害時爆發土石災害，大量土砂由潛勢溪流河道傾洩至台</t>
    </r>
    <r>
      <rPr>
        <sz val="12"/>
        <rFont val="Times New Roman"/>
        <family val="1"/>
      </rPr>
      <t xml:space="preserve"> 20 </t>
    </r>
    <r>
      <rPr>
        <sz val="12"/>
        <rFont val="標楷體"/>
        <family val="4"/>
        <charset val="136"/>
      </rPr>
      <t>線，淤埋大埔部落民宅兩戶、五龍宮與住戶耕地，土砂溢淹堆積於道路，阻斷上方建山國小、台</t>
    </r>
    <r>
      <rPr>
        <sz val="12"/>
        <rFont val="Times New Roman"/>
        <family val="1"/>
      </rPr>
      <t xml:space="preserve"> 20 </t>
    </r>
    <r>
      <rPr>
        <sz val="12"/>
        <rFont val="標楷體"/>
        <family val="4"/>
        <charset val="136"/>
      </rPr>
      <t>線與寶建路交通。五龍宮及</t>
    </r>
    <r>
      <rPr>
        <sz val="12"/>
        <rFont val="Times New Roman"/>
        <family val="1"/>
      </rPr>
      <t xml:space="preserve"> 2 </t>
    </r>
    <r>
      <rPr>
        <sz val="12"/>
        <rFont val="標楷體"/>
        <family val="4"/>
        <charset val="136"/>
      </rPr>
      <t>戶民宅遭大量土石侵入掩埋，五龍宮下方農地及道路亦遭大量土石掩埋。高縣</t>
    </r>
    <r>
      <rPr>
        <sz val="12"/>
        <rFont val="Times New Roman"/>
        <family val="1"/>
      </rPr>
      <t xml:space="preserve"> DF043 </t>
    </r>
    <r>
      <rPr>
        <sz val="12"/>
        <rFont val="標楷體"/>
        <family val="4"/>
        <charset val="136"/>
      </rPr>
      <t>下游河道寶建路旁至台</t>
    </r>
    <r>
      <rPr>
        <sz val="12"/>
        <rFont val="Times New Roman"/>
        <family val="1"/>
      </rPr>
      <t xml:space="preserve"> 20 </t>
    </r>
    <r>
      <rPr>
        <sz val="12"/>
        <rFont val="標楷體"/>
        <family val="4"/>
        <charset val="136"/>
      </rPr>
      <t>線路口處，均遭土石堆積堵塞並漫溢至道路上。</t>
    </r>
    <phoneticPr fontId="5" type="noConversion"/>
  </si>
  <si>
    <r>
      <rPr>
        <sz val="12"/>
        <rFont val="標楷體"/>
        <family val="4"/>
        <charset val="136"/>
      </rPr>
      <t>桃源鄉梅蘭村</t>
    </r>
    <r>
      <rPr>
        <sz val="12"/>
        <rFont val="Times New Roman"/>
        <family val="1"/>
      </rPr>
      <t>(</t>
    </r>
    <r>
      <rPr>
        <sz val="12"/>
        <rFont val="標楷體"/>
        <family val="4"/>
        <charset val="136"/>
      </rPr>
      <t>樟山國小</t>
    </r>
    <r>
      <rPr>
        <sz val="12"/>
        <rFont val="Times New Roman"/>
        <family val="1"/>
      </rPr>
      <t>)</t>
    </r>
  </si>
  <si>
    <r>
      <rPr>
        <sz val="12"/>
        <rFont val="標楷體"/>
        <family val="4"/>
        <charset val="136"/>
      </rPr>
      <t>梅蘭里</t>
    </r>
  </si>
  <si>
    <r>
      <rPr>
        <sz val="12"/>
        <rFont val="標楷體"/>
        <family val="4"/>
        <charset val="136"/>
      </rPr>
      <t>高市</t>
    </r>
    <r>
      <rPr>
        <sz val="12"/>
        <rFont val="Times New Roman"/>
        <family val="1"/>
      </rPr>
      <t>DF089</t>
    </r>
  </si>
  <si>
    <r>
      <rPr>
        <sz val="12"/>
        <rFont val="標楷體"/>
        <family val="4"/>
        <charset val="136"/>
      </rPr>
      <t>樟山部落受莫拉克颱風豪雨影響，樟山國小北側及東側數處邊坡崩塌，並發生多處土石流，造成民宅與學生宿舍被掩埋，省道台</t>
    </r>
    <r>
      <rPr>
        <sz val="12"/>
        <rFont val="Times New Roman"/>
        <family val="1"/>
      </rPr>
      <t>20</t>
    </r>
    <r>
      <rPr>
        <sz val="12"/>
        <rFont val="標楷體"/>
        <family val="4"/>
        <charset val="136"/>
      </rPr>
      <t>線多處坍方中斷。樟山國小北邊形成二處約</t>
    </r>
    <r>
      <rPr>
        <sz val="12"/>
        <rFont val="Times New Roman"/>
        <family val="1"/>
      </rPr>
      <t xml:space="preserve"> 220m </t>
    </r>
    <r>
      <rPr>
        <sz val="12"/>
        <rFont val="標楷體"/>
        <family val="4"/>
        <charset val="136"/>
      </rPr>
      <t>長</t>
    </r>
    <r>
      <rPr>
        <sz val="12"/>
        <rFont val="Times New Roman"/>
        <family val="1"/>
      </rPr>
      <t xml:space="preserve">×55m </t>
    </r>
    <r>
      <rPr>
        <sz val="12"/>
        <rFont val="標楷體"/>
        <family val="4"/>
        <charset val="136"/>
      </rPr>
      <t>寬及</t>
    </r>
    <r>
      <rPr>
        <sz val="12"/>
        <rFont val="Times New Roman"/>
        <family val="1"/>
      </rPr>
      <t xml:space="preserve"> 150m </t>
    </r>
    <r>
      <rPr>
        <sz val="12"/>
        <rFont val="標楷體"/>
        <family val="4"/>
        <charset val="136"/>
      </rPr>
      <t>長</t>
    </r>
    <r>
      <rPr>
        <sz val="12"/>
        <rFont val="Times New Roman"/>
        <family val="1"/>
      </rPr>
      <t xml:space="preserve">×75m </t>
    </r>
    <r>
      <rPr>
        <sz val="12"/>
        <rFont val="標楷體"/>
        <family val="4"/>
        <charset val="136"/>
      </rPr>
      <t>寬之土石堆積區。東側則約</t>
    </r>
    <r>
      <rPr>
        <sz val="12"/>
        <rFont val="Times New Roman"/>
        <family val="1"/>
      </rPr>
      <t xml:space="preserve">85m </t>
    </r>
    <r>
      <rPr>
        <sz val="12"/>
        <rFont val="標楷體"/>
        <family val="4"/>
        <charset val="136"/>
      </rPr>
      <t>長</t>
    </r>
    <r>
      <rPr>
        <sz val="12"/>
        <rFont val="Times New Roman"/>
        <family val="1"/>
      </rPr>
      <t xml:space="preserve">×25m </t>
    </r>
    <r>
      <rPr>
        <sz val="12"/>
        <rFont val="標楷體"/>
        <family val="4"/>
        <charset val="136"/>
      </rPr>
      <t>寬。</t>
    </r>
    <phoneticPr fontId="5" type="noConversion"/>
  </si>
  <si>
    <r>
      <rPr>
        <sz val="12"/>
        <rFont val="標楷體"/>
        <family val="4"/>
        <charset val="136"/>
      </rPr>
      <t>土石流</t>
    </r>
    <r>
      <rPr>
        <sz val="12"/>
        <rFont val="Times New Roman"/>
        <family val="1"/>
      </rPr>
      <t xml:space="preserve"> </t>
    </r>
    <r>
      <rPr>
        <sz val="12"/>
        <rFont val="標楷體"/>
        <family val="4"/>
        <charset val="136"/>
      </rPr>
      <t>、崩塌</t>
    </r>
    <phoneticPr fontId="5" type="noConversion"/>
  </si>
  <si>
    <r>
      <rPr>
        <sz val="12"/>
        <rFont val="標楷體"/>
        <family val="4"/>
        <charset val="136"/>
      </rPr>
      <t>六龜鄉新發村</t>
    </r>
    <r>
      <rPr>
        <sz val="12"/>
        <rFont val="Times New Roman"/>
        <family val="1"/>
      </rPr>
      <t>(</t>
    </r>
    <r>
      <rPr>
        <sz val="12"/>
        <rFont val="標楷體"/>
        <family val="4"/>
        <charset val="136"/>
      </rPr>
      <t>高</t>
    </r>
    <r>
      <rPr>
        <sz val="12"/>
        <rFont val="Times New Roman"/>
        <family val="1"/>
      </rPr>
      <t>133</t>
    </r>
    <r>
      <rPr>
        <sz val="12"/>
        <rFont val="標楷體"/>
        <family val="4"/>
        <charset val="136"/>
      </rPr>
      <t>線</t>
    </r>
    <r>
      <rPr>
        <sz val="12"/>
        <rFont val="Times New Roman"/>
        <family val="1"/>
      </rPr>
      <t>4.5k</t>
    </r>
    <r>
      <rPr>
        <sz val="12"/>
        <rFont val="標楷體"/>
        <family val="4"/>
        <charset val="136"/>
      </rPr>
      <t>處青山溫泉渡假村</t>
    </r>
    <r>
      <rPr>
        <sz val="12"/>
        <rFont val="Times New Roman"/>
        <family val="1"/>
      </rPr>
      <t>)</t>
    </r>
    <phoneticPr fontId="5" type="noConversion"/>
  </si>
  <si>
    <r>
      <rPr>
        <sz val="12"/>
        <rFont val="標楷體"/>
        <family val="4"/>
        <charset val="136"/>
      </rPr>
      <t>青山溫泉渡假村後方野溪</t>
    </r>
    <r>
      <rPr>
        <sz val="12"/>
        <rFont val="Times New Roman"/>
        <family val="1"/>
      </rPr>
      <t>(</t>
    </r>
    <r>
      <rPr>
        <sz val="12"/>
        <rFont val="標楷體"/>
        <family val="4"/>
        <charset val="136"/>
      </rPr>
      <t>高縣</t>
    </r>
    <r>
      <rPr>
        <sz val="12"/>
        <rFont val="Times New Roman"/>
        <family val="1"/>
      </rPr>
      <t>DF052)</t>
    </r>
    <r>
      <rPr>
        <sz val="12"/>
        <rFont val="標楷體"/>
        <family val="4"/>
        <charset val="136"/>
      </rPr>
      <t>集水區上游坡地，多處發生大規模崩塌，崩塌土石混合雨水逕流形成土石流直衝而下，沖毀高</t>
    </r>
    <r>
      <rPr>
        <sz val="12"/>
        <rFont val="Times New Roman"/>
        <family val="1"/>
      </rPr>
      <t xml:space="preserve">133 </t>
    </r>
    <r>
      <rPr>
        <sz val="12"/>
        <rFont val="標楷體"/>
        <family val="4"/>
        <charset val="136"/>
      </rPr>
      <t>線鄉道，青山溫泉渡假村盡遭土石淤埋，堆積土石最深超過</t>
    </r>
    <r>
      <rPr>
        <sz val="12"/>
        <rFont val="Times New Roman"/>
        <family val="1"/>
      </rPr>
      <t xml:space="preserve">5 </t>
    </r>
    <r>
      <rPr>
        <sz val="12"/>
        <rFont val="標楷體"/>
        <family val="4"/>
        <charset val="136"/>
      </rPr>
      <t>公尺高度，總堆積量達</t>
    </r>
    <r>
      <rPr>
        <sz val="12"/>
        <rFont val="Times New Roman"/>
        <family val="1"/>
      </rPr>
      <t xml:space="preserve">80 </t>
    </r>
    <r>
      <rPr>
        <sz val="12"/>
        <rFont val="標楷體"/>
        <family val="4"/>
        <charset val="136"/>
      </rPr>
      <t>萬立方公尺以上。</t>
    </r>
    <phoneticPr fontId="5" type="noConversion"/>
  </si>
  <si>
    <r>
      <rPr>
        <sz val="12"/>
        <rFont val="標楷體"/>
        <family val="4"/>
        <charset val="136"/>
      </rPr>
      <t>信義鄉同富村</t>
    </r>
    <r>
      <rPr>
        <sz val="12"/>
        <rFont val="Times New Roman"/>
        <family val="1"/>
      </rPr>
      <t>(</t>
    </r>
    <r>
      <rPr>
        <sz val="12"/>
        <rFont val="標楷體"/>
        <family val="4"/>
        <charset val="136"/>
      </rPr>
      <t>和社溪</t>
    </r>
    <r>
      <rPr>
        <sz val="12"/>
        <rFont val="Times New Roman"/>
        <family val="1"/>
      </rPr>
      <t>)</t>
    </r>
    <phoneticPr fontId="5" type="noConversion"/>
  </si>
  <si>
    <r>
      <rPr>
        <sz val="12"/>
        <rFont val="標楷體"/>
        <family val="4"/>
        <charset val="136"/>
      </rPr>
      <t>同富村</t>
    </r>
    <phoneticPr fontId="5" type="noConversion"/>
  </si>
  <si>
    <r>
      <rPr>
        <sz val="12"/>
        <rFont val="標楷體"/>
        <family val="4"/>
        <charset val="136"/>
      </rPr>
      <t>投縣</t>
    </r>
    <r>
      <rPr>
        <sz val="12"/>
        <rFont val="Times New Roman"/>
        <family val="1"/>
      </rPr>
      <t>DF202</t>
    </r>
    <phoneticPr fontId="5" type="noConversion"/>
  </si>
  <si>
    <r>
      <t>􀀹</t>
    </r>
    <r>
      <rPr>
        <sz val="12"/>
        <rFont val="標楷體"/>
        <family val="4"/>
        <charset val="136"/>
      </rPr>
      <t>因莫拉克颱風帶來之超大豪雨導致土石流潛勢溪流</t>
    </r>
    <r>
      <rPr>
        <sz val="12"/>
        <rFont val="Times New Roman"/>
        <family val="1"/>
      </rPr>
      <t>(</t>
    </r>
    <r>
      <rPr>
        <sz val="12"/>
        <rFont val="標楷體"/>
        <family val="4"/>
        <charset val="136"/>
      </rPr>
      <t>投縣</t>
    </r>
    <r>
      <rPr>
        <sz val="12"/>
        <rFont val="Times New Roman"/>
        <family val="1"/>
      </rPr>
      <t>DF202)</t>
    </r>
    <r>
      <rPr>
        <sz val="12"/>
        <rFont val="標楷體"/>
        <family val="4"/>
        <charset val="136"/>
      </rPr>
      <t>爆發土石流，大量土石沖刷造成溪床刷深約達</t>
    </r>
    <r>
      <rPr>
        <sz val="12"/>
        <rFont val="Times New Roman"/>
        <family val="1"/>
      </rPr>
      <t xml:space="preserve">20m </t>
    </r>
    <r>
      <rPr>
        <sz val="12"/>
        <rFont val="標楷體"/>
        <family val="4"/>
        <charset val="136"/>
      </rPr>
      <t>深，且沖刷土石堆積於其下游匯流處，擠壓和社溪主河道而造成對岸之台</t>
    </r>
    <r>
      <rPr>
        <sz val="12"/>
        <rFont val="Times New Roman"/>
        <family val="1"/>
      </rPr>
      <t>21</t>
    </r>
    <r>
      <rPr>
        <sz val="12"/>
        <rFont val="標楷體"/>
        <family val="4"/>
        <charset val="136"/>
      </rPr>
      <t>線及產業道路遭沖毀約</t>
    </r>
    <r>
      <rPr>
        <sz val="12"/>
        <rFont val="Times New Roman"/>
        <family val="1"/>
      </rPr>
      <t xml:space="preserve">600 </t>
    </r>
    <r>
      <rPr>
        <sz val="12"/>
        <rFont val="標楷體"/>
        <family val="4"/>
        <charset val="136"/>
      </rPr>
      <t>公尺，並導致多棟民宅毀損。</t>
    </r>
    <phoneticPr fontId="5" type="noConversion"/>
  </si>
  <si>
    <r>
      <rPr>
        <sz val="12"/>
        <rFont val="標楷體"/>
        <family val="4"/>
        <charset val="136"/>
      </rPr>
      <t>六龜鄉中興村</t>
    </r>
    <r>
      <rPr>
        <sz val="12"/>
        <rFont val="Times New Roman"/>
        <family val="1"/>
      </rPr>
      <t>(</t>
    </r>
    <r>
      <rPr>
        <sz val="12"/>
        <rFont val="標楷體"/>
        <family val="4"/>
        <charset val="136"/>
      </rPr>
      <t>台</t>
    </r>
    <r>
      <rPr>
        <sz val="12"/>
        <rFont val="Times New Roman"/>
        <family val="1"/>
      </rPr>
      <t>27</t>
    </r>
    <r>
      <rPr>
        <sz val="12"/>
        <rFont val="標楷體"/>
        <family val="4"/>
        <charset val="136"/>
      </rPr>
      <t>線</t>
    </r>
    <r>
      <rPr>
        <sz val="12"/>
        <rFont val="Times New Roman"/>
        <family val="1"/>
      </rPr>
      <t>13k</t>
    </r>
    <r>
      <rPr>
        <sz val="12"/>
        <rFont val="標楷體"/>
        <family val="4"/>
        <charset val="136"/>
      </rPr>
      <t>處</t>
    </r>
    <r>
      <rPr>
        <sz val="12"/>
        <rFont val="Times New Roman"/>
        <family val="1"/>
      </rPr>
      <t>)</t>
    </r>
    <phoneticPr fontId="5" type="noConversion"/>
  </si>
  <si>
    <r>
      <rPr>
        <sz val="12"/>
        <rFont val="標楷體"/>
        <family val="4"/>
        <charset val="136"/>
      </rPr>
      <t>土石流潛勢溪流高縣</t>
    </r>
    <r>
      <rPr>
        <sz val="12"/>
        <rFont val="Times New Roman"/>
        <family val="1"/>
      </rPr>
      <t xml:space="preserve">DF050 </t>
    </r>
    <r>
      <rPr>
        <sz val="12"/>
        <rFont val="標楷體"/>
        <family val="4"/>
        <charset val="136"/>
      </rPr>
      <t>爆發土石流，土石淤塞河道並向外溢流，掩埋沿溪農路並侵入鄰溪</t>
    </r>
    <r>
      <rPr>
        <sz val="12"/>
        <rFont val="Times New Roman"/>
        <family val="1"/>
      </rPr>
      <t xml:space="preserve">9 </t>
    </r>
    <r>
      <rPr>
        <sz val="12"/>
        <rFont val="標楷體"/>
        <family val="4"/>
        <charset val="136"/>
      </rPr>
      <t>戶民宅、慧濟寺及農地。由於土石流堆積之土石堵塞河道後，溪水改沿聖母宮處巷道漫
流，造成巷道兩側約</t>
    </r>
    <r>
      <rPr>
        <sz val="12"/>
        <rFont val="Times New Roman"/>
        <family val="1"/>
      </rPr>
      <t xml:space="preserve">80 </t>
    </r>
    <r>
      <rPr>
        <sz val="12"/>
        <rFont val="標楷體"/>
        <family val="4"/>
        <charset val="136"/>
      </rPr>
      <t>餘戶淹水，而巷道路面亦遭洪水沖刷破損。</t>
    </r>
    <phoneticPr fontId="5" type="noConversion"/>
  </si>
  <si>
    <r>
      <rPr>
        <sz val="12"/>
        <rFont val="標楷體"/>
        <family val="4"/>
        <charset val="136"/>
      </rPr>
      <t>土石流、洪水</t>
    </r>
  </si>
  <si>
    <r>
      <rPr>
        <sz val="12"/>
        <rFont val="標楷體"/>
        <family val="4"/>
        <charset val="136"/>
      </rPr>
      <t>阿里山鄉里佳村</t>
    </r>
    <r>
      <rPr>
        <sz val="12"/>
        <rFont val="Times New Roman"/>
        <family val="1"/>
      </rPr>
      <t xml:space="preserve">(169 </t>
    </r>
    <r>
      <rPr>
        <sz val="12"/>
        <rFont val="標楷體"/>
        <family val="4"/>
        <charset val="136"/>
      </rPr>
      <t>線終點銜接里佳村聚落道路約</t>
    </r>
    <r>
      <rPr>
        <sz val="12"/>
        <rFont val="Times New Roman"/>
        <family val="1"/>
      </rPr>
      <t xml:space="preserve">400 </t>
    </r>
    <r>
      <rPr>
        <sz val="12"/>
        <rFont val="標楷體"/>
        <family val="4"/>
        <charset val="136"/>
      </rPr>
      <t>公尺處及里佳大</t>
    </r>
    <r>
      <rPr>
        <sz val="12"/>
        <rFont val="Times New Roman"/>
        <family val="1"/>
      </rPr>
      <t>)</t>
    </r>
    <phoneticPr fontId="5" type="noConversion"/>
  </si>
  <si>
    <r>
      <rPr>
        <sz val="12"/>
        <rFont val="標楷體"/>
        <family val="4"/>
        <charset val="136"/>
      </rPr>
      <t>里佳村</t>
    </r>
    <phoneticPr fontId="5" type="noConversion"/>
  </si>
  <si>
    <r>
      <rPr>
        <sz val="12"/>
        <rFont val="標楷體"/>
        <family val="4"/>
        <charset val="136"/>
      </rPr>
      <t>烏奇哈溪山洪爆發，里佳村</t>
    </r>
    <r>
      <rPr>
        <sz val="12"/>
        <rFont val="Times New Roman"/>
        <family val="1"/>
      </rPr>
      <t xml:space="preserve">4 </t>
    </r>
    <r>
      <rPr>
        <sz val="12"/>
        <rFont val="標楷體"/>
        <family val="4"/>
        <charset val="136"/>
      </rPr>
      <t>鄰臨溪邊民宅遭洪水挾帶土石掩埋，里佳大橋兩側土堤遭洪水沖毀。里佳村於</t>
    </r>
    <r>
      <rPr>
        <sz val="12"/>
        <rFont val="Times New Roman"/>
        <family val="1"/>
      </rPr>
      <t xml:space="preserve">9/9 </t>
    </r>
    <r>
      <rPr>
        <sz val="12"/>
        <rFont val="標楷體"/>
        <family val="4"/>
        <charset val="136"/>
      </rPr>
      <t>恢復供電，聯外便道於</t>
    </r>
    <r>
      <rPr>
        <sz val="12"/>
        <rFont val="Times New Roman"/>
        <family val="1"/>
      </rPr>
      <t xml:space="preserve">9/5 </t>
    </r>
    <r>
      <rPr>
        <sz val="12"/>
        <rFont val="標楷體"/>
        <family val="4"/>
        <charset val="136"/>
      </rPr>
      <t>搶通，</t>
    </r>
    <r>
      <rPr>
        <sz val="12"/>
        <rFont val="Times New Roman"/>
        <family val="1"/>
      </rPr>
      <t xml:space="preserve">169 </t>
    </r>
    <r>
      <rPr>
        <sz val="12"/>
        <rFont val="標楷體"/>
        <family val="4"/>
        <charset val="136"/>
      </rPr>
      <t>線道路坍塌處仍搶修中。</t>
    </r>
    <phoneticPr fontId="5" type="noConversion"/>
  </si>
  <si>
    <r>
      <rPr>
        <sz val="12"/>
        <rFont val="標楷體"/>
        <family val="4"/>
        <charset val="136"/>
      </rPr>
      <t>甲仙鄉關山村</t>
    </r>
    <r>
      <rPr>
        <sz val="12"/>
        <rFont val="Times New Roman"/>
        <family val="1"/>
      </rPr>
      <t>(</t>
    </r>
    <r>
      <rPr>
        <sz val="12"/>
        <rFont val="標楷體"/>
        <family val="4"/>
        <charset val="136"/>
      </rPr>
      <t>關山社區</t>
    </r>
    <r>
      <rPr>
        <sz val="12"/>
        <rFont val="Times New Roman"/>
        <family val="1"/>
      </rPr>
      <t>)</t>
    </r>
    <phoneticPr fontId="5" type="noConversion"/>
  </si>
  <si>
    <r>
      <rPr>
        <sz val="12"/>
        <rFont val="標楷體"/>
        <family val="4"/>
        <charset val="136"/>
      </rPr>
      <t>高市</t>
    </r>
    <r>
      <rPr>
        <sz val="12"/>
        <rFont val="Times New Roman"/>
        <family val="1"/>
      </rPr>
      <t>DF013</t>
    </r>
    <phoneticPr fontId="5" type="noConversion"/>
  </si>
  <si>
    <r>
      <rPr>
        <sz val="12"/>
        <rFont val="標楷體"/>
        <family val="4"/>
        <charset val="136"/>
      </rPr>
      <t>關山社區三聖宮旁箱涵堵塞導致高縣</t>
    </r>
    <r>
      <rPr>
        <sz val="12"/>
        <rFont val="Times New Roman"/>
        <family val="1"/>
      </rPr>
      <t xml:space="preserve"> DF010 </t>
    </r>
    <r>
      <rPr>
        <sz val="12"/>
        <rFont val="標楷體"/>
        <family val="4"/>
        <charset val="136"/>
      </rPr>
      <t>土石流堆積於台</t>
    </r>
    <r>
      <rPr>
        <sz val="12"/>
        <rFont val="Times New Roman"/>
        <family val="1"/>
      </rPr>
      <t xml:space="preserve"> 21</t>
    </r>
    <r>
      <rPr>
        <sz val="12"/>
        <rFont val="標楷體"/>
        <family val="4"/>
        <charset val="136"/>
      </rPr>
      <t>線，道路因而中斷。逕流從台</t>
    </r>
    <r>
      <rPr>
        <sz val="12"/>
        <rFont val="Times New Roman"/>
        <family val="1"/>
      </rPr>
      <t xml:space="preserve"> 21</t>
    </r>
    <r>
      <rPr>
        <sz val="12"/>
        <rFont val="標楷體"/>
        <family val="4"/>
        <charset val="136"/>
      </rPr>
      <t>線排放至下邊坡造成民宅淹水。震威宮旁野溪因涵管堵塞，洪水沿中興路</t>
    </r>
    <r>
      <rPr>
        <sz val="12"/>
        <rFont val="Times New Roman"/>
        <family val="1"/>
      </rPr>
      <t xml:space="preserve"> 44 </t>
    </r>
    <r>
      <rPr>
        <sz val="12"/>
        <rFont val="標楷體"/>
        <family val="4"/>
        <charset val="136"/>
      </rPr>
      <t>巷傾瀉而下，洪水挾帶土砂堆積於震威宮前廣場。</t>
    </r>
    <phoneticPr fontId="5" type="noConversion"/>
  </si>
  <si>
    <r>
      <rPr>
        <sz val="12"/>
        <rFont val="標楷體"/>
        <family val="4"/>
        <charset val="136"/>
      </rPr>
      <t>那瑪夏鄉南沙魯村</t>
    </r>
    <r>
      <rPr>
        <sz val="12"/>
        <rFont val="Times New Roman"/>
        <family val="1"/>
      </rPr>
      <t>(</t>
    </r>
    <r>
      <rPr>
        <sz val="12"/>
        <rFont val="標楷體"/>
        <family val="4"/>
        <charset val="136"/>
      </rPr>
      <t>三景宮</t>
    </r>
    <r>
      <rPr>
        <sz val="12"/>
        <rFont val="Times New Roman"/>
        <family val="1"/>
      </rPr>
      <t>)</t>
    </r>
    <phoneticPr fontId="5" type="noConversion"/>
  </si>
  <si>
    <r>
      <rPr>
        <sz val="12"/>
        <rFont val="標楷體"/>
        <family val="4"/>
        <charset val="136"/>
      </rPr>
      <t>南沙魯里</t>
    </r>
  </si>
  <si>
    <r>
      <rPr>
        <sz val="12"/>
        <rFont val="標楷體"/>
        <family val="4"/>
        <charset val="136"/>
      </rPr>
      <t>高市</t>
    </r>
    <r>
      <rPr>
        <sz val="12"/>
        <rFont val="Times New Roman"/>
        <family val="1"/>
      </rPr>
      <t>DF007</t>
    </r>
    <phoneticPr fontId="5" type="noConversion"/>
  </si>
  <si>
    <r>
      <rPr>
        <sz val="12"/>
        <rFont val="標楷體"/>
        <family val="4"/>
        <charset val="136"/>
      </rPr>
      <t>高雄縣那瑪夏鄉南沙魯村</t>
    </r>
    <r>
      <rPr>
        <sz val="12"/>
        <rFont val="Times New Roman"/>
        <family val="1"/>
      </rPr>
      <t>(</t>
    </r>
    <r>
      <rPr>
        <sz val="12"/>
        <rFont val="標楷體"/>
        <family val="4"/>
        <charset val="136"/>
      </rPr>
      <t>高縣</t>
    </r>
    <r>
      <rPr>
        <sz val="12"/>
        <rFont val="Times New Roman"/>
        <family val="1"/>
      </rPr>
      <t>DF004)</t>
    </r>
    <r>
      <rPr>
        <sz val="12"/>
        <rFont val="標楷體"/>
        <family val="4"/>
        <charset val="136"/>
      </rPr>
      <t>於</t>
    </r>
    <r>
      <rPr>
        <sz val="12"/>
        <rFont val="Times New Roman"/>
        <family val="1"/>
      </rPr>
      <t xml:space="preserve">8 </t>
    </r>
    <r>
      <rPr>
        <sz val="12"/>
        <rFont val="標楷體"/>
        <family val="4"/>
        <charset val="136"/>
      </rPr>
      <t>月</t>
    </r>
    <r>
      <rPr>
        <sz val="12"/>
        <rFont val="Times New Roman"/>
        <family val="1"/>
      </rPr>
      <t xml:space="preserve">9 </t>
    </r>
    <r>
      <rPr>
        <sz val="12"/>
        <rFont val="標楷體"/>
        <family val="4"/>
        <charset val="136"/>
      </rPr>
      <t>日下午爆發土石流，沖毀並掩埋道路及多戶民宅。</t>
    </r>
    <phoneticPr fontId="5" type="noConversion"/>
  </si>
  <si>
    <r>
      <rPr>
        <sz val="12"/>
        <rFont val="標楷體"/>
        <family val="4"/>
        <charset val="136"/>
      </rPr>
      <t>六龜鄉新發村新開部落</t>
    </r>
    <r>
      <rPr>
        <sz val="12"/>
        <rFont val="Times New Roman"/>
        <family val="1"/>
      </rPr>
      <t>(</t>
    </r>
    <r>
      <rPr>
        <sz val="12"/>
        <rFont val="標楷體"/>
        <family val="4"/>
        <charset val="136"/>
      </rPr>
      <t>高</t>
    </r>
    <r>
      <rPr>
        <sz val="12"/>
        <rFont val="Times New Roman"/>
        <family val="1"/>
      </rPr>
      <t>133</t>
    </r>
    <r>
      <rPr>
        <sz val="12"/>
        <rFont val="標楷體"/>
        <family val="4"/>
        <charset val="136"/>
      </rPr>
      <t>線</t>
    </r>
    <r>
      <rPr>
        <sz val="12"/>
        <rFont val="Times New Roman"/>
        <family val="1"/>
      </rPr>
      <t>7.2k</t>
    </r>
    <r>
      <rPr>
        <sz val="12"/>
        <rFont val="標楷體"/>
        <family val="4"/>
        <charset val="136"/>
      </rPr>
      <t>處荖濃溪溫泉會館</t>
    </r>
    <r>
      <rPr>
        <sz val="12"/>
        <rFont val="Times New Roman"/>
        <family val="1"/>
      </rPr>
      <t>)</t>
    </r>
    <phoneticPr fontId="5" type="noConversion"/>
  </si>
  <si>
    <r>
      <rPr>
        <sz val="12"/>
        <rFont val="標楷體"/>
        <family val="4"/>
        <charset val="136"/>
      </rPr>
      <t>高市</t>
    </r>
    <r>
      <rPr>
        <sz val="12"/>
        <rFont val="Times New Roman"/>
        <family val="1"/>
      </rPr>
      <t>DF078</t>
    </r>
    <phoneticPr fontId="5" type="noConversion"/>
  </si>
  <si>
    <r>
      <rPr>
        <sz val="12"/>
        <rFont val="標楷體"/>
        <family val="4"/>
        <charset val="136"/>
      </rPr>
      <t>六龜鄉新發村</t>
    </r>
    <r>
      <rPr>
        <sz val="12"/>
        <rFont val="Times New Roman"/>
        <family val="1"/>
      </rPr>
      <t xml:space="preserve">23 </t>
    </r>
    <r>
      <rPr>
        <sz val="12"/>
        <rFont val="標楷體"/>
        <family val="4"/>
        <charset val="136"/>
      </rPr>
      <t>鄰</t>
    </r>
    <r>
      <rPr>
        <sz val="12"/>
        <rFont val="Times New Roman"/>
        <family val="1"/>
      </rPr>
      <t>(</t>
    </r>
    <r>
      <rPr>
        <sz val="12"/>
        <rFont val="標楷體"/>
        <family val="4"/>
        <charset val="136"/>
      </rPr>
      <t>新開部落</t>
    </r>
    <r>
      <rPr>
        <sz val="12"/>
        <rFont val="Times New Roman"/>
        <family val="1"/>
      </rPr>
      <t>)</t>
    </r>
    <r>
      <rPr>
        <sz val="12"/>
        <rFont val="標楷體"/>
        <family val="4"/>
        <charset val="136"/>
      </rPr>
      <t>後方野溪上游坡地發生大規模崩塌，崩塌土石混合雨水逕流形成土石流直衝而下，</t>
    </r>
    <r>
      <rPr>
        <sz val="12"/>
        <rFont val="Times New Roman"/>
        <family val="1"/>
      </rPr>
      <t xml:space="preserve">30 </t>
    </r>
    <r>
      <rPr>
        <sz val="12"/>
        <rFont val="標楷體"/>
        <family val="4"/>
        <charset val="136"/>
      </rPr>
      <t>餘戶民宅盡遭土石掩埋，荖濃溪溫泉會館部份房舍亦遭毀損。初估堆積土石最深超過</t>
    </r>
    <r>
      <rPr>
        <sz val="12"/>
        <rFont val="Times New Roman"/>
        <family val="1"/>
      </rPr>
      <t xml:space="preserve">6 </t>
    </r>
    <r>
      <rPr>
        <sz val="12"/>
        <rFont val="標楷體"/>
        <family val="4"/>
        <charset val="136"/>
      </rPr>
      <t>公尺，面積廣達</t>
    </r>
    <r>
      <rPr>
        <sz val="12"/>
        <rFont val="Times New Roman"/>
        <family val="1"/>
      </rPr>
      <t xml:space="preserve">20 </t>
    </r>
    <r>
      <rPr>
        <sz val="12"/>
        <rFont val="標楷體"/>
        <family val="4"/>
        <charset val="136"/>
      </rPr>
      <t>公頃，堆積量達</t>
    </r>
    <r>
      <rPr>
        <sz val="12"/>
        <rFont val="Times New Roman"/>
        <family val="1"/>
      </rPr>
      <t xml:space="preserve">100 </t>
    </r>
    <r>
      <rPr>
        <sz val="12"/>
        <rFont val="標楷體"/>
        <family val="4"/>
        <charset val="136"/>
      </rPr>
      <t>萬立方公尺。</t>
    </r>
    <phoneticPr fontId="5" type="noConversion"/>
  </si>
  <si>
    <r>
      <rPr>
        <sz val="12"/>
        <rFont val="標楷體"/>
        <family val="4"/>
        <charset val="136"/>
      </rPr>
      <t>六龜鄉寶來村</t>
    </r>
    <r>
      <rPr>
        <sz val="12"/>
        <rFont val="Times New Roman"/>
        <family val="1"/>
      </rPr>
      <t>(</t>
    </r>
    <r>
      <rPr>
        <sz val="12"/>
        <rFont val="標楷體"/>
        <family val="4"/>
        <charset val="136"/>
      </rPr>
      <t>建山一橋</t>
    </r>
    <r>
      <rPr>
        <sz val="12"/>
        <rFont val="Times New Roman"/>
        <family val="1"/>
      </rPr>
      <t>) (</t>
    </r>
    <r>
      <rPr>
        <sz val="12"/>
        <rFont val="標楷體"/>
        <family val="4"/>
        <charset val="136"/>
      </rPr>
      <t>位於台</t>
    </r>
    <r>
      <rPr>
        <sz val="12"/>
        <rFont val="Times New Roman"/>
        <family val="1"/>
      </rPr>
      <t>20</t>
    </r>
    <r>
      <rPr>
        <sz val="12"/>
        <rFont val="標楷體"/>
        <family val="4"/>
        <charset val="136"/>
      </rPr>
      <t>線約</t>
    </r>
    <r>
      <rPr>
        <sz val="12"/>
        <rFont val="Times New Roman"/>
        <family val="1"/>
      </rPr>
      <t>76.5k</t>
    </r>
    <r>
      <rPr>
        <sz val="12"/>
        <rFont val="標楷體"/>
        <family val="4"/>
        <charset val="136"/>
      </rPr>
      <t>處</t>
    </r>
    <r>
      <rPr>
        <sz val="12"/>
        <rFont val="Times New Roman"/>
        <family val="1"/>
      </rPr>
      <t>)</t>
    </r>
    <phoneticPr fontId="5" type="noConversion"/>
  </si>
  <si>
    <r>
      <rPr>
        <sz val="12"/>
        <rFont val="標楷體"/>
        <family val="4"/>
        <charset val="136"/>
      </rPr>
      <t>高市</t>
    </r>
    <r>
      <rPr>
        <sz val="12"/>
        <rFont val="Times New Roman"/>
        <family val="1"/>
      </rPr>
      <t>DF073</t>
    </r>
    <phoneticPr fontId="5" type="noConversion"/>
  </si>
  <si>
    <r>
      <rPr>
        <sz val="12"/>
        <rFont val="標楷體"/>
        <family val="4"/>
        <charset val="136"/>
      </rPr>
      <t>台</t>
    </r>
    <r>
      <rPr>
        <sz val="12"/>
        <rFont val="Times New Roman"/>
        <family val="1"/>
      </rPr>
      <t xml:space="preserve">20 </t>
    </r>
    <r>
      <rPr>
        <sz val="12"/>
        <rFont val="標楷體"/>
        <family val="4"/>
        <charset val="136"/>
      </rPr>
      <t>線建山一橋處之打鐵坑溪於莫拉克颱風期間爆發土石流，大量土石阻塞河道並掩埋建山一橋，造成台</t>
    </r>
    <r>
      <rPr>
        <sz val="12"/>
        <rFont val="Times New Roman"/>
        <family val="1"/>
      </rPr>
      <t xml:space="preserve">20 </t>
    </r>
    <r>
      <rPr>
        <sz val="12"/>
        <rFont val="標楷體"/>
        <family val="4"/>
        <charset val="136"/>
      </rPr>
      <t>線交通中斷及橋樑毀損。打鐵坑溪流域發生大範圍之河岸沖刷及崩塌，除造成集水區多處農路中斷外，另掩埋邊坡下方之多棟民宅。</t>
    </r>
    <phoneticPr fontId="5" type="noConversion"/>
  </si>
  <si>
    <r>
      <rPr>
        <sz val="12"/>
        <rFont val="標楷體"/>
        <family val="4"/>
        <charset val="136"/>
      </rPr>
      <t>六龜鄉新發村</t>
    </r>
    <r>
      <rPr>
        <sz val="12"/>
        <rFont val="Times New Roman"/>
        <family val="1"/>
      </rPr>
      <t>(</t>
    </r>
    <r>
      <rPr>
        <sz val="12"/>
        <rFont val="標楷體"/>
        <family val="4"/>
        <charset val="136"/>
      </rPr>
      <t>六龜大佛</t>
    </r>
    <r>
      <rPr>
        <sz val="12"/>
        <rFont val="Times New Roman"/>
        <family val="1"/>
      </rPr>
      <t>)</t>
    </r>
    <phoneticPr fontId="5" type="noConversion"/>
  </si>
  <si>
    <r>
      <rPr>
        <sz val="12"/>
        <rFont val="標楷體"/>
        <family val="4"/>
        <charset val="136"/>
      </rPr>
      <t>高市</t>
    </r>
    <r>
      <rPr>
        <sz val="12"/>
        <rFont val="Times New Roman"/>
        <family val="1"/>
      </rPr>
      <t>DF102</t>
    </r>
    <phoneticPr fontId="5" type="noConversion"/>
  </si>
  <si>
    <r>
      <rPr>
        <sz val="12"/>
        <rFont val="標楷體"/>
        <family val="4"/>
        <charset val="136"/>
      </rPr>
      <t>因莫拉克颱風所挾帶豪雨，導致六龜鄉新發村六龜大佛後方坡地發生崩塌，並引發土石流由大佛兩側向下方流動堆積，造成大佛下方兩側多戶民宅之掩埋受損災情。</t>
    </r>
    <phoneticPr fontId="5" type="noConversion"/>
  </si>
  <si>
    <t>C1V240</t>
    <phoneticPr fontId="5" type="noConversion"/>
  </si>
  <si>
    <r>
      <rPr>
        <sz val="12"/>
        <rFont val="標楷體"/>
        <family val="4"/>
        <charset val="136"/>
      </rPr>
      <t>牡丹鄉高士村</t>
    </r>
    <r>
      <rPr>
        <sz val="12"/>
        <rFont val="Times New Roman"/>
        <family val="1"/>
      </rPr>
      <t xml:space="preserve"> (</t>
    </r>
    <r>
      <rPr>
        <sz val="12"/>
        <rFont val="標楷體"/>
        <family val="4"/>
        <charset val="136"/>
      </rPr>
      <t>村辦公室後方之</t>
    </r>
    <r>
      <rPr>
        <sz val="12"/>
        <rFont val="Times New Roman"/>
        <family val="1"/>
      </rPr>
      <t>5</t>
    </r>
    <r>
      <rPr>
        <sz val="12"/>
        <rFont val="標楷體"/>
        <family val="4"/>
        <charset val="136"/>
      </rPr>
      <t>鄰及</t>
    </r>
    <r>
      <rPr>
        <sz val="12"/>
        <rFont val="Times New Roman"/>
        <family val="1"/>
      </rPr>
      <t>6</t>
    </r>
    <r>
      <rPr>
        <sz val="12"/>
        <rFont val="標楷體"/>
        <family val="4"/>
        <charset val="136"/>
      </rPr>
      <t>鄰聚落</t>
    </r>
    <r>
      <rPr>
        <sz val="12"/>
        <rFont val="Times New Roman"/>
        <family val="1"/>
      </rPr>
      <t>)</t>
    </r>
    <phoneticPr fontId="5" type="noConversion"/>
  </si>
  <si>
    <r>
      <rPr>
        <sz val="12"/>
        <rFont val="標楷體"/>
        <family val="4"/>
        <charset val="136"/>
      </rPr>
      <t>牡丹鄉</t>
    </r>
    <phoneticPr fontId="5" type="noConversion"/>
  </si>
  <si>
    <r>
      <rPr>
        <sz val="12"/>
        <rFont val="標楷體"/>
        <family val="4"/>
        <charset val="136"/>
      </rPr>
      <t>高士村</t>
    </r>
  </si>
  <si>
    <r>
      <rPr>
        <sz val="12"/>
        <rFont val="標楷體"/>
        <family val="4"/>
        <charset val="136"/>
      </rPr>
      <t>牡丹鄉高士村</t>
    </r>
    <r>
      <rPr>
        <sz val="12"/>
        <rFont val="Times New Roman"/>
        <family val="1"/>
      </rPr>
      <t xml:space="preserve">5 </t>
    </r>
    <r>
      <rPr>
        <sz val="12"/>
        <rFont val="標楷體"/>
        <family val="4"/>
        <charset val="136"/>
      </rPr>
      <t>鄰及</t>
    </r>
    <r>
      <rPr>
        <sz val="12"/>
        <rFont val="Times New Roman"/>
        <family val="1"/>
      </rPr>
      <t xml:space="preserve">6 </t>
    </r>
    <r>
      <rPr>
        <sz val="12"/>
        <rFont val="標楷體"/>
        <family val="4"/>
        <charset val="136"/>
      </rPr>
      <t>鄰聚落處邊坡，於</t>
    </r>
    <r>
      <rPr>
        <sz val="12"/>
        <rFont val="Times New Roman"/>
        <family val="1"/>
      </rPr>
      <t xml:space="preserve">8/8 </t>
    </r>
    <r>
      <rPr>
        <sz val="12"/>
        <rFont val="標楷體"/>
        <family val="4"/>
        <charset val="136"/>
      </rPr>
      <t>清晨由莫拉克颱風所挾帶雨勢入滲而引致邊坡滑動與陷落，造成多棟民宅傾斜、地坪錯動，以及牆壁發生裂縫，擋土牆亦發生多處錯位與裂縫。</t>
    </r>
    <phoneticPr fontId="5" type="noConversion"/>
  </si>
  <si>
    <t>C1R290</t>
  </si>
  <si>
    <r>
      <rPr>
        <sz val="12"/>
        <rFont val="標楷體"/>
        <family val="4"/>
        <charset val="136"/>
      </rPr>
      <t>石門山</t>
    </r>
    <phoneticPr fontId="5" type="noConversion"/>
  </si>
  <si>
    <r>
      <rPr>
        <sz val="12"/>
        <rFont val="標楷體"/>
        <family val="4"/>
        <charset val="136"/>
      </rPr>
      <t>－</t>
    </r>
  </si>
  <si>
    <r>
      <rPr>
        <sz val="12"/>
        <rFont val="標楷體"/>
        <family val="4"/>
        <charset val="136"/>
      </rPr>
      <t>梅山鄉太和村</t>
    </r>
    <r>
      <rPr>
        <sz val="12"/>
        <rFont val="Times New Roman"/>
        <family val="1"/>
      </rPr>
      <t>(</t>
    </r>
    <r>
      <rPr>
        <sz val="12"/>
        <rFont val="標楷體"/>
        <family val="4"/>
        <charset val="136"/>
      </rPr>
      <t>油車寮</t>
    </r>
    <r>
      <rPr>
        <sz val="12"/>
        <rFont val="Times New Roman"/>
        <family val="1"/>
      </rPr>
      <t>)(</t>
    </r>
    <r>
      <rPr>
        <sz val="12"/>
        <rFont val="標楷體"/>
        <family val="4"/>
        <charset val="136"/>
      </rPr>
      <t>位於嘉</t>
    </r>
    <r>
      <rPr>
        <sz val="12"/>
        <rFont val="Times New Roman"/>
        <family val="1"/>
      </rPr>
      <t>169</t>
    </r>
    <r>
      <rPr>
        <sz val="12"/>
        <rFont val="標楷體"/>
        <family val="4"/>
        <charset val="136"/>
      </rPr>
      <t>線約</t>
    </r>
    <r>
      <rPr>
        <sz val="12"/>
        <rFont val="Times New Roman"/>
        <family val="1"/>
      </rPr>
      <t>7K</t>
    </r>
    <r>
      <rPr>
        <sz val="12"/>
        <rFont val="標楷體"/>
        <family val="4"/>
        <charset val="136"/>
      </rPr>
      <t>處</t>
    </r>
    <r>
      <rPr>
        <sz val="12"/>
        <rFont val="Times New Roman"/>
        <family val="1"/>
      </rPr>
      <t>)</t>
    </r>
    <phoneticPr fontId="5" type="noConversion"/>
  </si>
  <si>
    <r>
      <rPr>
        <sz val="12"/>
        <rFont val="標楷體"/>
        <family val="4"/>
        <charset val="136"/>
      </rPr>
      <t>太和村</t>
    </r>
    <phoneticPr fontId="5" type="noConversion"/>
  </si>
  <si>
    <r>
      <rPr>
        <sz val="12"/>
        <rFont val="標楷體"/>
        <family val="4"/>
        <charset val="136"/>
      </rPr>
      <t>嘉縣</t>
    </r>
    <r>
      <rPr>
        <sz val="12"/>
        <rFont val="Times New Roman"/>
        <family val="1"/>
      </rPr>
      <t>DF008</t>
    </r>
  </si>
  <si>
    <r>
      <t xml:space="preserve">169 </t>
    </r>
    <r>
      <rPr>
        <sz val="12"/>
        <rFont val="標楷體"/>
        <family val="4"/>
        <charset val="136"/>
      </rPr>
      <t>線、</t>
    </r>
    <r>
      <rPr>
        <sz val="12"/>
        <rFont val="Times New Roman"/>
        <family val="1"/>
      </rPr>
      <t xml:space="preserve">162 </t>
    </r>
    <r>
      <rPr>
        <sz val="12"/>
        <rFont val="標楷體"/>
        <family val="4"/>
        <charset val="136"/>
      </rPr>
      <t>甲線及</t>
    </r>
    <r>
      <rPr>
        <sz val="12"/>
        <rFont val="Times New Roman"/>
        <family val="1"/>
      </rPr>
      <t xml:space="preserve">149 </t>
    </r>
    <r>
      <rPr>
        <sz val="12"/>
        <rFont val="標楷體"/>
        <family val="4"/>
        <charset val="136"/>
      </rPr>
      <t>甲線交會處</t>
    </r>
    <r>
      <rPr>
        <sz val="12"/>
        <rFont val="Times New Roman"/>
        <family val="1"/>
      </rPr>
      <t>(</t>
    </r>
    <r>
      <rPr>
        <sz val="12"/>
        <rFont val="標楷體"/>
        <family val="4"/>
        <charset val="136"/>
      </rPr>
      <t>油車寮</t>
    </r>
    <r>
      <rPr>
        <sz val="12"/>
        <rFont val="Times New Roman"/>
        <family val="1"/>
      </rPr>
      <t xml:space="preserve">7 </t>
    </r>
    <r>
      <rPr>
        <sz val="12"/>
        <rFont val="標楷體"/>
        <family val="4"/>
        <charset val="136"/>
      </rPr>
      <t>鄰</t>
    </r>
    <r>
      <rPr>
        <sz val="12"/>
        <rFont val="Times New Roman"/>
        <family val="1"/>
      </rPr>
      <t xml:space="preserve">7 </t>
    </r>
    <r>
      <rPr>
        <sz val="12"/>
        <rFont val="標楷體"/>
        <family val="4"/>
        <charset val="136"/>
      </rPr>
      <t>號</t>
    </r>
    <r>
      <rPr>
        <sz val="12"/>
        <rFont val="Times New Roman"/>
        <family val="1"/>
      </rPr>
      <t>)</t>
    </r>
    <r>
      <rPr>
        <sz val="12"/>
        <rFont val="標楷體"/>
        <family val="4"/>
        <charset val="136"/>
      </rPr>
      <t>發生嚴重之地滑走山，並造成多處道路與民宅受損。</t>
    </r>
    <phoneticPr fontId="5" type="noConversion"/>
  </si>
  <si>
    <r>
      <rPr>
        <sz val="12"/>
        <rFont val="標楷體"/>
        <family val="4"/>
        <charset val="136"/>
      </rPr>
      <t>梅山鄉瑞里村</t>
    </r>
    <r>
      <rPr>
        <sz val="12"/>
        <rFont val="Times New Roman"/>
        <family val="1"/>
      </rPr>
      <t xml:space="preserve"> 5 </t>
    </r>
    <r>
      <rPr>
        <sz val="12"/>
        <rFont val="標楷體"/>
        <family val="4"/>
        <charset val="136"/>
      </rPr>
      <t>鄰</t>
    </r>
    <r>
      <rPr>
        <sz val="12"/>
        <rFont val="Times New Roman"/>
        <family val="1"/>
      </rPr>
      <t xml:space="preserve">(62-8 </t>
    </r>
    <r>
      <rPr>
        <sz val="12"/>
        <rFont val="標楷體"/>
        <family val="4"/>
        <charset val="136"/>
      </rPr>
      <t>號</t>
    </r>
    <r>
      <rPr>
        <sz val="12"/>
        <rFont val="Times New Roman"/>
        <family val="1"/>
      </rPr>
      <t>)</t>
    </r>
  </si>
  <si>
    <r>
      <rPr>
        <sz val="12"/>
        <rFont val="標楷體"/>
        <family val="4"/>
        <charset val="136"/>
      </rPr>
      <t>因莫拉克挾帶豪大雨，造成梅山鄉瑞里村</t>
    </r>
    <r>
      <rPr>
        <sz val="12"/>
        <rFont val="Times New Roman"/>
        <family val="1"/>
      </rPr>
      <t xml:space="preserve">5 </t>
    </r>
    <r>
      <rPr>
        <sz val="12"/>
        <rFont val="標楷體"/>
        <family val="4"/>
        <charset val="136"/>
      </rPr>
      <t>鄰邊坡滑動與陷落，</t>
    </r>
    <r>
      <rPr>
        <sz val="12"/>
        <rFont val="Times New Roman"/>
        <family val="1"/>
      </rPr>
      <t xml:space="preserve">62-8 </t>
    </r>
    <r>
      <rPr>
        <sz val="12"/>
        <rFont val="標楷體"/>
        <family val="4"/>
        <charset val="136"/>
      </rPr>
      <t>號民宅及小木屋屋舍傾斜、地坪錯動，屋內及屋外道路亦發現多處錯位與裂縫，並產生明顯傾斜。嘉</t>
    </r>
    <r>
      <rPr>
        <sz val="12"/>
        <rFont val="Times New Roman"/>
        <family val="1"/>
      </rPr>
      <t xml:space="preserve"> 122 </t>
    </r>
    <r>
      <rPr>
        <sz val="12"/>
        <rFont val="標楷體"/>
        <family val="4"/>
        <charset val="136"/>
      </rPr>
      <t>線道路因而損壞約</t>
    </r>
    <r>
      <rPr>
        <sz val="12"/>
        <rFont val="Times New Roman"/>
        <family val="1"/>
      </rPr>
      <t xml:space="preserve"> 50 </t>
    </r>
    <r>
      <rPr>
        <sz val="12"/>
        <rFont val="標楷體"/>
        <family val="4"/>
        <charset val="136"/>
      </rPr>
      <t>公尺。</t>
    </r>
    <phoneticPr fontId="5" type="noConversion"/>
  </si>
  <si>
    <r>
      <rPr>
        <sz val="12"/>
        <rFont val="標楷體"/>
        <family val="4"/>
        <charset val="136"/>
      </rPr>
      <t>梅山鄉瑞里村</t>
    </r>
    <r>
      <rPr>
        <sz val="12"/>
        <rFont val="Times New Roman"/>
        <family val="1"/>
      </rPr>
      <t xml:space="preserve">(8 </t>
    </r>
    <r>
      <rPr>
        <sz val="12"/>
        <rFont val="標楷體"/>
        <family val="4"/>
        <charset val="136"/>
      </rPr>
      <t>鄰</t>
    </r>
    <r>
      <rPr>
        <sz val="12"/>
        <rFont val="Times New Roman"/>
        <family val="1"/>
      </rPr>
      <t xml:space="preserve"> 12 </t>
    </r>
    <r>
      <rPr>
        <sz val="12"/>
        <rFont val="標楷體"/>
        <family val="4"/>
        <charset val="136"/>
      </rPr>
      <t>號、</t>
    </r>
    <r>
      <rPr>
        <sz val="12"/>
        <rFont val="Times New Roman"/>
        <family val="1"/>
      </rPr>
      <t xml:space="preserve">14 </t>
    </r>
    <r>
      <rPr>
        <sz val="12"/>
        <rFont val="標楷體"/>
        <family val="4"/>
        <charset val="136"/>
      </rPr>
      <t>號、</t>
    </r>
    <r>
      <rPr>
        <sz val="12"/>
        <rFont val="Times New Roman"/>
        <family val="1"/>
      </rPr>
      <t xml:space="preserve">16 </t>
    </r>
    <r>
      <rPr>
        <sz val="12"/>
        <rFont val="標楷體"/>
        <family val="4"/>
        <charset val="136"/>
      </rPr>
      <t>號</t>
    </r>
    <r>
      <rPr>
        <sz val="12"/>
        <rFont val="Times New Roman"/>
        <family val="1"/>
      </rPr>
      <t>)</t>
    </r>
    <phoneticPr fontId="5" type="noConversion"/>
  </si>
  <si>
    <r>
      <rPr>
        <sz val="12"/>
        <rFont val="標楷體"/>
        <family val="4"/>
        <charset val="136"/>
      </rPr>
      <t>地滑災害造成本區域</t>
    </r>
    <r>
      <rPr>
        <sz val="12"/>
        <rFont val="Times New Roman"/>
        <family val="1"/>
      </rPr>
      <t xml:space="preserve"> 12</t>
    </r>
    <r>
      <rPr>
        <sz val="12"/>
        <rFont val="標楷體"/>
        <family val="4"/>
        <charset val="136"/>
      </rPr>
      <t>、</t>
    </r>
    <r>
      <rPr>
        <sz val="12"/>
        <rFont val="Times New Roman"/>
        <family val="1"/>
      </rPr>
      <t>14</t>
    </r>
    <r>
      <rPr>
        <sz val="12"/>
        <rFont val="標楷體"/>
        <family val="4"/>
        <charset val="136"/>
      </rPr>
      <t>、</t>
    </r>
    <r>
      <rPr>
        <sz val="12"/>
        <rFont val="Times New Roman"/>
        <family val="1"/>
      </rPr>
      <t xml:space="preserve">16 </t>
    </r>
    <r>
      <rPr>
        <sz val="12"/>
        <rFont val="標楷體"/>
        <family val="4"/>
        <charset val="136"/>
      </rPr>
      <t>號民宅地坪輕微錯動並出現數條裂縫。</t>
    </r>
    <r>
      <rPr>
        <sz val="12"/>
        <rFont val="Times New Roman"/>
        <family val="1"/>
      </rPr>
      <t xml:space="preserve">16 </t>
    </r>
    <r>
      <rPr>
        <sz val="12"/>
        <rFont val="標楷體"/>
        <family val="4"/>
        <charset val="136"/>
      </rPr>
      <t>號民宅及道路因而有往東北方向傾斜之趨勢。本區域原先規劃避難地點為瑞里國小，因莫拉克颱風使東側產生崩塌，阻斷通往瑞里唯一避難道路。</t>
    </r>
    <phoneticPr fontId="5" type="noConversion"/>
  </si>
  <si>
    <r>
      <rPr>
        <sz val="12"/>
        <rFont val="標楷體"/>
        <family val="4"/>
        <charset val="136"/>
      </rPr>
      <t>大竹本部落</t>
    </r>
    <r>
      <rPr>
        <sz val="12"/>
        <rFont val="Times New Roman"/>
        <family val="1"/>
      </rPr>
      <t xml:space="preserve"> (</t>
    </r>
    <r>
      <rPr>
        <sz val="12"/>
        <rFont val="標楷體"/>
        <family val="4"/>
        <charset val="136"/>
      </rPr>
      <t>位於台</t>
    </r>
    <r>
      <rPr>
        <sz val="12"/>
        <rFont val="Times New Roman"/>
        <family val="1"/>
      </rPr>
      <t>9</t>
    </r>
    <r>
      <rPr>
        <sz val="12"/>
        <rFont val="標楷體"/>
        <family val="4"/>
        <charset val="136"/>
      </rPr>
      <t>線</t>
    </r>
    <r>
      <rPr>
        <sz val="12"/>
        <rFont val="Times New Roman"/>
        <family val="1"/>
      </rPr>
      <t>425km</t>
    </r>
    <r>
      <rPr>
        <sz val="12"/>
        <rFont val="標楷體"/>
        <family val="4"/>
        <charset val="136"/>
      </rPr>
      <t>大竹安檢所旁</t>
    </r>
    <r>
      <rPr>
        <sz val="12"/>
        <rFont val="Times New Roman"/>
        <family val="1"/>
      </rPr>
      <t>)</t>
    </r>
    <phoneticPr fontId="5" type="noConversion"/>
  </si>
  <si>
    <r>
      <rPr>
        <sz val="12"/>
        <rFont val="標楷體"/>
        <family val="4"/>
        <charset val="136"/>
      </rPr>
      <t>大竹村</t>
    </r>
    <phoneticPr fontId="5" type="noConversion"/>
  </si>
  <si>
    <r>
      <rPr>
        <sz val="12"/>
        <rFont val="標楷體"/>
        <family val="4"/>
        <charset val="136"/>
      </rPr>
      <t>東縣</t>
    </r>
    <r>
      <rPr>
        <sz val="12"/>
        <rFont val="Times New Roman"/>
        <family val="1"/>
      </rPr>
      <t>DF165</t>
    </r>
  </si>
  <si>
    <r>
      <rPr>
        <sz val="12"/>
        <rFont val="標楷體"/>
        <family val="4"/>
        <charset val="136"/>
      </rPr>
      <t>因莫拉克颱風挾帶豪雨造成野溪上游兩側發生約</t>
    </r>
    <r>
      <rPr>
        <sz val="12"/>
        <rFont val="Times New Roman"/>
        <family val="1"/>
      </rPr>
      <t xml:space="preserve"> 0.3 </t>
    </r>
    <r>
      <rPr>
        <sz val="12"/>
        <rFont val="標楷體"/>
        <family val="4"/>
        <charset val="136"/>
      </rPr>
      <t>公頃崩塌面積，崩落土石伴隨大量洪水沿野溪衝出，導致大竹本部落部分聯外道路阻斷和民宅遭淤埋及毀損，民宅淤積深度達</t>
    </r>
    <r>
      <rPr>
        <sz val="12"/>
        <rFont val="Times New Roman"/>
        <family val="1"/>
      </rPr>
      <t xml:space="preserve"> 2.5 </t>
    </r>
    <r>
      <rPr>
        <sz val="12"/>
        <rFont val="標楷體"/>
        <family val="4"/>
        <charset val="136"/>
      </rPr>
      <t>公尺，道路阻斷約</t>
    </r>
    <r>
      <rPr>
        <sz val="12"/>
        <rFont val="Times New Roman"/>
        <family val="1"/>
      </rPr>
      <t xml:space="preserve"> 160 </t>
    </r>
    <r>
      <rPr>
        <sz val="12"/>
        <rFont val="標楷體"/>
        <family val="4"/>
        <charset val="136"/>
      </rPr>
      <t>公尺；土砂量估約</t>
    </r>
    <r>
      <rPr>
        <sz val="12"/>
        <rFont val="Times New Roman"/>
        <family val="1"/>
      </rPr>
      <t xml:space="preserve"> 9 </t>
    </r>
    <r>
      <rPr>
        <sz val="12"/>
        <rFont val="標楷體"/>
        <family val="4"/>
        <charset val="136"/>
      </rPr>
      <t>千立方公尺。</t>
    </r>
    <phoneticPr fontId="5" type="noConversion"/>
  </si>
  <si>
    <r>
      <rPr>
        <sz val="12"/>
        <rFont val="標楷體"/>
        <family val="4"/>
        <charset val="136"/>
      </rPr>
      <t>地滑</t>
    </r>
    <r>
      <rPr>
        <sz val="12"/>
        <rFont val="Times New Roman"/>
        <family val="1"/>
      </rPr>
      <t>(</t>
    </r>
    <r>
      <rPr>
        <sz val="12"/>
        <rFont val="標楷體"/>
        <family val="4"/>
        <charset val="136"/>
      </rPr>
      <t>弧形</t>
    </r>
    <r>
      <rPr>
        <sz val="12"/>
        <rFont val="Times New Roman"/>
        <family val="1"/>
      </rPr>
      <t>)</t>
    </r>
    <r>
      <rPr>
        <sz val="12"/>
        <rFont val="標楷體"/>
        <family val="4"/>
        <charset val="136"/>
      </rPr>
      <t>、洪水</t>
    </r>
  </si>
  <si>
    <r>
      <rPr>
        <sz val="12"/>
        <rFont val="標楷體"/>
        <family val="4"/>
        <charset val="136"/>
      </rPr>
      <t>滿洲鄉長樂村</t>
    </r>
    <r>
      <rPr>
        <sz val="12"/>
        <rFont val="Times New Roman"/>
        <family val="1"/>
      </rPr>
      <t>(</t>
    </r>
    <r>
      <rPr>
        <sz val="12"/>
        <rFont val="標楷體"/>
        <family val="4"/>
        <charset val="136"/>
      </rPr>
      <t>八瑤教會</t>
    </r>
    <r>
      <rPr>
        <sz val="12"/>
        <rFont val="Times New Roman"/>
        <family val="1"/>
      </rPr>
      <t>) (</t>
    </r>
    <r>
      <rPr>
        <sz val="12"/>
        <rFont val="標楷體"/>
        <family val="4"/>
        <charset val="136"/>
      </rPr>
      <t>縣道</t>
    </r>
    <r>
      <rPr>
        <sz val="12"/>
        <rFont val="Times New Roman"/>
        <family val="1"/>
      </rPr>
      <t xml:space="preserve"> 200 </t>
    </r>
    <r>
      <rPr>
        <sz val="12"/>
        <rFont val="標楷體"/>
        <family val="4"/>
        <charset val="136"/>
      </rPr>
      <t>線</t>
    </r>
    <r>
      <rPr>
        <sz val="12"/>
        <rFont val="Times New Roman"/>
        <family val="1"/>
      </rPr>
      <t xml:space="preserve"> 24K </t>
    </r>
    <r>
      <rPr>
        <sz val="12"/>
        <rFont val="標楷體"/>
        <family val="4"/>
        <charset val="136"/>
      </rPr>
      <t>處</t>
    </r>
    <r>
      <rPr>
        <sz val="12"/>
        <rFont val="Times New Roman"/>
        <family val="1"/>
      </rPr>
      <t>)</t>
    </r>
    <phoneticPr fontId="5" type="noConversion"/>
  </si>
  <si>
    <r>
      <rPr>
        <sz val="12"/>
        <rFont val="標楷體"/>
        <family val="4"/>
        <charset val="136"/>
      </rPr>
      <t>滿洲鄉</t>
    </r>
    <phoneticPr fontId="5" type="noConversion"/>
  </si>
  <si>
    <r>
      <rPr>
        <sz val="12"/>
        <rFont val="標楷體"/>
        <family val="4"/>
        <charset val="136"/>
      </rPr>
      <t>長樂村</t>
    </r>
    <phoneticPr fontId="5" type="noConversion"/>
  </si>
  <si>
    <r>
      <rPr>
        <sz val="12"/>
        <rFont val="標楷體"/>
        <family val="4"/>
        <charset val="136"/>
      </rPr>
      <t>因莫拉克帶來豪大雨，造成長樂村</t>
    </r>
    <r>
      <rPr>
        <sz val="12"/>
        <rFont val="Times New Roman"/>
        <family val="1"/>
      </rPr>
      <t xml:space="preserve"> 16 </t>
    </r>
    <r>
      <rPr>
        <sz val="12"/>
        <rFont val="標楷體"/>
        <family val="4"/>
        <charset val="136"/>
      </rPr>
      <t>鄰靠近</t>
    </r>
    <r>
      <rPr>
        <sz val="12"/>
        <rFont val="Times New Roman"/>
        <family val="1"/>
      </rPr>
      <t xml:space="preserve">200 </t>
    </r>
    <r>
      <rPr>
        <sz val="12"/>
        <rFont val="標楷體"/>
        <family val="4"/>
        <charset val="136"/>
      </rPr>
      <t>線</t>
    </r>
    <r>
      <rPr>
        <sz val="12"/>
        <rFont val="Times New Roman"/>
        <family val="1"/>
      </rPr>
      <t xml:space="preserve"> 24k </t>
    </r>
    <r>
      <rPr>
        <sz val="12"/>
        <rFont val="標楷體"/>
        <family val="4"/>
        <charset val="136"/>
      </rPr>
      <t>處之兩側數戶民宅後方因地滑而產生大小不一之裂痕。</t>
    </r>
    <r>
      <rPr>
        <sz val="12"/>
        <rFont val="Times New Roman"/>
        <family val="1"/>
      </rPr>
      <t xml:space="preserve">974 </t>
    </r>
    <r>
      <rPr>
        <sz val="12"/>
        <rFont val="標楷體"/>
        <family val="4"/>
        <charset val="136"/>
      </rPr>
      <t>號民宅及八瑤教會兩處受損最為嚴重，裂縫最寬可達</t>
    </r>
    <r>
      <rPr>
        <sz val="12"/>
        <rFont val="Times New Roman"/>
        <family val="1"/>
      </rPr>
      <t xml:space="preserve"> 45cm</t>
    </r>
    <r>
      <rPr>
        <sz val="12"/>
        <rFont val="標楷體"/>
        <family val="4"/>
        <charset val="136"/>
      </rPr>
      <t>。部落位於縣道</t>
    </r>
    <r>
      <rPr>
        <sz val="12"/>
        <rFont val="Times New Roman"/>
        <family val="1"/>
      </rPr>
      <t xml:space="preserve"> 200 </t>
    </r>
    <r>
      <rPr>
        <sz val="12"/>
        <rFont val="標楷體"/>
        <family val="4"/>
        <charset val="136"/>
      </rPr>
      <t>線</t>
    </r>
    <r>
      <rPr>
        <sz val="12"/>
        <rFont val="Times New Roman"/>
        <family val="1"/>
      </rPr>
      <t xml:space="preserve"> 24K </t>
    </r>
    <r>
      <rPr>
        <sz val="12"/>
        <rFont val="標楷體"/>
        <family val="4"/>
        <charset val="136"/>
      </rPr>
      <t>處往片埔方向約有</t>
    </r>
    <r>
      <rPr>
        <sz val="12"/>
        <rFont val="Times New Roman"/>
        <family val="1"/>
      </rPr>
      <t xml:space="preserve">300m </t>
    </r>
    <r>
      <rPr>
        <sz val="12"/>
        <rFont val="標楷體"/>
        <family val="4"/>
        <charset val="136"/>
      </rPr>
      <t>路基受損。港口溪溪水暴漲從右岸民宅旁溢流，沖刷民前方河階地及漁塭。</t>
    </r>
    <phoneticPr fontId="5" type="noConversion"/>
  </si>
  <si>
    <r>
      <rPr>
        <sz val="12"/>
        <rFont val="標楷體"/>
        <family val="4"/>
        <charset val="136"/>
      </rPr>
      <t>檳榔</t>
    </r>
    <phoneticPr fontId="5" type="noConversion"/>
  </si>
  <si>
    <r>
      <rPr>
        <sz val="12"/>
        <rFont val="標楷體"/>
        <family val="4"/>
        <charset val="136"/>
      </rPr>
      <t>地滑、洪水</t>
    </r>
  </si>
  <si>
    <r>
      <rPr>
        <sz val="12"/>
        <rFont val="標楷體"/>
        <family val="4"/>
        <charset val="136"/>
      </rPr>
      <t>瑪家</t>
    </r>
    <r>
      <rPr>
        <sz val="12"/>
        <rFont val="Times New Roman"/>
        <family val="1"/>
      </rPr>
      <t>(</t>
    </r>
    <r>
      <rPr>
        <sz val="12"/>
        <rFont val="標楷體"/>
        <family val="4"/>
        <charset val="136"/>
      </rPr>
      <t>位於屏</t>
    </r>
    <r>
      <rPr>
        <sz val="12"/>
        <rFont val="Times New Roman"/>
        <family val="1"/>
      </rPr>
      <t xml:space="preserve"> 35 </t>
    </r>
    <r>
      <rPr>
        <sz val="12"/>
        <rFont val="標楷體"/>
        <family val="4"/>
        <charset val="136"/>
      </rPr>
      <t>縣道</t>
    </r>
    <r>
      <rPr>
        <sz val="12"/>
        <rFont val="Times New Roman"/>
        <family val="1"/>
      </rPr>
      <t xml:space="preserve"> 11K </t>
    </r>
    <r>
      <rPr>
        <sz val="12"/>
        <rFont val="標楷體"/>
        <family val="4"/>
        <charset val="136"/>
      </rPr>
      <t>處</t>
    </r>
    <r>
      <rPr>
        <sz val="12"/>
        <rFont val="Times New Roman"/>
        <family val="1"/>
      </rPr>
      <t>)</t>
    </r>
    <phoneticPr fontId="5" type="noConversion"/>
  </si>
  <si>
    <r>
      <rPr>
        <sz val="12"/>
        <rFont val="標楷體"/>
        <family val="4"/>
        <charset val="136"/>
      </rPr>
      <t>莫拉克颱風期間屏</t>
    </r>
    <r>
      <rPr>
        <sz val="12"/>
        <rFont val="Times New Roman"/>
        <family val="1"/>
      </rPr>
      <t xml:space="preserve"> 35 </t>
    </r>
    <r>
      <rPr>
        <sz val="12"/>
        <rFont val="標楷體"/>
        <family val="4"/>
        <charset val="136"/>
      </rPr>
      <t>縣道約</t>
    </r>
    <r>
      <rPr>
        <sz val="12"/>
        <rFont val="Times New Roman"/>
        <family val="1"/>
      </rPr>
      <t xml:space="preserve"> 11k </t>
    </r>
    <r>
      <rPr>
        <sz val="12"/>
        <rFont val="標楷體"/>
        <family val="4"/>
        <charset val="136"/>
      </rPr>
      <t>處發生大規模地層滑動害，其中房舍及部落內聯外道路產生程度不一之裂縫或傾斜。瑪家</t>
    </r>
    <r>
      <rPr>
        <sz val="12"/>
        <rFont val="Times New Roman"/>
        <family val="1"/>
      </rPr>
      <t xml:space="preserve"> 1~2 </t>
    </r>
    <r>
      <rPr>
        <sz val="12"/>
        <rFont val="標楷體"/>
        <family val="4"/>
        <charset val="136"/>
      </rPr>
      <t>鄰聯外道路因邊坡坡面沖蝕嚴重洪水宣洩而下，土石及樹枝等雜物阻塞排水溝渠，導致水流漫至路面阻斷部分聯外道路。</t>
    </r>
    <phoneticPr fontId="5" type="noConversion"/>
  </si>
  <si>
    <t>C0R150</t>
  </si>
  <si>
    <r>
      <rPr>
        <sz val="12"/>
        <rFont val="標楷體"/>
        <family val="4"/>
        <charset val="136"/>
      </rPr>
      <t>三地門</t>
    </r>
    <phoneticPr fontId="5" type="noConversion"/>
  </si>
  <si>
    <r>
      <rPr>
        <sz val="12"/>
        <rFont val="標楷體"/>
        <family val="4"/>
        <charset val="136"/>
      </rPr>
      <t>霧台鄉吉露村</t>
    </r>
    <r>
      <rPr>
        <sz val="12"/>
        <rFont val="Times New Roman"/>
        <family val="1"/>
      </rPr>
      <t xml:space="preserve"> (</t>
    </r>
    <r>
      <rPr>
        <sz val="12"/>
        <rFont val="標楷體"/>
        <family val="4"/>
        <charset val="136"/>
      </rPr>
      <t>台</t>
    </r>
    <r>
      <rPr>
        <sz val="12"/>
        <rFont val="Times New Roman"/>
        <family val="1"/>
      </rPr>
      <t>24</t>
    </r>
    <r>
      <rPr>
        <sz val="12"/>
        <rFont val="標楷體"/>
        <family val="4"/>
        <charset val="136"/>
      </rPr>
      <t>線</t>
    </r>
    <r>
      <rPr>
        <sz val="12"/>
        <rFont val="Times New Roman"/>
        <family val="1"/>
      </rPr>
      <t>46k</t>
    </r>
    <r>
      <rPr>
        <sz val="12"/>
        <rFont val="標楷體"/>
        <family val="4"/>
        <charset val="136"/>
      </rPr>
      <t>處</t>
    </r>
    <r>
      <rPr>
        <sz val="12"/>
        <rFont val="Times New Roman"/>
        <family val="1"/>
      </rPr>
      <t>)</t>
    </r>
    <phoneticPr fontId="5" type="noConversion"/>
  </si>
  <si>
    <r>
      <rPr>
        <sz val="12"/>
        <rFont val="標楷體"/>
        <family val="4"/>
        <charset val="136"/>
      </rPr>
      <t>吉露村</t>
    </r>
  </si>
  <si>
    <r>
      <rPr>
        <sz val="12"/>
        <rFont val="標楷體"/>
        <family val="4"/>
        <charset val="136"/>
      </rPr>
      <t>因莫拉克颱風帶來之超大豪雨，導致台</t>
    </r>
    <r>
      <rPr>
        <sz val="12"/>
        <rFont val="Times New Roman"/>
        <family val="1"/>
      </rPr>
      <t xml:space="preserve">24 </t>
    </r>
    <r>
      <rPr>
        <sz val="12"/>
        <rFont val="標楷體"/>
        <family val="4"/>
        <charset val="136"/>
      </rPr>
      <t>線約</t>
    </r>
    <r>
      <rPr>
        <sz val="12"/>
        <rFont val="Times New Roman"/>
        <family val="1"/>
      </rPr>
      <t xml:space="preserve">46k </t>
    </r>
    <r>
      <rPr>
        <sz val="12"/>
        <rFont val="標楷體"/>
        <family val="4"/>
        <charset val="136"/>
      </rPr>
      <t>處發生大規模崩塌，而位於崩塌地北側之吉露村部落，亦發生地層滑動。其中</t>
    </r>
    <r>
      <rPr>
        <sz val="12"/>
        <rFont val="Times New Roman"/>
        <family val="1"/>
      </rPr>
      <t xml:space="preserve">2 </t>
    </r>
    <r>
      <rPr>
        <sz val="12"/>
        <rFont val="標楷體"/>
        <family val="4"/>
        <charset val="136"/>
      </rPr>
      <t>棟房舍直接滑落於山谷，其餘房舍及村內巷道產生程度不一之裂縫或傾斜。</t>
    </r>
    <phoneticPr fontId="5" type="noConversion"/>
  </si>
  <si>
    <t>C1R130</t>
  </si>
  <si>
    <r>
      <rPr>
        <sz val="12"/>
        <rFont val="標楷體"/>
        <family val="4"/>
        <charset val="136"/>
      </rPr>
      <t>阿禮</t>
    </r>
    <phoneticPr fontId="5" type="noConversion"/>
  </si>
  <si>
    <r>
      <rPr>
        <sz val="12"/>
        <rFont val="標楷體"/>
        <family val="4"/>
        <charset val="136"/>
      </rPr>
      <t>泰武鄉泰武村</t>
    </r>
    <r>
      <rPr>
        <sz val="12"/>
        <rFont val="Times New Roman"/>
        <family val="1"/>
      </rPr>
      <t xml:space="preserve"> (</t>
    </r>
    <r>
      <rPr>
        <sz val="12"/>
        <rFont val="標楷體"/>
        <family val="4"/>
        <charset val="136"/>
      </rPr>
      <t>泰武國小</t>
    </r>
    <r>
      <rPr>
        <sz val="12"/>
        <rFont val="Times New Roman"/>
        <family val="1"/>
      </rPr>
      <t>)</t>
    </r>
    <phoneticPr fontId="5" type="noConversion"/>
  </si>
  <si>
    <r>
      <rPr>
        <sz val="12"/>
        <rFont val="標楷體"/>
        <family val="4"/>
        <charset val="136"/>
      </rPr>
      <t>泰武鄉</t>
    </r>
    <phoneticPr fontId="5" type="noConversion"/>
  </si>
  <si>
    <r>
      <rPr>
        <sz val="12"/>
        <rFont val="標楷體"/>
        <family val="4"/>
        <charset val="136"/>
      </rPr>
      <t>泰武村</t>
    </r>
  </si>
  <si>
    <r>
      <rPr>
        <sz val="12"/>
        <rFont val="標楷體"/>
        <family val="4"/>
        <charset val="136"/>
      </rPr>
      <t>本區疑似發生大規模坡地滑動，泰武國小操場邊坡發生崩塌，校舍及鄰近建物均有明顯裂縫產生，道路亦有明顯下陷與裂縫發生。</t>
    </r>
    <phoneticPr fontId="5" type="noConversion"/>
  </si>
  <si>
    <t>C1R190</t>
  </si>
  <si>
    <r>
      <rPr>
        <sz val="12"/>
        <rFont val="標楷體"/>
        <family val="4"/>
        <charset val="136"/>
      </rPr>
      <t>赤山</t>
    </r>
    <phoneticPr fontId="5" type="noConversion"/>
  </si>
  <si>
    <r>
      <rPr>
        <sz val="12"/>
        <rFont val="標楷體"/>
        <family val="4"/>
        <charset val="136"/>
      </rPr>
      <t>梅山鄉瑞里村</t>
    </r>
    <r>
      <rPr>
        <sz val="12"/>
        <rFont val="Times New Roman"/>
        <family val="1"/>
      </rPr>
      <t xml:space="preserve">(8 </t>
    </r>
    <r>
      <rPr>
        <sz val="12"/>
        <rFont val="標楷體"/>
        <family val="4"/>
        <charset val="136"/>
      </rPr>
      <t>鄰</t>
    </r>
    <r>
      <rPr>
        <sz val="12"/>
        <rFont val="Times New Roman"/>
        <family val="1"/>
      </rPr>
      <t xml:space="preserve"> 6 </t>
    </r>
    <r>
      <rPr>
        <sz val="12"/>
        <rFont val="標楷體"/>
        <family val="4"/>
        <charset val="136"/>
      </rPr>
      <t>號</t>
    </r>
    <r>
      <rPr>
        <sz val="12"/>
        <rFont val="Times New Roman"/>
        <family val="1"/>
      </rPr>
      <t>)</t>
    </r>
  </si>
  <si>
    <r>
      <rPr>
        <sz val="12"/>
        <rFont val="標楷體"/>
        <family val="4"/>
        <charset val="136"/>
      </rPr>
      <t>梅山鄉瑞里村</t>
    </r>
    <r>
      <rPr>
        <sz val="12"/>
        <rFont val="Times New Roman"/>
        <family val="1"/>
      </rPr>
      <t xml:space="preserve"> 8 </t>
    </r>
    <r>
      <rPr>
        <sz val="12"/>
        <rFont val="標楷體"/>
        <family val="4"/>
        <charset val="136"/>
      </rPr>
      <t>鄰</t>
    </r>
    <r>
      <rPr>
        <sz val="12"/>
        <rFont val="Times New Roman"/>
        <family val="1"/>
      </rPr>
      <t xml:space="preserve"> 6 </t>
    </r>
    <r>
      <rPr>
        <sz val="12"/>
        <rFont val="標楷體"/>
        <family val="4"/>
        <charset val="136"/>
      </rPr>
      <t>號民宅後方道路邊坡崩塌，崩落土石造成嘉</t>
    </r>
    <r>
      <rPr>
        <sz val="12"/>
        <rFont val="Times New Roman"/>
        <family val="1"/>
      </rPr>
      <t xml:space="preserve"> 122 </t>
    </r>
    <r>
      <rPr>
        <sz val="12"/>
        <rFont val="標楷體"/>
        <family val="4"/>
        <charset val="136"/>
      </rPr>
      <t>線道路中斷；同時莫拉克颱風所挾帶雨勢入滲引致邊坡滑動與陷落，造成民宅及果園地坪錯動，現場勘查可見多處地表下陷錯位與裂縫。</t>
    </r>
    <phoneticPr fontId="5" type="noConversion"/>
  </si>
  <si>
    <r>
      <rPr>
        <sz val="12"/>
        <rFont val="標楷體"/>
        <family val="4"/>
        <charset val="136"/>
      </rPr>
      <t>番路鄉大湖村</t>
    </r>
    <r>
      <rPr>
        <sz val="12"/>
        <rFont val="Times New Roman"/>
        <family val="1"/>
      </rPr>
      <t>(</t>
    </r>
    <r>
      <rPr>
        <sz val="12"/>
        <rFont val="標楷體"/>
        <family val="4"/>
        <charset val="136"/>
      </rPr>
      <t>五百恩仔部落</t>
    </r>
    <r>
      <rPr>
        <sz val="12"/>
        <rFont val="Times New Roman"/>
        <family val="1"/>
      </rPr>
      <t>) (</t>
    </r>
    <r>
      <rPr>
        <sz val="12"/>
        <rFont val="標楷體"/>
        <family val="4"/>
        <charset val="136"/>
      </rPr>
      <t>嘉</t>
    </r>
    <r>
      <rPr>
        <sz val="12"/>
        <rFont val="Times New Roman"/>
        <family val="1"/>
      </rPr>
      <t xml:space="preserve"> 159 </t>
    </r>
    <r>
      <rPr>
        <sz val="12"/>
        <rFont val="標楷體"/>
        <family val="4"/>
        <charset val="136"/>
      </rPr>
      <t>甲線約</t>
    </r>
    <r>
      <rPr>
        <sz val="12"/>
        <rFont val="Times New Roman"/>
        <family val="1"/>
      </rPr>
      <t xml:space="preserve"> 25.5k </t>
    </r>
    <r>
      <rPr>
        <sz val="12"/>
        <rFont val="標楷體"/>
        <family val="4"/>
        <charset val="136"/>
      </rPr>
      <t>處</t>
    </r>
    <r>
      <rPr>
        <sz val="12"/>
        <rFont val="Times New Roman"/>
        <family val="1"/>
      </rPr>
      <t>)</t>
    </r>
    <phoneticPr fontId="5" type="noConversion"/>
  </si>
  <si>
    <r>
      <rPr>
        <sz val="12"/>
        <rFont val="標楷體"/>
        <family val="4"/>
        <charset val="136"/>
      </rPr>
      <t>番路鄉</t>
    </r>
    <phoneticPr fontId="5" type="noConversion"/>
  </si>
  <si>
    <r>
      <rPr>
        <sz val="12"/>
        <rFont val="標楷體"/>
        <family val="4"/>
        <charset val="136"/>
      </rPr>
      <t>因莫拉克颱風挾帶豪大雨，導致嘉</t>
    </r>
    <r>
      <rPr>
        <sz val="12"/>
        <rFont val="Times New Roman"/>
        <family val="1"/>
      </rPr>
      <t xml:space="preserve">159 </t>
    </r>
    <r>
      <rPr>
        <sz val="12"/>
        <rFont val="標楷體"/>
        <family val="4"/>
        <charset val="136"/>
      </rPr>
      <t>甲線約</t>
    </r>
    <r>
      <rPr>
        <sz val="12"/>
        <rFont val="Times New Roman"/>
        <family val="1"/>
      </rPr>
      <t xml:space="preserve"> 25.5k </t>
    </r>
    <r>
      <rPr>
        <sz val="12"/>
        <rFont val="標楷體"/>
        <family val="4"/>
        <charset val="136"/>
      </rPr>
      <t>處發生大規模崩塌及野溪爆發土石流，導致部分聯外道路中斷，而位於崩塌地西側五百恩仔部落，亦發生地層滑動。其中房舍及部落內聯外道路產生程度不一之裂縫或傾斜。目前大湖村</t>
    </r>
    <r>
      <rPr>
        <sz val="12"/>
        <rFont val="Times New Roman"/>
        <family val="1"/>
      </rPr>
      <t xml:space="preserve"> 4 </t>
    </r>
    <r>
      <rPr>
        <sz val="12"/>
        <rFont val="標楷體"/>
        <family val="4"/>
        <charset val="136"/>
      </rPr>
      <t>鄰五百恩仔部落約</t>
    </r>
    <r>
      <rPr>
        <sz val="12"/>
        <rFont val="Times New Roman"/>
        <family val="1"/>
      </rPr>
      <t xml:space="preserve"> 40 </t>
    </r>
    <r>
      <rPr>
        <sz val="12"/>
        <rFont val="標楷體"/>
        <family val="4"/>
        <charset val="136"/>
      </rPr>
      <t>戶民宅因地滑，已被列為安全勘虞範圍。</t>
    </r>
    <phoneticPr fontId="5" type="noConversion"/>
  </si>
  <si>
    <r>
      <rPr>
        <sz val="12"/>
        <rFont val="標楷體"/>
        <family val="4"/>
        <charset val="136"/>
      </rPr>
      <t>和平鄉達觀村</t>
    </r>
    <r>
      <rPr>
        <sz val="12"/>
        <rFont val="Times New Roman"/>
        <family val="1"/>
      </rPr>
      <t xml:space="preserve"> (</t>
    </r>
    <r>
      <rPr>
        <sz val="12"/>
        <rFont val="標楷體"/>
        <family val="4"/>
        <charset val="136"/>
      </rPr>
      <t>雪山坑橋</t>
    </r>
    <r>
      <rPr>
        <sz val="12"/>
        <rFont val="Times New Roman"/>
        <family val="1"/>
      </rPr>
      <t>)􀰾􀓫􀞒􀙀􀶠􀏎􁝼􀥟</t>
    </r>
    <phoneticPr fontId="5" type="noConversion"/>
  </si>
  <si>
    <r>
      <rPr>
        <sz val="12"/>
        <rFont val="標楷體"/>
        <family val="4"/>
        <charset val="136"/>
      </rPr>
      <t>達觀里</t>
    </r>
  </si>
  <si>
    <r>
      <rPr>
        <sz val="12"/>
        <rFont val="標楷體"/>
        <family val="4"/>
        <charset val="136"/>
      </rPr>
      <t>雪山坑溪暴漲，對雪山坑溪橋下游兩側堤岸造成沖刷，導致右岸一民宅基礎淘空瀕危，同時其所挾帶土石造成大安溪匯流口處有大量淤積情況。</t>
    </r>
    <phoneticPr fontId="5" type="noConversion"/>
  </si>
  <si>
    <t>C1F9H0</t>
  </si>
  <si>
    <r>
      <rPr>
        <sz val="12"/>
        <rFont val="標楷體"/>
        <family val="4"/>
        <charset val="136"/>
      </rPr>
      <t>烏石坑</t>
    </r>
    <phoneticPr fontId="5" type="noConversion"/>
  </si>
  <si>
    <r>
      <rPr>
        <sz val="12"/>
        <rFont val="標楷體"/>
        <family val="4"/>
        <charset val="136"/>
      </rPr>
      <t>洪水</t>
    </r>
  </si>
  <si>
    <r>
      <rPr>
        <sz val="12"/>
        <rFont val="標楷體"/>
        <family val="4"/>
        <charset val="136"/>
      </rPr>
      <t>金峰鄉嘉蘭村</t>
    </r>
    <r>
      <rPr>
        <sz val="12"/>
        <rFont val="Times New Roman"/>
        <family val="1"/>
      </rPr>
      <t>(</t>
    </r>
    <r>
      <rPr>
        <sz val="12"/>
        <rFont val="標楷體"/>
        <family val="4"/>
        <charset val="136"/>
      </rPr>
      <t>太麻里溪畔</t>
    </r>
    <r>
      <rPr>
        <sz val="12"/>
        <rFont val="Times New Roman"/>
        <family val="1"/>
      </rPr>
      <t>) (</t>
    </r>
    <r>
      <rPr>
        <sz val="12"/>
        <rFont val="標楷體"/>
        <family val="4"/>
        <charset val="136"/>
      </rPr>
      <t>東</t>
    </r>
    <r>
      <rPr>
        <sz val="12"/>
        <rFont val="Times New Roman"/>
        <family val="1"/>
      </rPr>
      <t xml:space="preserve">64 </t>
    </r>
    <r>
      <rPr>
        <sz val="12"/>
        <rFont val="標楷體"/>
        <family val="4"/>
        <charset val="136"/>
      </rPr>
      <t>線約</t>
    </r>
    <r>
      <rPr>
        <sz val="12"/>
        <rFont val="Times New Roman"/>
        <family val="1"/>
      </rPr>
      <t xml:space="preserve">5K </t>
    </r>
    <r>
      <rPr>
        <sz val="12"/>
        <rFont val="標楷體"/>
        <family val="4"/>
        <charset val="136"/>
      </rPr>
      <t>處</t>
    </r>
    <r>
      <rPr>
        <sz val="12"/>
        <rFont val="Times New Roman"/>
        <family val="1"/>
      </rPr>
      <t>)</t>
    </r>
    <phoneticPr fontId="5" type="noConversion"/>
  </si>
  <si>
    <r>
      <rPr>
        <sz val="12"/>
        <rFont val="標楷體"/>
        <family val="4"/>
        <charset val="136"/>
      </rPr>
      <t>金峰鄉</t>
    </r>
    <phoneticPr fontId="5" type="noConversion"/>
  </si>
  <si>
    <r>
      <rPr>
        <sz val="12"/>
        <rFont val="標楷體"/>
        <family val="4"/>
        <charset val="136"/>
      </rPr>
      <t>嘉蘭村</t>
    </r>
    <phoneticPr fontId="5" type="noConversion"/>
  </si>
  <si>
    <r>
      <rPr>
        <sz val="12"/>
        <rFont val="標楷體"/>
        <family val="4"/>
        <charset val="136"/>
      </rPr>
      <t>太麻里溪流域因受莫拉克颱風所挾帶來之持續豪雨，約於</t>
    </r>
    <r>
      <rPr>
        <sz val="12"/>
        <rFont val="Times New Roman"/>
        <family val="1"/>
      </rPr>
      <t xml:space="preserve">8 </t>
    </r>
    <r>
      <rPr>
        <sz val="12"/>
        <rFont val="標楷體"/>
        <family val="4"/>
        <charset val="136"/>
      </rPr>
      <t>月</t>
    </r>
    <r>
      <rPr>
        <sz val="12"/>
        <rFont val="Times New Roman"/>
        <family val="1"/>
      </rPr>
      <t xml:space="preserve">8 </t>
    </r>
    <r>
      <rPr>
        <sz val="12"/>
        <rFont val="標楷體"/>
        <family val="4"/>
        <charset val="136"/>
      </rPr>
      <t>日早上爆發洪水災害，大量洪水挾帶土石將靠近太麻里溪畔嘉蘭村</t>
    </r>
    <r>
      <rPr>
        <sz val="12"/>
        <rFont val="Times New Roman"/>
        <family val="1"/>
      </rPr>
      <t xml:space="preserve">63 </t>
    </r>
    <r>
      <rPr>
        <sz val="12"/>
        <rFont val="標楷體"/>
        <family val="4"/>
        <charset val="136"/>
      </rPr>
      <t>戶民宅沖毀，金峰鄉公所緊急撤離一百多位居民，幸無人傷亡。</t>
    </r>
    <phoneticPr fontId="5" type="noConversion"/>
  </si>
  <si>
    <r>
      <rPr>
        <sz val="12"/>
        <rFont val="標楷體"/>
        <family val="4"/>
        <charset val="136"/>
      </rPr>
      <t>大溪山</t>
    </r>
    <phoneticPr fontId="5" type="noConversion"/>
  </si>
  <si>
    <r>
      <rPr>
        <sz val="12"/>
        <rFont val="標楷體"/>
        <family val="4"/>
        <charset val="136"/>
      </rPr>
      <t>仁愛鄉南豐村</t>
    </r>
    <r>
      <rPr>
        <sz val="12"/>
        <rFont val="Times New Roman"/>
        <family val="1"/>
      </rPr>
      <t>(</t>
    </r>
    <r>
      <rPr>
        <sz val="12"/>
        <rFont val="標楷體"/>
        <family val="4"/>
        <charset val="136"/>
      </rPr>
      <t>南豐橋</t>
    </r>
    <r>
      <rPr>
        <sz val="12"/>
        <rFont val="Times New Roman"/>
        <family val="1"/>
      </rPr>
      <t>)</t>
    </r>
    <phoneticPr fontId="5" type="noConversion"/>
  </si>
  <si>
    <r>
      <rPr>
        <sz val="12"/>
        <rFont val="標楷體"/>
        <family val="4"/>
        <charset val="136"/>
      </rPr>
      <t>南豐村</t>
    </r>
  </si>
  <si>
    <r>
      <rPr>
        <sz val="12"/>
        <rFont val="標楷體"/>
        <family val="4"/>
        <charset val="136"/>
      </rPr>
      <t>土石流潛勢溪流投縣</t>
    </r>
    <r>
      <rPr>
        <sz val="12"/>
        <rFont val="Times New Roman"/>
        <family val="1"/>
      </rPr>
      <t>DF012(</t>
    </r>
    <r>
      <rPr>
        <sz val="12"/>
        <rFont val="標楷體"/>
        <family val="4"/>
        <charset val="136"/>
      </rPr>
      <t>南山溪</t>
    </r>
    <r>
      <rPr>
        <sz val="12"/>
        <rFont val="Times New Roman"/>
        <family val="1"/>
      </rPr>
      <t>)</t>
    </r>
    <r>
      <rPr>
        <sz val="12"/>
        <rFont val="標楷體"/>
        <family val="4"/>
        <charset val="136"/>
      </rPr>
      <t>於莫拉克颱風期間洪水暴漲，原去年</t>
    </r>
    <r>
      <rPr>
        <sz val="12"/>
        <rFont val="Times New Roman"/>
        <family val="1"/>
      </rPr>
      <t xml:space="preserve">(97 </t>
    </r>
    <r>
      <rPr>
        <sz val="12"/>
        <rFont val="標楷體"/>
        <family val="4"/>
        <charset val="136"/>
      </rPr>
      <t>年</t>
    </r>
    <r>
      <rPr>
        <sz val="12"/>
        <rFont val="Times New Roman"/>
        <family val="1"/>
      </rPr>
      <t>)</t>
    </r>
    <r>
      <rPr>
        <sz val="12"/>
        <rFont val="標楷體"/>
        <family val="4"/>
        <charset val="136"/>
      </rPr>
      <t>因辛樂克颱風期間洪水沖毀之夢谷農路路段，所鋪築之臨時河床便道再次遭洪水沖刷毀損。另南山溪與眉溪匯流處溪床，因泥砂淤積導致溪床抬昇，而夢谷一號橋橋孔亦遭泥砂堵塞。</t>
    </r>
    <phoneticPr fontId="5" type="noConversion"/>
  </si>
  <si>
    <r>
      <rPr>
        <sz val="12"/>
        <rFont val="標楷體"/>
        <family val="4"/>
        <charset val="136"/>
      </rPr>
      <t>：仁愛鄉南豐村楓林路食菜坑溪便橋</t>
    </r>
    <r>
      <rPr>
        <sz val="12"/>
        <rFont val="Times New Roman"/>
        <family val="1"/>
      </rPr>
      <t>(</t>
    </r>
    <r>
      <rPr>
        <sz val="12"/>
        <rFont val="標楷體"/>
        <family val="4"/>
        <charset val="136"/>
      </rPr>
      <t>距台</t>
    </r>
    <r>
      <rPr>
        <sz val="12"/>
        <rFont val="Times New Roman"/>
        <family val="1"/>
      </rPr>
      <t xml:space="preserve">14 </t>
    </r>
    <r>
      <rPr>
        <sz val="12"/>
        <rFont val="標楷體"/>
        <family val="4"/>
        <charset val="136"/>
      </rPr>
      <t>線</t>
    </r>
    <r>
      <rPr>
        <sz val="12"/>
        <rFont val="Times New Roman"/>
        <family val="1"/>
      </rPr>
      <t xml:space="preserve"> 8K </t>
    </r>
    <r>
      <rPr>
        <sz val="12"/>
        <rFont val="標楷體"/>
        <family val="4"/>
        <charset val="136"/>
      </rPr>
      <t>處約</t>
    </r>
    <r>
      <rPr>
        <sz val="12"/>
        <rFont val="Times New Roman"/>
        <family val="1"/>
      </rPr>
      <t xml:space="preserve"> 1KM)</t>
    </r>
    <phoneticPr fontId="5" type="noConversion"/>
  </si>
  <si>
    <r>
      <rPr>
        <sz val="12"/>
        <rFont val="標楷體"/>
        <family val="4"/>
        <charset val="136"/>
      </rPr>
      <t>投縣</t>
    </r>
    <r>
      <rPr>
        <sz val="12"/>
        <rFont val="Times New Roman"/>
        <family val="1"/>
      </rPr>
      <t>DF014</t>
    </r>
  </si>
  <si>
    <r>
      <rPr>
        <sz val="12"/>
        <rFont val="標楷體"/>
        <family val="4"/>
        <charset val="136"/>
      </rPr>
      <t>土石流潛勢溪流</t>
    </r>
    <r>
      <rPr>
        <sz val="12"/>
        <rFont val="Times New Roman"/>
        <family val="1"/>
      </rPr>
      <t>(</t>
    </r>
    <r>
      <rPr>
        <sz val="12"/>
        <rFont val="標楷體"/>
        <family val="4"/>
        <charset val="136"/>
      </rPr>
      <t>投縣</t>
    </r>
    <r>
      <rPr>
        <sz val="12"/>
        <rFont val="Times New Roman"/>
        <family val="1"/>
      </rPr>
      <t>DF014)</t>
    </r>
    <r>
      <rPr>
        <sz val="12"/>
        <rFont val="標楷體"/>
        <family val="4"/>
        <charset val="136"/>
      </rPr>
      <t>食菜坑溪於莫拉克颱風期間溪水暴漲，夾雜泥砂土石之洪水淹沒楓林路</t>
    </r>
    <r>
      <rPr>
        <sz val="12"/>
        <rFont val="Times New Roman"/>
        <family val="1"/>
      </rPr>
      <t xml:space="preserve">60~65 </t>
    </r>
    <r>
      <rPr>
        <sz val="12"/>
        <rFont val="標楷體"/>
        <family val="4"/>
        <charset val="136"/>
      </rPr>
      <t>號區段便道，豐德橋兩岸路基流失，計有</t>
    </r>
    <r>
      <rPr>
        <sz val="12"/>
        <rFont val="Times New Roman"/>
        <family val="1"/>
      </rPr>
      <t xml:space="preserve">6 </t>
    </r>
    <r>
      <rPr>
        <sz val="12"/>
        <rFont val="標楷體"/>
        <family val="4"/>
        <charset val="136"/>
      </rPr>
      <t>戶</t>
    </r>
    <r>
      <rPr>
        <sz val="12"/>
        <rFont val="Times New Roman"/>
        <family val="1"/>
      </rPr>
      <t xml:space="preserve">14 </t>
    </r>
    <r>
      <rPr>
        <sz val="12"/>
        <rFont val="標楷體"/>
        <family val="4"/>
        <charset val="136"/>
      </rPr>
      <t>人受困，幸無人傷亡。</t>
    </r>
    <phoneticPr fontId="5" type="noConversion"/>
  </si>
  <si>
    <r>
      <rPr>
        <sz val="12"/>
        <rFont val="標楷體"/>
        <family val="4"/>
        <charset val="136"/>
      </rPr>
      <t>仁愛</t>
    </r>
  </si>
  <si>
    <r>
      <rPr>
        <sz val="12"/>
        <rFont val="標楷體"/>
        <family val="4"/>
        <charset val="136"/>
      </rPr>
      <t>水里鄉新山村</t>
    </r>
    <r>
      <rPr>
        <sz val="12"/>
        <rFont val="Times New Roman"/>
        <family val="1"/>
      </rPr>
      <t>(</t>
    </r>
    <r>
      <rPr>
        <sz val="12"/>
        <rFont val="標楷體"/>
        <family val="4"/>
        <charset val="136"/>
      </rPr>
      <t>壽山橋</t>
    </r>
    <r>
      <rPr>
        <sz val="12"/>
        <rFont val="Times New Roman"/>
        <family val="1"/>
      </rPr>
      <t>)</t>
    </r>
    <phoneticPr fontId="5" type="noConversion"/>
  </si>
  <si>
    <r>
      <rPr>
        <sz val="12"/>
        <rFont val="標楷體"/>
        <family val="4"/>
        <charset val="136"/>
      </rPr>
      <t>新山村</t>
    </r>
  </si>
  <si>
    <r>
      <rPr>
        <sz val="12"/>
        <rFont val="標楷體"/>
        <family val="4"/>
        <charset val="136"/>
      </rPr>
      <t>投縣</t>
    </r>
    <r>
      <rPr>
        <sz val="12"/>
        <rFont val="Times New Roman"/>
        <family val="1"/>
      </rPr>
      <t>DF170</t>
    </r>
    <phoneticPr fontId="5" type="noConversion"/>
  </si>
  <si>
    <r>
      <rPr>
        <sz val="12"/>
        <rFont val="標楷體"/>
        <family val="4"/>
        <charset val="136"/>
      </rPr>
      <t>由於陳有蘭溪受到暴雨影響，水位暴漲，導致道路下邊坡無法承受劇烈的縱橫沖刷力，造成往內陸淘空將近</t>
    </r>
    <r>
      <rPr>
        <sz val="12"/>
        <rFont val="Times New Roman"/>
        <family val="1"/>
      </rPr>
      <t xml:space="preserve">100 </t>
    </r>
    <r>
      <rPr>
        <sz val="12"/>
        <rFont val="標楷體"/>
        <family val="4"/>
        <charset val="136"/>
      </rPr>
      <t>公尺左右，沿線</t>
    </r>
    <r>
      <rPr>
        <sz val="12"/>
        <rFont val="Times New Roman"/>
        <family val="1"/>
      </rPr>
      <t xml:space="preserve">20 </t>
    </r>
    <r>
      <rPr>
        <sz val="12"/>
        <rFont val="標楷體"/>
        <family val="4"/>
        <charset val="136"/>
      </rPr>
      <t>餘戶民宅崩落溪水中，尚有</t>
    </r>
    <r>
      <rPr>
        <sz val="12"/>
        <rFont val="Times New Roman"/>
        <family val="1"/>
      </rPr>
      <t xml:space="preserve">10 </t>
    </r>
    <r>
      <rPr>
        <sz val="12"/>
        <rFont val="標楷體"/>
        <family val="4"/>
        <charset val="136"/>
      </rPr>
      <t>餘戶基礎受到淘空的情形。</t>
    </r>
    <phoneticPr fontId="5" type="noConversion"/>
  </si>
  <si>
    <t>C1I310</t>
  </si>
  <si>
    <r>
      <rPr>
        <sz val="12"/>
        <rFont val="標楷體"/>
        <family val="4"/>
        <charset val="136"/>
      </rPr>
      <t>西巒</t>
    </r>
    <phoneticPr fontId="5" type="noConversion"/>
  </si>
  <si>
    <r>
      <rPr>
        <sz val="12"/>
        <rFont val="標楷體"/>
        <family val="4"/>
        <charset val="136"/>
      </rPr>
      <t>信義鄉神木村</t>
    </r>
    <r>
      <rPr>
        <sz val="12"/>
        <rFont val="Times New Roman"/>
        <family val="1"/>
      </rPr>
      <t>(</t>
    </r>
    <r>
      <rPr>
        <sz val="12"/>
        <rFont val="標楷體"/>
        <family val="4"/>
        <charset val="136"/>
      </rPr>
      <t>隆華國小</t>
    </r>
    <r>
      <rPr>
        <sz val="12"/>
        <rFont val="Times New Roman"/>
        <family val="1"/>
      </rPr>
      <t>)</t>
    </r>
    <phoneticPr fontId="5" type="noConversion"/>
  </si>
  <si>
    <r>
      <t>􀀹</t>
    </r>
    <r>
      <rPr>
        <sz val="12"/>
        <rFont val="標楷體"/>
        <family val="4"/>
        <charset val="136"/>
      </rPr>
      <t>因颱風帶來之超大豪雨導致溪水暴漲，洪水夾帶大量土石沖刷、侵蝕河岸腹地達約</t>
    </r>
    <r>
      <rPr>
        <sz val="12"/>
        <rFont val="Times New Roman"/>
        <family val="1"/>
      </rPr>
      <t xml:space="preserve">100m </t>
    </r>
    <r>
      <rPr>
        <sz val="12"/>
        <rFont val="標楷體"/>
        <family val="4"/>
        <charset val="136"/>
      </rPr>
      <t>深，導致隆華國小校舍之基礎淘空，且傾斜毀損。</t>
    </r>
    <phoneticPr fontId="5" type="noConversion"/>
  </si>
  <si>
    <r>
      <rPr>
        <sz val="12"/>
        <rFont val="標楷體"/>
        <family val="4"/>
        <charset val="136"/>
      </rPr>
      <t>杉林鄉木梓村</t>
    </r>
    <r>
      <rPr>
        <sz val="12"/>
        <rFont val="Times New Roman"/>
        <family val="1"/>
      </rPr>
      <t>(</t>
    </r>
    <r>
      <rPr>
        <sz val="12"/>
        <rFont val="標楷體"/>
        <family val="4"/>
        <charset val="136"/>
      </rPr>
      <t>高</t>
    </r>
    <r>
      <rPr>
        <sz val="12"/>
        <rFont val="Times New Roman"/>
        <family val="1"/>
      </rPr>
      <t>129</t>
    </r>
    <r>
      <rPr>
        <sz val="12"/>
        <rFont val="標楷體"/>
        <family val="4"/>
        <charset val="136"/>
      </rPr>
      <t>線約</t>
    </r>
    <r>
      <rPr>
        <sz val="12"/>
        <rFont val="Times New Roman"/>
        <family val="1"/>
      </rPr>
      <t>3.2k</t>
    </r>
    <r>
      <rPr>
        <sz val="12"/>
        <rFont val="標楷體"/>
        <family val="4"/>
        <charset val="136"/>
      </rPr>
      <t>處奇潭橋</t>
    </r>
    <r>
      <rPr>
        <sz val="12"/>
        <rFont val="Times New Roman"/>
        <family val="1"/>
      </rPr>
      <t>)</t>
    </r>
    <phoneticPr fontId="5" type="noConversion"/>
  </si>
  <si>
    <r>
      <rPr>
        <sz val="12"/>
        <rFont val="標楷體"/>
        <family val="4"/>
        <charset val="136"/>
      </rPr>
      <t>杉林鄉木梓村高縣</t>
    </r>
    <r>
      <rPr>
        <sz val="12"/>
        <rFont val="Times New Roman"/>
        <family val="1"/>
      </rPr>
      <t xml:space="preserve">DF018 </t>
    </r>
    <r>
      <rPr>
        <sz val="12"/>
        <rFont val="標楷體"/>
        <family val="4"/>
        <charset val="136"/>
      </rPr>
      <t>土石流潛勢溪，因莫拉克颱風帶來之超大豪雨導致山洪爆發，洪水夾帶大量土石沖刷而下，初估淤積土石約</t>
    </r>
    <r>
      <rPr>
        <sz val="12"/>
        <rFont val="Times New Roman"/>
        <family val="1"/>
      </rPr>
      <t xml:space="preserve">3 </t>
    </r>
    <r>
      <rPr>
        <sz val="12"/>
        <rFont val="標楷體"/>
        <family val="4"/>
        <charset val="136"/>
      </rPr>
      <t>萬立方公尺，導致高</t>
    </r>
    <r>
      <rPr>
        <sz val="12"/>
        <rFont val="Times New Roman"/>
        <family val="1"/>
      </rPr>
      <t xml:space="preserve">129 </t>
    </r>
    <r>
      <rPr>
        <sz val="12"/>
        <rFont val="標楷體"/>
        <family val="4"/>
        <charset val="136"/>
      </rPr>
      <t>線及沿溪農路交通中斷，並波及溪旁</t>
    </r>
    <r>
      <rPr>
        <sz val="12"/>
        <rFont val="Times New Roman"/>
        <family val="1"/>
      </rPr>
      <t xml:space="preserve">4 </t>
    </r>
    <r>
      <rPr>
        <sz val="12"/>
        <rFont val="標楷體"/>
        <family val="4"/>
        <charset val="136"/>
      </rPr>
      <t>戶民宅及土地公廟，而沿線之農園亦遭土石淤埋。</t>
    </r>
    <phoneticPr fontId="5" type="noConversion"/>
  </si>
  <si>
    <r>
      <rPr>
        <sz val="12"/>
        <rFont val="標楷體"/>
        <family val="4"/>
        <charset val="136"/>
      </rPr>
      <t>洪水、土石流</t>
    </r>
    <phoneticPr fontId="5" type="noConversion"/>
  </si>
  <si>
    <r>
      <rPr>
        <sz val="12"/>
        <rFont val="標楷體"/>
        <family val="4"/>
        <charset val="136"/>
      </rPr>
      <t>來義鄉義林村</t>
    </r>
    <r>
      <rPr>
        <sz val="12"/>
        <rFont val="Times New Roman"/>
        <family val="1"/>
      </rPr>
      <t xml:space="preserve"> (</t>
    </r>
    <r>
      <rPr>
        <sz val="12"/>
        <rFont val="標楷體"/>
        <family val="4"/>
        <charset val="136"/>
      </rPr>
      <t>義林大橋左岸堤防及義林村</t>
    </r>
    <r>
      <rPr>
        <sz val="12"/>
        <rFont val="Times New Roman"/>
        <family val="1"/>
      </rPr>
      <t xml:space="preserve">7 </t>
    </r>
    <r>
      <rPr>
        <sz val="12"/>
        <rFont val="標楷體"/>
        <family val="4"/>
        <charset val="136"/>
      </rPr>
      <t>號旁</t>
    </r>
    <r>
      <rPr>
        <sz val="12"/>
        <rFont val="Times New Roman"/>
        <family val="1"/>
      </rPr>
      <t>)</t>
    </r>
    <phoneticPr fontId="5" type="noConversion"/>
  </si>
  <si>
    <r>
      <rPr>
        <sz val="12"/>
        <rFont val="標楷體"/>
        <family val="4"/>
        <charset val="136"/>
      </rPr>
      <t>屏縣</t>
    </r>
    <r>
      <rPr>
        <sz val="12"/>
        <rFont val="Times New Roman"/>
        <family val="1"/>
      </rPr>
      <t>DF026</t>
    </r>
    <phoneticPr fontId="5" type="noConversion"/>
  </si>
  <si>
    <r>
      <rPr>
        <sz val="12"/>
        <rFont val="標楷體"/>
        <family val="4"/>
        <charset val="136"/>
      </rPr>
      <t>義林大橋上、下游左岸堤防遭洪水衝擊崩塌，崩落土石淤積河道。義林村</t>
    </r>
    <r>
      <rPr>
        <sz val="12"/>
        <rFont val="Times New Roman"/>
        <family val="1"/>
      </rPr>
      <t xml:space="preserve">7 </t>
    </r>
    <r>
      <rPr>
        <sz val="12"/>
        <rFont val="標楷體"/>
        <family val="4"/>
        <charset val="136"/>
      </rPr>
      <t>號上方土石流潛勢溪流</t>
    </r>
    <r>
      <rPr>
        <sz val="12"/>
        <rFont val="Times New Roman"/>
        <family val="1"/>
      </rPr>
      <t>(DF026)</t>
    </r>
    <r>
      <rPr>
        <sz val="12"/>
        <rFont val="標楷體"/>
        <family val="4"/>
        <charset val="136"/>
      </rPr>
      <t>發生土石流災害，土石衝入下游三戶民宅。</t>
    </r>
    <phoneticPr fontId="5" type="noConversion"/>
  </si>
  <si>
    <r>
      <rPr>
        <sz val="12"/>
        <rFont val="標楷體"/>
        <family val="4"/>
        <charset val="136"/>
      </rPr>
      <t>甲仙鄉大田村</t>
    </r>
    <r>
      <rPr>
        <sz val="12"/>
        <rFont val="Times New Roman"/>
        <family val="1"/>
      </rPr>
      <t xml:space="preserve"> (</t>
    </r>
    <r>
      <rPr>
        <sz val="12"/>
        <rFont val="標楷體"/>
        <family val="4"/>
        <charset val="136"/>
      </rPr>
      <t>高</t>
    </r>
    <r>
      <rPr>
        <sz val="12"/>
        <rFont val="Times New Roman"/>
        <family val="1"/>
      </rPr>
      <t>129</t>
    </r>
    <r>
      <rPr>
        <sz val="12"/>
        <rFont val="標楷體"/>
        <family val="4"/>
        <charset val="136"/>
      </rPr>
      <t>線</t>
    </r>
    <r>
      <rPr>
        <sz val="12"/>
        <rFont val="Times New Roman"/>
        <family val="1"/>
      </rPr>
      <t>1.1k</t>
    </r>
    <r>
      <rPr>
        <sz val="12"/>
        <rFont val="標楷體"/>
        <family val="4"/>
        <charset val="136"/>
      </rPr>
      <t>仙橋處</t>
    </r>
    <r>
      <rPr>
        <sz val="12"/>
        <rFont val="Times New Roman"/>
        <family val="1"/>
      </rPr>
      <t>)</t>
    </r>
    <phoneticPr fontId="5" type="noConversion"/>
  </si>
  <si>
    <r>
      <rPr>
        <sz val="12"/>
        <rFont val="標楷體"/>
        <family val="4"/>
        <charset val="136"/>
      </rPr>
      <t>高市</t>
    </r>
    <r>
      <rPr>
        <sz val="12"/>
        <rFont val="Times New Roman"/>
        <family val="1"/>
      </rPr>
      <t>DF016</t>
    </r>
    <phoneticPr fontId="5" type="noConversion"/>
  </si>
  <si>
    <r>
      <rPr>
        <sz val="12"/>
        <rFont val="標楷體"/>
        <family val="4"/>
        <charset val="136"/>
      </rPr>
      <t>甲仙鄉大田村仙林巷高縣</t>
    </r>
    <r>
      <rPr>
        <sz val="12"/>
        <rFont val="Times New Roman"/>
        <family val="1"/>
      </rPr>
      <t xml:space="preserve">DF013 </t>
    </r>
    <r>
      <rPr>
        <sz val="12"/>
        <rFont val="標楷體"/>
        <family val="4"/>
        <charset val="136"/>
      </rPr>
      <t>土石流潛勢溪，因莫拉克颱風帶來超大豪雨導致山洪爆發，洪水夾帶大量土石沖刷而下，導致高</t>
    </r>
    <r>
      <rPr>
        <sz val="12"/>
        <rFont val="Times New Roman"/>
        <family val="1"/>
      </rPr>
      <t xml:space="preserve">129 </t>
    </r>
    <r>
      <rPr>
        <sz val="12"/>
        <rFont val="標楷體"/>
        <family val="4"/>
        <charset val="136"/>
      </rPr>
      <t>線交通中斷，並波及仙橋旁仙林巷</t>
    </r>
    <r>
      <rPr>
        <sz val="12"/>
        <rFont val="Times New Roman"/>
        <family val="1"/>
      </rPr>
      <t xml:space="preserve">10 </t>
    </r>
    <r>
      <rPr>
        <sz val="12"/>
        <rFont val="標楷體"/>
        <family val="4"/>
        <charset val="136"/>
      </rPr>
      <t>號民宅。</t>
    </r>
    <phoneticPr fontId="5" type="noConversion"/>
  </si>
  <si>
    <r>
      <rPr>
        <sz val="12"/>
        <rFont val="標楷體"/>
        <family val="4"/>
        <charset val="136"/>
      </rPr>
      <t>霧台鄉好茶村</t>
    </r>
    <r>
      <rPr>
        <sz val="12"/>
        <rFont val="Times New Roman"/>
        <family val="1"/>
      </rPr>
      <t>(</t>
    </r>
    <r>
      <rPr>
        <sz val="12"/>
        <rFont val="標楷體"/>
        <family val="4"/>
        <charset val="136"/>
      </rPr>
      <t>好茶教會</t>
    </r>
    <r>
      <rPr>
        <sz val="12"/>
        <rFont val="Times New Roman"/>
        <family val="1"/>
      </rPr>
      <t>)</t>
    </r>
    <phoneticPr fontId="5" type="noConversion"/>
  </si>
  <si>
    <r>
      <rPr>
        <sz val="12"/>
        <rFont val="標楷體"/>
        <family val="4"/>
        <charset val="136"/>
      </rPr>
      <t>好茶村隘寮南溪上游處右岸野溪，因莫拉克颱風帶來之超大豪雨引致大規模崩塌，土石堵塞河道，形成之堰塞湖潰決後大量土石伴隨洪水直衝而下，好茶村盡遭沖毀及掩埋。好茶村已於</t>
    </r>
    <r>
      <rPr>
        <sz val="12"/>
        <rFont val="Times New Roman"/>
        <family val="1"/>
      </rPr>
      <t xml:space="preserve">96 </t>
    </r>
    <r>
      <rPr>
        <sz val="12"/>
        <rFont val="標楷體"/>
        <family val="4"/>
        <charset val="136"/>
      </rPr>
      <t>年辦理遷村事宜，災害發生時部落內未留有人員，故無人傷亡。</t>
    </r>
    <phoneticPr fontId="5" type="noConversion"/>
  </si>
  <si>
    <r>
      <rPr>
        <sz val="12"/>
        <rFont val="標楷體"/>
        <family val="4"/>
        <charset val="136"/>
      </rPr>
      <t>洪水、崩塌</t>
    </r>
  </si>
  <si>
    <r>
      <rPr>
        <sz val="12"/>
        <rFont val="標楷體"/>
        <family val="4"/>
        <charset val="136"/>
      </rPr>
      <t>來義鄉丹林村五鄰聚落</t>
    </r>
    <r>
      <rPr>
        <sz val="12"/>
        <rFont val="Times New Roman"/>
        <family val="1"/>
      </rPr>
      <t xml:space="preserve"> (</t>
    </r>
    <r>
      <rPr>
        <sz val="12"/>
        <rFont val="標楷體"/>
        <family val="4"/>
        <charset val="136"/>
      </rPr>
      <t>來義大橋橋頭左岸道路</t>
    </r>
    <r>
      <rPr>
        <sz val="12"/>
        <rFont val="Times New Roman"/>
        <family val="1"/>
      </rPr>
      <t>)</t>
    </r>
    <phoneticPr fontId="5" type="noConversion"/>
  </si>
  <si>
    <r>
      <rPr>
        <sz val="12"/>
        <rFont val="標楷體"/>
        <family val="4"/>
        <charset val="136"/>
      </rPr>
      <t>丹林村</t>
    </r>
    <phoneticPr fontId="5" type="noConversion"/>
  </si>
  <si>
    <r>
      <rPr>
        <sz val="12"/>
        <rFont val="標楷體"/>
        <family val="4"/>
        <charset val="136"/>
      </rPr>
      <t>林邊溪右岸來義大橋橋頭上游，沿岸產業道路路堤遭洪水淘刷而崩坍，長度約</t>
    </r>
    <r>
      <rPr>
        <sz val="12"/>
        <rFont val="Times New Roman"/>
        <family val="1"/>
      </rPr>
      <t xml:space="preserve">200 </t>
    </r>
    <r>
      <rPr>
        <sz val="12"/>
        <rFont val="標楷體"/>
        <family val="4"/>
        <charset val="136"/>
      </rPr>
      <t>公尺。產業道路既有電力設施及電桿遭沖毀。沿岸兩處小規模山壁崩塌。</t>
    </r>
    <phoneticPr fontId="5" type="noConversion"/>
  </si>
  <si>
    <r>
      <rPr>
        <sz val="12"/>
        <rFont val="標楷體"/>
        <family val="4"/>
        <charset val="136"/>
      </rPr>
      <t>來義</t>
    </r>
  </si>
  <si>
    <r>
      <rPr>
        <sz val="12"/>
        <rFont val="標楷體"/>
        <family val="4"/>
        <charset val="136"/>
      </rPr>
      <t>六龜鄉興龍村</t>
    </r>
    <r>
      <rPr>
        <sz val="12"/>
        <rFont val="Times New Roman"/>
        <family val="1"/>
      </rPr>
      <t>(</t>
    </r>
    <r>
      <rPr>
        <sz val="12"/>
        <rFont val="標楷體"/>
        <family val="4"/>
        <charset val="136"/>
      </rPr>
      <t>舊潭橋</t>
    </r>
    <r>
      <rPr>
        <sz val="12"/>
        <rFont val="Times New Roman"/>
        <family val="1"/>
      </rPr>
      <t>) (</t>
    </r>
    <r>
      <rPr>
        <sz val="12"/>
        <rFont val="標楷體"/>
        <family val="4"/>
        <charset val="136"/>
      </rPr>
      <t>台</t>
    </r>
    <r>
      <rPr>
        <sz val="12"/>
        <rFont val="Times New Roman"/>
        <family val="1"/>
      </rPr>
      <t xml:space="preserve">27 </t>
    </r>
    <r>
      <rPr>
        <sz val="12"/>
        <rFont val="標楷體"/>
        <family val="4"/>
        <charset val="136"/>
      </rPr>
      <t>線約</t>
    </r>
    <r>
      <rPr>
        <sz val="12"/>
        <rFont val="Times New Roman"/>
        <family val="1"/>
      </rPr>
      <t xml:space="preserve">7.5k </t>
    </r>
    <r>
      <rPr>
        <sz val="12"/>
        <rFont val="標楷體"/>
        <family val="4"/>
        <charset val="136"/>
      </rPr>
      <t>處</t>
    </r>
    <r>
      <rPr>
        <sz val="12"/>
        <rFont val="Times New Roman"/>
        <family val="1"/>
      </rPr>
      <t>)</t>
    </r>
    <phoneticPr fontId="5" type="noConversion"/>
  </si>
  <si>
    <r>
      <rPr>
        <sz val="12"/>
        <rFont val="標楷體"/>
        <family val="4"/>
        <charset val="136"/>
      </rPr>
      <t>舊潭橋溪上游多處溪岸邊坡崩塌，淤塞河道形成堰塞，加上莫拉克颱風帶來之豪雨，於</t>
    </r>
    <r>
      <rPr>
        <sz val="12"/>
        <rFont val="Times New Roman"/>
        <family val="1"/>
      </rPr>
      <t xml:space="preserve">8 </t>
    </r>
    <r>
      <rPr>
        <sz val="12"/>
        <rFont val="標楷體"/>
        <family val="4"/>
        <charset val="136"/>
      </rPr>
      <t>月</t>
    </r>
    <r>
      <rPr>
        <sz val="12"/>
        <rFont val="Times New Roman"/>
        <family val="1"/>
      </rPr>
      <t xml:space="preserve">8 </t>
    </r>
    <r>
      <rPr>
        <sz val="12"/>
        <rFont val="標楷體"/>
        <family val="4"/>
        <charset val="136"/>
      </rPr>
      <t>日下午</t>
    </r>
    <r>
      <rPr>
        <sz val="12"/>
        <rFont val="Times New Roman"/>
        <family val="1"/>
      </rPr>
      <t xml:space="preserve">15 </t>
    </r>
    <r>
      <rPr>
        <sz val="12"/>
        <rFont val="標楷體"/>
        <family val="4"/>
        <charset val="136"/>
      </rPr>
      <t>時左右溢流潰散，大量洪水夾帶土石沖刷而下，導致下游舊潭橋及農路、房舍毀損。</t>
    </r>
    <phoneticPr fontId="5" type="noConversion"/>
  </si>
  <si>
    <r>
      <rPr>
        <sz val="12"/>
        <rFont val="標楷體"/>
        <family val="4"/>
        <charset val="136"/>
      </rPr>
      <t>洪水、崩塌、土石流</t>
    </r>
    <phoneticPr fontId="5" type="noConversion"/>
  </si>
  <si>
    <r>
      <rPr>
        <sz val="12"/>
        <rFont val="標楷體"/>
        <family val="4"/>
        <charset val="136"/>
      </rPr>
      <t>來義鄉來義村</t>
    </r>
    <r>
      <rPr>
        <sz val="12"/>
        <rFont val="Times New Roman"/>
        <family val="1"/>
      </rPr>
      <t xml:space="preserve"> (</t>
    </r>
    <r>
      <rPr>
        <sz val="12"/>
        <rFont val="標楷體"/>
        <family val="4"/>
        <charset val="136"/>
      </rPr>
      <t>屏</t>
    </r>
    <r>
      <rPr>
        <sz val="12"/>
        <rFont val="Times New Roman"/>
        <family val="1"/>
      </rPr>
      <t>110</t>
    </r>
    <r>
      <rPr>
        <sz val="12"/>
        <rFont val="標楷體"/>
        <family val="4"/>
        <charset val="136"/>
      </rPr>
      <t>線</t>
    </r>
    <r>
      <rPr>
        <sz val="12"/>
        <rFont val="Times New Roman"/>
        <family val="1"/>
      </rPr>
      <t>16.6k</t>
    </r>
    <r>
      <rPr>
        <sz val="12"/>
        <rFont val="標楷體"/>
        <family val="4"/>
        <charset val="136"/>
      </rPr>
      <t>處來社橋</t>
    </r>
    <r>
      <rPr>
        <sz val="12"/>
        <rFont val="Times New Roman"/>
        <family val="1"/>
      </rPr>
      <t>)</t>
    </r>
    <phoneticPr fontId="5" type="noConversion"/>
  </si>
  <si>
    <r>
      <rPr>
        <sz val="12"/>
        <rFont val="標楷體"/>
        <family val="4"/>
        <charset val="136"/>
      </rPr>
      <t>來義村</t>
    </r>
  </si>
  <si>
    <r>
      <rPr>
        <sz val="12"/>
        <rFont val="標楷體"/>
        <family val="4"/>
        <charset val="136"/>
      </rPr>
      <t>因莫拉克颱風帶來之超大豪雨，導致來社溪山洪暴發，並造成集水區內多處大規模之崩塌。初步推測來社溪上游岸坡崩塌堵塞河道，形成之堰塞湖潰決後大量土石伴隨洪水直衝而下，沖毀來義村沿溪堤防、道路、橋梁及民宅。來社溪支流內社溪，亦因超大豪雨爆發土石流，土石沖毀沿溪林道及橋梁，大量土石並堵塞河道。</t>
    </r>
    <phoneticPr fontId="5" type="noConversion"/>
  </si>
  <si>
    <r>
      <rPr>
        <sz val="12"/>
        <rFont val="標楷體"/>
        <family val="4"/>
        <charset val="136"/>
      </rPr>
      <t>大武鄉大竹村</t>
    </r>
    <r>
      <rPr>
        <sz val="12"/>
        <rFont val="Times New Roman"/>
        <family val="1"/>
      </rPr>
      <t xml:space="preserve"> (</t>
    </r>
    <r>
      <rPr>
        <sz val="12"/>
        <rFont val="標楷體"/>
        <family val="4"/>
        <charset val="136"/>
      </rPr>
      <t>愛國蒲教會後方墓園旁</t>
    </r>
    <r>
      <rPr>
        <sz val="12"/>
        <rFont val="Times New Roman"/>
        <family val="1"/>
      </rPr>
      <t>)</t>
    </r>
    <phoneticPr fontId="5" type="noConversion"/>
  </si>
  <si>
    <r>
      <rPr>
        <sz val="12"/>
        <rFont val="標楷體"/>
        <family val="4"/>
        <charset val="136"/>
      </rPr>
      <t>東縣</t>
    </r>
    <r>
      <rPr>
        <sz val="12"/>
        <rFont val="Times New Roman"/>
        <family val="1"/>
      </rPr>
      <t>DF164</t>
    </r>
    <phoneticPr fontId="5" type="noConversion"/>
  </si>
  <si>
    <r>
      <rPr>
        <sz val="12"/>
        <rFont val="標楷體"/>
        <family val="4"/>
        <charset val="136"/>
      </rPr>
      <t>本次莫拉克颱風豪雨造成愛國蒲教會後方發生崩塌，初估約</t>
    </r>
    <r>
      <rPr>
        <sz val="12"/>
        <rFont val="Times New Roman"/>
        <family val="1"/>
      </rPr>
      <t xml:space="preserve">17 </t>
    </r>
    <r>
      <rPr>
        <sz val="12"/>
        <rFont val="標楷體"/>
        <family val="4"/>
        <charset val="136"/>
      </rPr>
      <t>萬方土砂崩落，部分土砂掩埋愛國蒲教會後方之墓園，幸未造成人員傷亡。愛國教會通往墓園之便道，遭土石淤埋約</t>
    </r>
    <r>
      <rPr>
        <sz val="12"/>
        <rFont val="Times New Roman"/>
        <family val="1"/>
      </rPr>
      <t xml:space="preserve">20 </t>
    </r>
    <r>
      <rPr>
        <sz val="12"/>
        <rFont val="標楷體"/>
        <family val="4"/>
        <charset val="136"/>
      </rPr>
      <t>公尺。</t>
    </r>
    <phoneticPr fontId="5" type="noConversion"/>
  </si>
  <si>
    <r>
      <rPr>
        <sz val="12"/>
        <rFont val="標楷體"/>
        <family val="4"/>
        <charset val="136"/>
      </rPr>
      <t>國姓鄉南港村</t>
    </r>
    <r>
      <rPr>
        <sz val="12"/>
        <rFont val="Times New Roman"/>
        <family val="1"/>
      </rPr>
      <t xml:space="preserve"> (</t>
    </r>
    <r>
      <rPr>
        <sz val="12"/>
        <rFont val="標楷體"/>
        <family val="4"/>
        <charset val="136"/>
      </rPr>
      <t>長石巷長安橋</t>
    </r>
    <r>
      <rPr>
        <sz val="12"/>
        <rFont val="Times New Roman"/>
        <family val="1"/>
      </rPr>
      <t>)</t>
    </r>
    <phoneticPr fontId="5" type="noConversion"/>
  </si>
  <si>
    <r>
      <rPr>
        <sz val="12"/>
        <rFont val="標楷體"/>
        <family val="4"/>
        <charset val="136"/>
      </rPr>
      <t>國姓鄉</t>
    </r>
  </si>
  <si>
    <r>
      <rPr>
        <sz val="12"/>
        <rFont val="標楷體"/>
        <family val="4"/>
        <charset val="136"/>
      </rPr>
      <t>南港村</t>
    </r>
  </si>
  <si>
    <r>
      <rPr>
        <sz val="12"/>
        <rFont val="標楷體"/>
        <family val="4"/>
        <charset val="136"/>
      </rPr>
      <t>投縣</t>
    </r>
    <r>
      <rPr>
        <sz val="12"/>
        <rFont val="Times New Roman"/>
        <family val="1"/>
      </rPr>
      <t>DF101</t>
    </r>
    <phoneticPr fontId="5" type="noConversion"/>
  </si>
  <si>
    <r>
      <t>􀀹</t>
    </r>
    <r>
      <rPr>
        <sz val="12"/>
        <rFont val="標楷體"/>
        <family val="4"/>
        <charset val="136"/>
      </rPr>
      <t>莫拉克颱風期間牛母溪上游發生崩塌，土石量約</t>
    </r>
    <r>
      <rPr>
        <sz val="12"/>
        <rFont val="Times New Roman"/>
        <family val="1"/>
      </rPr>
      <t xml:space="preserve">6 </t>
    </r>
    <r>
      <rPr>
        <sz val="12"/>
        <rFont val="標楷體"/>
        <family val="4"/>
        <charset val="136"/>
      </rPr>
      <t>萬立方公尺，沖毀並掩埋長安橋，土石堆積於土石流潛勢溪流</t>
    </r>
    <r>
      <rPr>
        <sz val="12"/>
        <rFont val="Times New Roman"/>
        <family val="1"/>
      </rPr>
      <t>(</t>
    </r>
    <r>
      <rPr>
        <sz val="12"/>
        <rFont val="標楷體"/>
        <family val="4"/>
        <charset val="136"/>
      </rPr>
      <t>投縣</t>
    </r>
    <r>
      <rPr>
        <sz val="12"/>
        <rFont val="Times New Roman"/>
        <family val="1"/>
      </rPr>
      <t>DF101)</t>
    </r>
    <r>
      <rPr>
        <sz val="12"/>
        <rFont val="標楷體"/>
        <family val="4"/>
        <charset val="136"/>
      </rPr>
      <t>韮菜湖溪與牛母溪交會處，幸無人傷亡。</t>
    </r>
    <phoneticPr fontId="5" type="noConversion"/>
  </si>
  <si>
    <r>
      <rPr>
        <sz val="12"/>
        <rFont val="標楷體"/>
        <family val="4"/>
        <charset val="136"/>
      </rPr>
      <t>水里鄉玉峰村</t>
    </r>
    <r>
      <rPr>
        <sz val="12"/>
        <rFont val="Times New Roman"/>
        <family val="1"/>
      </rPr>
      <t>(</t>
    </r>
    <r>
      <rPr>
        <sz val="12"/>
        <rFont val="標楷體"/>
        <family val="4"/>
        <charset val="136"/>
      </rPr>
      <t>投</t>
    </r>
    <r>
      <rPr>
        <sz val="12"/>
        <rFont val="Times New Roman"/>
        <family val="1"/>
      </rPr>
      <t>131</t>
    </r>
    <r>
      <rPr>
        <sz val="12"/>
        <rFont val="標楷體"/>
        <family val="4"/>
        <charset val="136"/>
      </rPr>
      <t>線轉入竹湖橋約</t>
    </r>
    <r>
      <rPr>
        <sz val="12"/>
        <rFont val="Times New Roman"/>
        <family val="1"/>
      </rPr>
      <t>3km)</t>
    </r>
    <phoneticPr fontId="5" type="noConversion"/>
  </si>
  <si>
    <r>
      <t>􀀹</t>
    </r>
    <r>
      <rPr>
        <sz val="12"/>
        <rFont val="標楷體"/>
        <family val="4"/>
        <charset val="136"/>
      </rPr>
      <t>因颱風帶來之超大豪雨導致山頂坡地崩塌，土石順溪流而下並淤積於河道中。</t>
    </r>
    <phoneticPr fontId="5" type="noConversion"/>
  </si>
  <si>
    <r>
      <rPr>
        <sz val="12"/>
        <rFont val="標楷體"/>
        <family val="4"/>
        <charset val="136"/>
      </rPr>
      <t>鹿谷鄉和雅村</t>
    </r>
    <r>
      <rPr>
        <sz val="12"/>
        <rFont val="Times New Roman"/>
        <family val="1"/>
      </rPr>
      <t>(</t>
    </r>
    <r>
      <rPr>
        <sz val="12"/>
        <rFont val="標楷體"/>
        <family val="4"/>
        <charset val="136"/>
      </rPr>
      <t>深坑林道約</t>
    </r>
    <r>
      <rPr>
        <sz val="12"/>
        <rFont val="Times New Roman"/>
        <family val="1"/>
      </rPr>
      <t xml:space="preserve">2k </t>
    </r>
    <r>
      <rPr>
        <sz val="12"/>
        <rFont val="標楷體"/>
        <family val="4"/>
        <charset val="136"/>
      </rPr>
      <t>處</t>
    </r>
    <r>
      <rPr>
        <sz val="12"/>
        <rFont val="Times New Roman"/>
        <family val="1"/>
      </rPr>
      <t>)</t>
    </r>
    <phoneticPr fontId="5" type="noConversion"/>
  </si>
  <si>
    <r>
      <rPr>
        <sz val="12"/>
        <rFont val="標楷體"/>
        <family val="4"/>
        <charset val="136"/>
      </rPr>
      <t>和雅村</t>
    </r>
  </si>
  <si>
    <r>
      <rPr>
        <sz val="12"/>
        <rFont val="標楷體"/>
        <family val="4"/>
        <charset val="136"/>
      </rPr>
      <t>邊坡土石崩落，深坑林道長約</t>
    </r>
    <r>
      <rPr>
        <sz val="12"/>
        <rFont val="Times New Roman"/>
        <family val="1"/>
      </rPr>
      <t>80m</t>
    </r>
    <r>
      <rPr>
        <sz val="12"/>
        <rFont val="標楷體"/>
        <family val="4"/>
        <charset val="136"/>
      </rPr>
      <t>路面遭土石掩埋，且挾帶至林道下邊坡及和雅村</t>
    </r>
    <r>
      <rPr>
        <sz val="12"/>
        <rFont val="Times New Roman"/>
        <family val="1"/>
      </rPr>
      <t xml:space="preserve">(5~6 </t>
    </r>
    <r>
      <rPr>
        <sz val="12"/>
        <rFont val="標楷體"/>
        <family val="4"/>
        <charset val="136"/>
      </rPr>
      <t>鄰</t>
    </r>
    <r>
      <rPr>
        <sz val="12"/>
        <rFont val="Times New Roman"/>
        <family val="1"/>
      </rPr>
      <t>)</t>
    </r>
    <r>
      <rPr>
        <sz val="12"/>
        <rFont val="標楷體"/>
        <family val="4"/>
        <charset val="136"/>
      </rPr>
      <t>。</t>
    </r>
    <phoneticPr fontId="5" type="noConversion"/>
  </si>
  <si>
    <t>C0I090</t>
  </si>
  <si>
    <r>
      <rPr>
        <sz val="12"/>
        <rFont val="標楷體"/>
        <family val="4"/>
        <charset val="136"/>
      </rPr>
      <t>鳳凰</t>
    </r>
  </si>
  <si>
    <r>
      <rPr>
        <sz val="12"/>
        <rFont val="標楷體"/>
        <family val="4"/>
        <charset val="136"/>
      </rPr>
      <t>來義鄉丹林村六鄰聚落</t>
    </r>
    <r>
      <rPr>
        <sz val="12"/>
        <rFont val="Times New Roman"/>
        <family val="1"/>
      </rPr>
      <t xml:space="preserve"> (</t>
    </r>
    <r>
      <rPr>
        <sz val="12"/>
        <rFont val="標楷體"/>
        <family val="4"/>
        <charset val="136"/>
      </rPr>
      <t>來義大橋下游左岸坡地</t>
    </r>
    <r>
      <rPr>
        <sz val="12"/>
        <rFont val="Times New Roman"/>
        <family val="1"/>
      </rPr>
      <t>)</t>
    </r>
    <phoneticPr fontId="5" type="noConversion"/>
  </si>
  <si>
    <r>
      <rPr>
        <sz val="12"/>
        <rFont val="標楷體"/>
        <family val="4"/>
        <charset val="136"/>
      </rPr>
      <t>林邊溪來義大橋下游左岸，沿岸坡地大範圍崩塌，屏</t>
    </r>
    <r>
      <rPr>
        <sz val="12"/>
        <rFont val="Times New Roman"/>
        <family val="1"/>
      </rPr>
      <t xml:space="preserve">113 </t>
    </r>
    <r>
      <rPr>
        <sz val="12"/>
        <rFont val="標楷體"/>
        <family val="4"/>
        <charset val="136"/>
      </rPr>
      <t>線遭淤埋，長度約</t>
    </r>
    <r>
      <rPr>
        <sz val="12"/>
        <rFont val="Times New Roman"/>
        <family val="1"/>
      </rPr>
      <t xml:space="preserve">200 </t>
    </r>
    <r>
      <rPr>
        <sz val="12"/>
        <rFont val="標楷體"/>
        <family val="4"/>
        <charset val="136"/>
      </rPr>
      <t>公尺。屏</t>
    </r>
    <r>
      <rPr>
        <sz val="12"/>
        <rFont val="Times New Roman"/>
        <family val="1"/>
      </rPr>
      <t xml:space="preserve">113 </t>
    </r>
    <r>
      <rPr>
        <sz val="12"/>
        <rFont val="標楷體"/>
        <family val="4"/>
        <charset val="136"/>
      </rPr>
      <t>線既有電力設施及自來水管線遭沖毀。勘查時河道堆積土石已清除完畢。</t>
    </r>
    <phoneticPr fontId="5" type="noConversion"/>
  </si>
  <si>
    <r>
      <rPr>
        <sz val="12"/>
        <rFont val="標楷體"/>
        <family val="4"/>
        <charset val="136"/>
      </rPr>
      <t>那瑪夏鄉南沙魯村</t>
    </r>
    <phoneticPr fontId="5" type="noConversion"/>
  </si>
  <si>
    <r>
      <rPr>
        <sz val="12"/>
        <rFont val="標楷體"/>
        <family val="4"/>
        <charset val="136"/>
      </rPr>
      <t>高雄縣那瑪夏鄉南沙魯村於</t>
    </r>
    <r>
      <rPr>
        <sz val="12"/>
        <rFont val="Times New Roman"/>
        <family val="1"/>
      </rPr>
      <t xml:space="preserve">8 </t>
    </r>
    <r>
      <rPr>
        <sz val="12"/>
        <rFont val="標楷體"/>
        <family val="4"/>
        <charset val="136"/>
      </rPr>
      <t>月</t>
    </r>
    <r>
      <rPr>
        <sz val="12"/>
        <rFont val="Times New Roman"/>
        <family val="1"/>
      </rPr>
      <t xml:space="preserve">9 </t>
    </r>
    <r>
      <rPr>
        <sz val="12"/>
        <rFont val="標楷體"/>
        <family val="4"/>
        <charset val="136"/>
      </rPr>
      <t>日上午爆發山坡地崩塌災害，所幸並無房屋受損及人員傷亡。</t>
    </r>
    <phoneticPr fontId="5" type="noConversion"/>
  </si>
  <si>
    <r>
      <rPr>
        <sz val="12"/>
        <rFont val="標楷體"/>
        <family val="4"/>
        <charset val="136"/>
      </rPr>
      <t>甲仙鄉西安村</t>
    </r>
    <r>
      <rPr>
        <sz val="12"/>
        <rFont val="Times New Roman"/>
        <family val="1"/>
      </rPr>
      <t xml:space="preserve"> (</t>
    </r>
    <r>
      <rPr>
        <sz val="12"/>
        <rFont val="標楷體"/>
        <family val="4"/>
        <charset val="136"/>
      </rPr>
      <t>樂群巷</t>
    </r>
    <r>
      <rPr>
        <sz val="12"/>
        <rFont val="Times New Roman"/>
        <family val="1"/>
      </rPr>
      <t xml:space="preserve">8-22 </t>
    </r>
    <r>
      <rPr>
        <sz val="12"/>
        <rFont val="標楷體"/>
        <family val="4"/>
        <charset val="136"/>
      </rPr>
      <t>號附近</t>
    </r>
    <r>
      <rPr>
        <sz val="12"/>
        <rFont val="Times New Roman"/>
        <family val="1"/>
      </rPr>
      <t>)</t>
    </r>
    <phoneticPr fontId="5" type="noConversion"/>
  </si>
  <si>
    <r>
      <rPr>
        <sz val="12"/>
        <rFont val="標楷體"/>
        <family val="4"/>
        <charset val="136"/>
      </rPr>
      <t>西安里</t>
    </r>
  </si>
  <si>
    <r>
      <rPr>
        <sz val="12"/>
        <rFont val="標楷體"/>
        <family val="4"/>
        <charset val="136"/>
      </rPr>
      <t>樂群巷</t>
    </r>
    <r>
      <rPr>
        <sz val="12"/>
        <rFont val="Times New Roman"/>
        <family val="1"/>
      </rPr>
      <t xml:space="preserve">8-22 </t>
    </r>
    <r>
      <rPr>
        <sz val="12"/>
        <rFont val="標楷體"/>
        <family val="4"/>
        <charset val="136"/>
      </rPr>
      <t>號附近邊坡崩塌滑動面積約達</t>
    </r>
    <r>
      <rPr>
        <sz val="12"/>
        <rFont val="Times New Roman"/>
        <family val="1"/>
      </rPr>
      <t>4,000m2</t>
    </r>
    <r>
      <rPr>
        <sz val="12"/>
        <rFont val="標楷體"/>
        <family val="4"/>
        <charset val="136"/>
      </rPr>
      <t>，造成房屋及道路損壞及影響居民出入。樂群巷入口野溪上游崩塌面積約達</t>
    </r>
    <r>
      <rPr>
        <sz val="12"/>
        <rFont val="Times New Roman"/>
        <family val="1"/>
      </rPr>
      <t>1,000m2</t>
    </r>
    <r>
      <rPr>
        <sz val="12"/>
        <rFont val="標楷體"/>
        <family val="4"/>
        <charset val="136"/>
      </rPr>
      <t>，土石順邊坡流下，造成民宅受損，及淤埋野溪上游溪道。</t>
    </r>
    <phoneticPr fontId="5" type="noConversion"/>
  </si>
  <si>
    <r>
      <rPr>
        <sz val="12"/>
        <rFont val="標楷體"/>
        <family val="4"/>
        <charset val="136"/>
      </rPr>
      <t>六龜鄉興龍村</t>
    </r>
    <r>
      <rPr>
        <sz val="12"/>
        <rFont val="Times New Roman"/>
        <family val="1"/>
      </rPr>
      <t>(</t>
    </r>
    <r>
      <rPr>
        <sz val="12"/>
        <rFont val="標楷體"/>
        <family val="4"/>
        <charset val="136"/>
      </rPr>
      <t>妙崇寺</t>
    </r>
    <r>
      <rPr>
        <sz val="12"/>
        <rFont val="Times New Roman"/>
        <family val="1"/>
      </rPr>
      <t>)(</t>
    </r>
    <r>
      <rPr>
        <sz val="12"/>
        <rFont val="標楷體"/>
        <family val="4"/>
        <charset val="136"/>
      </rPr>
      <t>台</t>
    </r>
    <r>
      <rPr>
        <sz val="12"/>
        <rFont val="Times New Roman"/>
        <family val="1"/>
      </rPr>
      <t>27</t>
    </r>
    <r>
      <rPr>
        <sz val="12"/>
        <rFont val="標楷體"/>
        <family val="4"/>
        <charset val="136"/>
      </rPr>
      <t>線舊潭二號橋南端右轉進入約</t>
    </r>
    <r>
      <rPr>
        <sz val="12"/>
        <rFont val="Times New Roman"/>
        <family val="1"/>
      </rPr>
      <t xml:space="preserve">300 </t>
    </r>
    <r>
      <rPr>
        <sz val="12"/>
        <rFont val="標楷體"/>
        <family val="4"/>
        <charset val="136"/>
      </rPr>
      <t>公尺</t>
    </r>
    <r>
      <rPr>
        <sz val="12"/>
        <rFont val="Times New Roman"/>
        <family val="1"/>
      </rPr>
      <t>)</t>
    </r>
    <phoneticPr fontId="5" type="noConversion"/>
  </si>
  <si>
    <r>
      <rPr>
        <sz val="12"/>
        <rFont val="標楷體"/>
        <family val="4"/>
        <charset val="136"/>
      </rPr>
      <t>妙崇寺後方山坡崩塌，大量土石滑落沖毀寺廟後方建物及附近民舍。</t>
    </r>
    <phoneticPr fontId="5" type="noConversion"/>
  </si>
  <si>
    <r>
      <rPr>
        <sz val="12"/>
        <rFont val="標楷體"/>
        <family val="4"/>
        <charset val="136"/>
      </rPr>
      <t>六龜鄉寶來村</t>
    </r>
    <r>
      <rPr>
        <sz val="12"/>
        <rFont val="Times New Roman"/>
        <family val="1"/>
      </rPr>
      <t xml:space="preserve">(17 </t>
    </r>
    <r>
      <rPr>
        <sz val="12"/>
        <rFont val="標楷體"/>
        <family val="4"/>
        <charset val="136"/>
      </rPr>
      <t>鄰</t>
    </r>
    <r>
      <rPr>
        <sz val="12"/>
        <rFont val="Times New Roman"/>
        <family val="1"/>
      </rPr>
      <t>) (</t>
    </r>
    <r>
      <rPr>
        <sz val="12"/>
        <rFont val="標楷體"/>
        <family val="4"/>
        <charset val="136"/>
      </rPr>
      <t>竹林地區－瓏美山莊</t>
    </r>
    <r>
      <rPr>
        <sz val="12"/>
        <rFont val="Times New Roman"/>
        <family val="1"/>
      </rPr>
      <t>)</t>
    </r>
    <phoneticPr fontId="5" type="noConversion"/>
  </si>
  <si>
    <r>
      <rPr>
        <sz val="12"/>
        <rFont val="標楷體"/>
        <family val="4"/>
        <charset val="136"/>
      </rPr>
      <t>六龜鄉寶來村竹林地區</t>
    </r>
    <r>
      <rPr>
        <sz val="12"/>
        <rFont val="Times New Roman"/>
        <family val="1"/>
      </rPr>
      <t xml:space="preserve">(16 </t>
    </r>
    <r>
      <rPr>
        <sz val="12"/>
        <rFont val="標楷體"/>
        <family val="4"/>
        <charset val="136"/>
      </rPr>
      <t>鄰及</t>
    </r>
    <r>
      <rPr>
        <sz val="12"/>
        <rFont val="Times New Roman"/>
        <family val="1"/>
      </rPr>
      <t>17</t>
    </r>
    <r>
      <rPr>
        <sz val="12"/>
        <rFont val="標楷體"/>
        <family val="4"/>
        <charset val="136"/>
      </rPr>
      <t>鄰</t>
    </r>
    <r>
      <rPr>
        <sz val="12"/>
        <rFont val="Times New Roman"/>
        <family val="1"/>
      </rPr>
      <t>)</t>
    </r>
    <r>
      <rPr>
        <sz val="12"/>
        <rFont val="標楷體"/>
        <family val="4"/>
        <charset val="136"/>
      </rPr>
      <t>因莫拉克颱風所挾帶超大豪雨，導致美瓏山西南側坡地發生多處大規模崩塌，山區道路多處中斷，且多戶民宅與農舍遭崩塌土石掩埋或摧毀，其中位於</t>
    </r>
    <r>
      <rPr>
        <sz val="12"/>
        <rFont val="Times New Roman"/>
        <family val="1"/>
      </rPr>
      <t xml:space="preserve">17 </t>
    </r>
    <r>
      <rPr>
        <sz val="12"/>
        <rFont val="標楷體"/>
        <family val="4"/>
        <charset val="136"/>
      </rPr>
      <t>鄰</t>
    </r>
    <r>
      <rPr>
        <sz val="12"/>
        <rFont val="Times New Roman"/>
        <family val="1"/>
      </rPr>
      <t xml:space="preserve">65 </t>
    </r>
    <r>
      <rPr>
        <sz val="12"/>
        <rFont val="標楷體"/>
        <family val="4"/>
        <charset val="136"/>
      </rPr>
      <t>號之吳姓農戶一家五口遭土石掩埋而罹難；寶來村竹林山區整體崩塌面積估計超過</t>
    </r>
    <r>
      <rPr>
        <sz val="12"/>
        <rFont val="Times New Roman"/>
        <family val="1"/>
      </rPr>
      <t xml:space="preserve">60 </t>
    </r>
    <r>
      <rPr>
        <sz val="12"/>
        <rFont val="標楷體"/>
        <family val="4"/>
        <charset val="136"/>
      </rPr>
      <t>公頃。</t>
    </r>
    <phoneticPr fontId="5" type="noConversion"/>
  </si>
  <si>
    <r>
      <rPr>
        <sz val="12"/>
        <rFont val="標楷體"/>
        <family val="4"/>
        <charset val="136"/>
      </rPr>
      <t>六龜鄉新發村</t>
    </r>
    <r>
      <rPr>
        <sz val="12"/>
        <rFont val="Times New Roman"/>
        <family val="1"/>
      </rPr>
      <t xml:space="preserve">(14 </t>
    </r>
    <r>
      <rPr>
        <sz val="12"/>
        <rFont val="標楷體"/>
        <family val="4"/>
        <charset val="136"/>
      </rPr>
      <t>鄰</t>
    </r>
    <r>
      <rPr>
        <sz val="12"/>
        <rFont val="Times New Roman"/>
        <family val="1"/>
      </rPr>
      <t>)</t>
    </r>
    <phoneticPr fontId="5" type="noConversion"/>
  </si>
  <si>
    <r>
      <rPr>
        <sz val="12"/>
        <rFont val="標楷體"/>
        <family val="4"/>
        <charset val="136"/>
      </rPr>
      <t>高市</t>
    </r>
    <r>
      <rPr>
        <sz val="12"/>
        <rFont val="Times New Roman"/>
        <family val="1"/>
      </rPr>
      <t>DF107</t>
    </r>
    <phoneticPr fontId="5" type="noConversion"/>
  </si>
  <si>
    <r>
      <rPr>
        <sz val="12"/>
        <rFont val="標楷體"/>
        <family val="4"/>
        <charset val="136"/>
      </rPr>
      <t>因莫拉克颱風所挾帶豪雨，造成新發村</t>
    </r>
    <r>
      <rPr>
        <sz val="12"/>
        <rFont val="Times New Roman"/>
        <family val="1"/>
      </rPr>
      <t xml:space="preserve">14 </t>
    </r>
    <r>
      <rPr>
        <sz val="12"/>
        <rFont val="標楷體"/>
        <family val="4"/>
        <charset val="136"/>
      </rPr>
      <t>鄰後方邊坡發生大規模崩塌，多戶民宅遭崩塌土石掩埋或摧毀。</t>
    </r>
    <phoneticPr fontId="5" type="noConversion"/>
  </si>
  <si>
    <r>
      <rPr>
        <sz val="12"/>
        <rFont val="標楷體"/>
        <family val="4"/>
        <charset val="136"/>
      </rPr>
      <t>茂林鄉萬山村</t>
    </r>
    <r>
      <rPr>
        <sz val="12"/>
        <rFont val="Times New Roman"/>
        <family val="1"/>
      </rPr>
      <t xml:space="preserve"> (</t>
    </r>
    <r>
      <rPr>
        <sz val="12"/>
        <rFont val="標楷體"/>
        <family val="4"/>
        <charset val="136"/>
      </rPr>
      <t>高</t>
    </r>
    <r>
      <rPr>
        <sz val="12"/>
        <rFont val="Times New Roman"/>
        <family val="1"/>
      </rPr>
      <t>132</t>
    </r>
    <r>
      <rPr>
        <sz val="12"/>
        <rFont val="標楷體"/>
        <family val="4"/>
        <charset val="136"/>
      </rPr>
      <t>線約</t>
    </r>
    <r>
      <rPr>
        <sz val="12"/>
        <rFont val="Times New Roman"/>
        <family val="1"/>
      </rPr>
      <t>6.6k</t>
    </r>
    <r>
      <rPr>
        <sz val="12"/>
        <rFont val="標楷體"/>
        <family val="4"/>
        <charset val="136"/>
      </rPr>
      <t>處</t>
    </r>
    <r>
      <rPr>
        <sz val="12"/>
        <rFont val="Times New Roman"/>
        <family val="1"/>
      </rPr>
      <t>)</t>
    </r>
    <phoneticPr fontId="5" type="noConversion"/>
  </si>
  <si>
    <r>
      <rPr>
        <sz val="12"/>
        <rFont val="標楷體"/>
        <family val="4"/>
        <charset val="136"/>
      </rPr>
      <t>茂林區</t>
    </r>
  </si>
  <si>
    <r>
      <rPr>
        <sz val="12"/>
        <rFont val="標楷體"/>
        <family val="4"/>
        <charset val="136"/>
      </rPr>
      <t>萬山里</t>
    </r>
  </si>
  <si>
    <r>
      <rPr>
        <sz val="12"/>
        <rFont val="標楷體"/>
        <family val="4"/>
        <charset val="136"/>
      </rPr>
      <t>高市</t>
    </r>
    <r>
      <rPr>
        <sz val="12"/>
        <rFont val="Times New Roman"/>
        <family val="1"/>
      </rPr>
      <t>DF081</t>
    </r>
  </si>
  <si>
    <r>
      <rPr>
        <sz val="12"/>
        <rFont val="標楷體"/>
        <family val="4"/>
        <charset val="136"/>
      </rPr>
      <t>於</t>
    </r>
    <r>
      <rPr>
        <sz val="12"/>
        <rFont val="Times New Roman"/>
        <family val="1"/>
      </rPr>
      <t xml:space="preserve">8 </t>
    </r>
    <r>
      <rPr>
        <sz val="12"/>
        <rFont val="標楷體"/>
        <family val="4"/>
        <charset val="136"/>
      </rPr>
      <t>月</t>
    </r>
    <r>
      <rPr>
        <sz val="12"/>
        <rFont val="Times New Roman"/>
        <family val="1"/>
      </rPr>
      <t xml:space="preserve">9 </t>
    </r>
    <r>
      <rPr>
        <sz val="12"/>
        <rFont val="標楷體"/>
        <family val="4"/>
        <charset val="136"/>
      </rPr>
      <t>日凌晨</t>
    </r>
    <r>
      <rPr>
        <sz val="12"/>
        <rFont val="Times New Roman"/>
        <family val="1"/>
      </rPr>
      <t xml:space="preserve">4 </t>
    </r>
    <r>
      <rPr>
        <sz val="12"/>
        <rFont val="標楷體"/>
        <family val="4"/>
        <charset val="136"/>
      </rPr>
      <t>時許，高</t>
    </r>
    <r>
      <rPr>
        <sz val="12"/>
        <rFont val="Times New Roman"/>
        <family val="1"/>
      </rPr>
      <t xml:space="preserve">132 </t>
    </r>
    <r>
      <rPr>
        <sz val="12"/>
        <rFont val="標楷體"/>
        <family val="4"/>
        <charset val="136"/>
      </rPr>
      <t>線</t>
    </r>
    <r>
      <rPr>
        <sz val="12"/>
        <rFont val="Times New Roman"/>
        <family val="1"/>
      </rPr>
      <t xml:space="preserve">6.6k </t>
    </r>
    <r>
      <rPr>
        <sz val="12"/>
        <rFont val="標楷體"/>
        <family val="4"/>
        <charset val="136"/>
      </rPr>
      <t>野溪因豪雨導致崩塌地土石下移，造成溪岸旁萬山巷</t>
    </r>
    <r>
      <rPr>
        <sz val="12"/>
        <rFont val="Times New Roman"/>
        <family val="1"/>
      </rPr>
      <t xml:space="preserve">1-1 </t>
    </r>
    <r>
      <rPr>
        <sz val="12"/>
        <rFont val="標楷體"/>
        <family val="4"/>
        <charset val="136"/>
      </rPr>
      <t>號民宅受損，所幸已完成疏散，並未造成人員傷亡。</t>
    </r>
    <phoneticPr fontId="5" type="noConversion"/>
  </si>
  <si>
    <r>
      <rPr>
        <sz val="12"/>
        <rFont val="標楷體"/>
        <family val="4"/>
        <charset val="136"/>
      </rPr>
      <t>古坑鄉華山村</t>
    </r>
    <r>
      <rPr>
        <sz val="12"/>
        <rFont val="Times New Roman"/>
        <family val="1"/>
      </rPr>
      <t>(</t>
    </r>
    <r>
      <rPr>
        <sz val="12"/>
        <rFont val="標楷體"/>
        <family val="4"/>
        <charset val="136"/>
      </rPr>
      <t>華山溪上游距猴洞橋約</t>
    </r>
    <r>
      <rPr>
        <sz val="12"/>
        <rFont val="Times New Roman"/>
        <family val="1"/>
      </rPr>
      <t>820</t>
    </r>
    <r>
      <rPr>
        <sz val="12"/>
        <rFont val="標楷體"/>
        <family val="4"/>
        <charset val="136"/>
      </rPr>
      <t>公尺</t>
    </r>
    <r>
      <rPr>
        <sz val="12"/>
        <rFont val="Times New Roman"/>
        <family val="1"/>
      </rPr>
      <t>)</t>
    </r>
    <phoneticPr fontId="5" type="noConversion"/>
  </si>
  <si>
    <r>
      <rPr>
        <sz val="12"/>
        <rFont val="標楷體"/>
        <family val="4"/>
        <charset val="136"/>
      </rPr>
      <t>華山村</t>
    </r>
  </si>
  <si>
    <r>
      <rPr>
        <sz val="12"/>
        <rFont val="標楷體"/>
        <family val="4"/>
        <charset val="136"/>
      </rPr>
      <t>雲縣</t>
    </r>
    <r>
      <rPr>
        <sz val="12"/>
        <rFont val="Times New Roman"/>
        <family val="1"/>
      </rPr>
      <t>DF002</t>
    </r>
  </si>
  <si>
    <r>
      <rPr>
        <sz val="12"/>
        <rFont val="標楷體"/>
        <family val="4"/>
        <charset val="136"/>
      </rPr>
      <t>本次颱風豪雨造成華山溪上游既有崩塌地擴大及一處新增崩塌地，初估造成約</t>
    </r>
    <r>
      <rPr>
        <sz val="12"/>
        <rFont val="Times New Roman"/>
        <family val="1"/>
      </rPr>
      <t xml:space="preserve">12 </t>
    </r>
    <r>
      <rPr>
        <sz val="12"/>
        <rFont val="標楷體"/>
        <family val="4"/>
        <charset val="136"/>
      </rPr>
      <t>萬方土砂堆積於主河道上，而部分土砂淹沒猴洞橋上方施工便道，目前已清理完畢。</t>
    </r>
    <phoneticPr fontId="5" type="noConversion"/>
  </si>
  <si>
    <t>C1K380</t>
  </si>
  <si>
    <r>
      <rPr>
        <sz val="12"/>
        <rFont val="標楷體"/>
        <family val="4"/>
        <charset val="136"/>
      </rPr>
      <t>山豬湖</t>
    </r>
  </si>
  <si>
    <r>
      <rPr>
        <sz val="12"/>
        <rFont val="標楷體"/>
        <family val="4"/>
        <charset val="136"/>
      </rPr>
      <t>古坑鄉草嶺村</t>
    </r>
    <r>
      <rPr>
        <sz val="12"/>
        <rFont val="Times New Roman"/>
        <family val="1"/>
      </rPr>
      <t>(</t>
    </r>
    <r>
      <rPr>
        <sz val="12"/>
        <rFont val="標楷體"/>
        <family val="4"/>
        <charset val="136"/>
      </rPr>
      <t>草嶺里</t>
    </r>
    <r>
      <rPr>
        <sz val="12"/>
        <rFont val="Times New Roman"/>
        <family val="1"/>
      </rPr>
      <t xml:space="preserve">7 </t>
    </r>
    <r>
      <rPr>
        <sz val="12"/>
        <rFont val="標楷體"/>
        <family val="4"/>
        <charset val="136"/>
      </rPr>
      <t>鄰草嶺路</t>
    </r>
    <r>
      <rPr>
        <sz val="12"/>
        <rFont val="Times New Roman"/>
        <family val="1"/>
      </rPr>
      <t xml:space="preserve">38-6~10 </t>
    </r>
    <r>
      <rPr>
        <sz val="12"/>
        <rFont val="標楷體"/>
        <family val="4"/>
        <charset val="136"/>
      </rPr>
      <t>號</t>
    </r>
    <r>
      <rPr>
        <sz val="12"/>
        <rFont val="Times New Roman"/>
        <family val="1"/>
      </rPr>
      <t>)</t>
    </r>
    <phoneticPr fontId="5" type="noConversion"/>
  </si>
  <si>
    <r>
      <rPr>
        <sz val="12"/>
        <rFont val="標楷體"/>
        <family val="4"/>
        <charset val="136"/>
      </rPr>
      <t>草嶺村中坪商店街</t>
    </r>
    <r>
      <rPr>
        <sz val="12"/>
        <rFont val="Times New Roman"/>
        <family val="1"/>
      </rPr>
      <t xml:space="preserve">5 </t>
    </r>
    <r>
      <rPr>
        <sz val="12"/>
        <rFont val="標楷體"/>
        <family val="4"/>
        <charset val="136"/>
      </rPr>
      <t>戶民宅之後方邊坡崩塌，而造成其基礎淘空，現已列為危險建物暫停使用。</t>
    </r>
    <phoneticPr fontId="5" type="noConversion"/>
  </si>
  <si>
    <r>
      <rPr>
        <sz val="12"/>
        <rFont val="標楷體"/>
        <family val="4"/>
        <charset val="136"/>
      </rPr>
      <t>梅山鄉太和村</t>
    </r>
    <r>
      <rPr>
        <sz val="12"/>
        <rFont val="Times New Roman"/>
        <family val="1"/>
      </rPr>
      <t>(</t>
    </r>
    <r>
      <rPr>
        <sz val="12"/>
        <rFont val="標楷體"/>
        <family val="4"/>
        <charset val="136"/>
      </rPr>
      <t>公田部落</t>
    </r>
    <r>
      <rPr>
        <sz val="12"/>
        <rFont val="Times New Roman"/>
        <family val="1"/>
      </rPr>
      <t>)</t>
    </r>
    <phoneticPr fontId="5" type="noConversion"/>
  </si>
  <si>
    <r>
      <rPr>
        <sz val="12"/>
        <rFont val="標楷體"/>
        <family val="4"/>
        <charset val="136"/>
      </rPr>
      <t>公田部落因超大豪雨沖刷造成山坡土石崩塌，掩埋民宅及居民。</t>
    </r>
    <r>
      <rPr>
        <sz val="12"/>
        <rFont val="Times New Roman"/>
        <family val="1"/>
      </rPr>
      <t xml:space="preserve">8/8-8/13 </t>
    </r>
    <r>
      <rPr>
        <sz val="12"/>
        <rFont val="標楷體"/>
        <family val="4"/>
        <charset val="136"/>
      </rPr>
      <t>停電、停水</t>
    </r>
    <r>
      <rPr>
        <sz val="12"/>
        <rFont val="Times New Roman"/>
        <family val="1"/>
      </rPr>
      <t>(</t>
    </r>
    <r>
      <rPr>
        <sz val="12"/>
        <rFont val="標楷體"/>
        <family val="4"/>
        <charset val="136"/>
      </rPr>
      <t>自接山泉水</t>
    </r>
    <r>
      <rPr>
        <sz val="12"/>
        <rFont val="Times New Roman"/>
        <family val="1"/>
      </rPr>
      <t>)</t>
    </r>
    <r>
      <rPr>
        <sz val="12"/>
        <rFont val="標楷體"/>
        <family val="4"/>
        <charset val="136"/>
      </rPr>
      <t>，聯外道路中斷</t>
    </r>
    <r>
      <rPr>
        <sz val="12"/>
        <rFont val="Times New Roman"/>
        <family val="1"/>
      </rPr>
      <t xml:space="preserve">(8/20 </t>
    </r>
    <r>
      <rPr>
        <sz val="12"/>
        <rFont val="標楷體"/>
        <family val="4"/>
        <charset val="136"/>
      </rPr>
      <t>搶通</t>
    </r>
    <r>
      <rPr>
        <sz val="12"/>
        <rFont val="Times New Roman"/>
        <family val="1"/>
      </rPr>
      <t>)</t>
    </r>
    <r>
      <rPr>
        <sz val="12"/>
        <rFont val="標楷體"/>
        <family val="4"/>
        <charset val="136"/>
      </rPr>
      <t>，出入通行須暫行河床臨時便道。</t>
    </r>
    <phoneticPr fontId="5" type="noConversion"/>
  </si>
  <si>
    <r>
      <rPr>
        <sz val="12"/>
        <rFont val="標楷體"/>
        <family val="4"/>
        <charset val="136"/>
      </rPr>
      <t>梅山鄉瑞里村</t>
    </r>
    <r>
      <rPr>
        <sz val="12"/>
        <rFont val="Times New Roman"/>
        <family val="1"/>
      </rPr>
      <t xml:space="preserve"> (</t>
    </r>
    <r>
      <rPr>
        <sz val="12"/>
        <rFont val="標楷體"/>
        <family val="4"/>
        <charset val="136"/>
      </rPr>
      <t>嘉</t>
    </r>
    <r>
      <rPr>
        <sz val="12"/>
        <rFont val="Times New Roman"/>
        <family val="1"/>
      </rPr>
      <t xml:space="preserve">122 </t>
    </r>
    <r>
      <rPr>
        <sz val="12"/>
        <rFont val="標楷體"/>
        <family val="4"/>
        <charset val="136"/>
      </rPr>
      <t>線約</t>
    </r>
    <r>
      <rPr>
        <sz val="12"/>
        <rFont val="Times New Roman"/>
        <family val="1"/>
      </rPr>
      <t xml:space="preserve">31.5k </t>
    </r>
    <r>
      <rPr>
        <sz val="12"/>
        <rFont val="標楷體"/>
        <family val="4"/>
        <charset val="136"/>
      </rPr>
      <t>青葉山莊</t>
    </r>
    <r>
      <rPr>
        <sz val="12"/>
        <rFont val="Times New Roman"/>
        <family val="1"/>
      </rPr>
      <t>)</t>
    </r>
    <phoneticPr fontId="5" type="noConversion"/>
  </si>
  <si>
    <r>
      <rPr>
        <sz val="12"/>
        <rFont val="標楷體"/>
        <family val="4"/>
        <charset val="136"/>
      </rPr>
      <t>嘉</t>
    </r>
    <r>
      <rPr>
        <sz val="12"/>
        <rFont val="Times New Roman"/>
        <family val="1"/>
      </rPr>
      <t xml:space="preserve">122 </t>
    </r>
    <r>
      <rPr>
        <sz val="12"/>
        <rFont val="標楷體"/>
        <family val="4"/>
        <charset val="136"/>
      </rPr>
      <t>線約</t>
    </r>
    <r>
      <rPr>
        <sz val="12"/>
        <rFont val="Times New Roman"/>
        <family val="1"/>
      </rPr>
      <t xml:space="preserve">31.5k </t>
    </r>
    <r>
      <rPr>
        <sz val="12"/>
        <rFont val="標楷體"/>
        <family val="4"/>
        <charset val="136"/>
      </rPr>
      <t>處之道路上邊坡發生崩塌，梅山農會瑞里分部、緊臨之青葉山莊和多戶民宅遭土石掩埋約達一層樓高。瑞里村內民宅全倒</t>
    </r>
    <r>
      <rPr>
        <sz val="12"/>
        <rFont val="Times New Roman"/>
        <family val="1"/>
      </rPr>
      <t xml:space="preserve">12 </t>
    </r>
    <r>
      <rPr>
        <sz val="12"/>
        <rFont val="標楷體"/>
        <family val="4"/>
        <charset val="136"/>
      </rPr>
      <t>戶、半倒</t>
    </r>
    <r>
      <rPr>
        <sz val="12"/>
        <rFont val="Times New Roman"/>
        <family val="1"/>
      </rPr>
      <t>11</t>
    </r>
    <r>
      <rPr>
        <sz val="12"/>
        <rFont val="標楷體"/>
        <family val="4"/>
        <charset val="136"/>
      </rPr>
      <t>戶，</t>
    </r>
    <r>
      <rPr>
        <sz val="12"/>
        <rFont val="Times New Roman"/>
        <family val="1"/>
      </rPr>
      <t xml:space="preserve">8/9 </t>
    </r>
    <r>
      <rPr>
        <sz val="12"/>
        <rFont val="標楷體"/>
        <family val="4"/>
        <charset val="136"/>
      </rPr>
      <t>至</t>
    </r>
    <r>
      <rPr>
        <sz val="12"/>
        <rFont val="Times New Roman"/>
        <family val="1"/>
      </rPr>
      <t xml:space="preserve">8/23 </t>
    </r>
    <r>
      <rPr>
        <sz val="12"/>
        <rFont val="標楷體"/>
        <family val="4"/>
        <charset val="136"/>
      </rPr>
      <t>全村停電，聯外道
路於</t>
    </r>
    <r>
      <rPr>
        <sz val="12"/>
        <rFont val="Times New Roman"/>
        <family val="1"/>
      </rPr>
      <t xml:space="preserve">8/20 </t>
    </r>
    <r>
      <rPr>
        <sz val="12"/>
        <rFont val="標楷體"/>
        <family val="4"/>
        <charset val="136"/>
      </rPr>
      <t>始搶通。</t>
    </r>
    <phoneticPr fontId="5" type="noConversion"/>
  </si>
  <si>
    <r>
      <rPr>
        <sz val="12"/>
        <rFont val="標楷體"/>
        <family val="4"/>
        <charset val="136"/>
      </rPr>
      <t>梅山鄉瑞峰村</t>
    </r>
    <r>
      <rPr>
        <sz val="12"/>
        <rFont val="Times New Roman"/>
        <family val="1"/>
      </rPr>
      <t xml:space="preserve">(162 </t>
    </r>
    <r>
      <rPr>
        <sz val="12"/>
        <rFont val="標楷體"/>
        <family val="4"/>
        <charset val="136"/>
      </rPr>
      <t>甲線約</t>
    </r>
    <r>
      <rPr>
        <sz val="12"/>
        <rFont val="Times New Roman"/>
        <family val="1"/>
      </rPr>
      <t xml:space="preserve">30k </t>
    </r>
    <r>
      <rPr>
        <sz val="12"/>
        <rFont val="標楷體"/>
        <family val="4"/>
        <charset val="136"/>
      </rPr>
      <t>竹坑民宿</t>
    </r>
    <r>
      <rPr>
        <sz val="12"/>
        <rFont val="Times New Roman"/>
        <family val="1"/>
      </rPr>
      <t>)</t>
    </r>
    <phoneticPr fontId="5" type="noConversion"/>
  </si>
  <si>
    <r>
      <rPr>
        <sz val="12"/>
        <rFont val="標楷體"/>
        <family val="4"/>
        <charset val="136"/>
      </rPr>
      <t>瑞峰村</t>
    </r>
    <phoneticPr fontId="5" type="noConversion"/>
  </si>
  <si>
    <r>
      <rPr>
        <sz val="12"/>
        <rFont val="標楷體"/>
        <family val="4"/>
        <charset val="136"/>
      </rPr>
      <t>嘉</t>
    </r>
    <r>
      <rPr>
        <sz val="12"/>
        <rFont val="Times New Roman"/>
        <family val="1"/>
      </rPr>
      <t xml:space="preserve">162 </t>
    </r>
    <r>
      <rPr>
        <sz val="12"/>
        <rFont val="標楷體"/>
        <family val="4"/>
        <charset val="136"/>
      </rPr>
      <t>甲線道路約</t>
    </r>
    <r>
      <rPr>
        <sz val="12"/>
        <rFont val="Times New Roman"/>
        <family val="1"/>
      </rPr>
      <t xml:space="preserve">30k </t>
    </r>
    <r>
      <rPr>
        <sz val="12"/>
        <rFont val="標楷體"/>
        <family val="4"/>
        <charset val="136"/>
      </rPr>
      <t>處之上邊坡發生崩塌，土石滑落堆積於坡腳平緩處，掩埋道路約</t>
    </r>
    <r>
      <rPr>
        <sz val="12"/>
        <rFont val="Times New Roman"/>
        <family val="1"/>
      </rPr>
      <t xml:space="preserve">80m </t>
    </r>
    <r>
      <rPr>
        <sz val="12"/>
        <rFont val="標楷體"/>
        <family val="4"/>
        <charset val="136"/>
      </rPr>
      <t>範圍，位於坡腳處竹坑民宿</t>
    </r>
    <r>
      <rPr>
        <sz val="12"/>
        <rFont val="Times New Roman"/>
        <family val="1"/>
      </rPr>
      <t>(</t>
    </r>
    <r>
      <rPr>
        <sz val="12"/>
        <rFont val="標楷體"/>
        <family val="4"/>
        <charset val="136"/>
      </rPr>
      <t>舊居</t>
    </r>
    <r>
      <rPr>
        <sz val="12"/>
        <rFont val="Times New Roman"/>
        <family val="1"/>
      </rPr>
      <t>)</t>
    </r>
    <r>
      <rPr>
        <sz val="12"/>
        <rFont val="標楷體"/>
        <family val="4"/>
        <charset val="136"/>
      </rPr>
      <t>建物</t>
    </r>
    <r>
      <rPr>
        <sz val="12"/>
        <rFont val="Times New Roman"/>
        <family val="1"/>
      </rPr>
      <t xml:space="preserve">2 </t>
    </r>
    <r>
      <rPr>
        <sz val="12"/>
        <rFont val="標楷體"/>
        <family val="4"/>
        <charset val="136"/>
      </rPr>
      <t>棟遭土石掩埋。</t>
    </r>
    <phoneticPr fontId="5" type="noConversion"/>
  </si>
  <si>
    <r>
      <rPr>
        <sz val="12"/>
        <rFont val="標楷體"/>
        <family val="4"/>
        <charset val="136"/>
      </rPr>
      <t>番路鄉公田村</t>
    </r>
    <r>
      <rPr>
        <sz val="12"/>
        <rFont val="Times New Roman"/>
        <family val="1"/>
      </rPr>
      <t>(</t>
    </r>
    <r>
      <rPr>
        <sz val="12"/>
        <rFont val="標楷體"/>
        <family val="4"/>
        <charset val="136"/>
      </rPr>
      <t>台</t>
    </r>
    <r>
      <rPr>
        <sz val="12"/>
        <rFont val="Times New Roman"/>
        <family val="1"/>
      </rPr>
      <t xml:space="preserve">18 </t>
    </r>
    <r>
      <rPr>
        <sz val="12"/>
        <rFont val="標楷體"/>
        <family val="4"/>
        <charset val="136"/>
      </rPr>
      <t>線西向右轉進入嘉</t>
    </r>
    <r>
      <rPr>
        <sz val="12"/>
        <rFont val="Times New Roman"/>
        <family val="1"/>
      </rPr>
      <t xml:space="preserve">130-1 </t>
    </r>
    <r>
      <rPr>
        <sz val="12"/>
        <rFont val="標楷體"/>
        <family val="4"/>
        <charset val="136"/>
      </rPr>
      <t>線約</t>
    </r>
    <r>
      <rPr>
        <sz val="12"/>
        <rFont val="Times New Roman"/>
        <family val="1"/>
      </rPr>
      <t xml:space="preserve">1.5k </t>
    </r>
    <r>
      <rPr>
        <sz val="12"/>
        <rFont val="標楷體"/>
        <family val="4"/>
        <charset val="136"/>
      </rPr>
      <t>處</t>
    </r>
    <r>
      <rPr>
        <sz val="12"/>
        <rFont val="Times New Roman"/>
        <family val="1"/>
      </rPr>
      <t>)</t>
    </r>
    <phoneticPr fontId="5" type="noConversion"/>
  </si>
  <si>
    <r>
      <rPr>
        <sz val="12"/>
        <rFont val="標楷體"/>
        <family val="4"/>
        <charset val="136"/>
      </rPr>
      <t>公田村</t>
    </r>
    <phoneticPr fontId="5" type="noConversion"/>
  </si>
  <si>
    <r>
      <rPr>
        <sz val="12"/>
        <rFont val="標楷體"/>
        <family val="4"/>
        <charset val="136"/>
      </rPr>
      <t>嘉縣</t>
    </r>
    <r>
      <rPr>
        <sz val="12"/>
        <rFont val="Times New Roman"/>
        <family val="1"/>
      </rPr>
      <t>DF033</t>
    </r>
  </si>
  <si>
    <r>
      <rPr>
        <sz val="12"/>
        <rFont val="標楷體"/>
        <family val="4"/>
        <charset val="136"/>
      </rPr>
      <t>土石流潛勢溪流</t>
    </r>
    <r>
      <rPr>
        <sz val="12"/>
        <rFont val="Times New Roman"/>
        <family val="1"/>
      </rPr>
      <t>(</t>
    </r>
    <r>
      <rPr>
        <sz val="12"/>
        <rFont val="標楷體"/>
        <family val="4"/>
        <charset val="136"/>
      </rPr>
      <t>嘉縣</t>
    </r>
    <r>
      <rPr>
        <sz val="12"/>
        <rFont val="Times New Roman"/>
        <family val="1"/>
      </rPr>
      <t>DF033)</t>
    </r>
    <r>
      <rPr>
        <sz val="12"/>
        <rFont val="標楷體"/>
        <family val="4"/>
        <charset val="136"/>
      </rPr>
      <t>上游山坡地崩塌，嘉</t>
    </r>
    <r>
      <rPr>
        <sz val="12"/>
        <rFont val="Times New Roman"/>
        <family val="1"/>
      </rPr>
      <t xml:space="preserve">130-1 </t>
    </r>
    <r>
      <rPr>
        <sz val="12"/>
        <rFont val="標楷體"/>
        <family val="4"/>
        <charset val="136"/>
      </rPr>
      <t>線道路遭土石掩埋約</t>
    </r>
    <r>
      <rPr>
        <sz val="12"/>
        <rFont val="Times New Roman"/>
        <family val="1"/>
      </rPr>
      <t>120m</t>
    </r>
    <r>
      <rPr>
        <sz val="12"/>
        <rFont val="標楷體"/>
        <family val="4"/>
        <charset val="136"/>
      </rPr>
      <t>、路基流失損壞約</t>
    </r>
    <r>
      <rPr>
        <sz val="12"/>
        <rFont val="Times New Roman"/>
        <family val="1"/>
      </rPr>
      <t>70m</t>
    </r>
    <r>
      <rPr>
        <sz val="12"/>
        <rFont val="標楷體"/>
        <family val="4"/>
        <charset val="136"/>
      </rPr>
      <t>。</t>
    </r>
    <r>
      <rPr>
        <sz val="12"/>
        <rFont val="Times New Roman"/>
        <family val="1"/>
      </rPr>
      <t>􀀹</t>
    </r>
    <r>
      <rPr>
        <sz val="12"/>
        <rFont val="標楷體"/>
        <family val="4"/>
        <charset val="136"/>
      </rPr>
      <t>道路邊坡石籠損壞約</t>
    </r>
    <r>
      <rPr>
        <sz val="12"/>
        <rFont val="Times New Roman"/>
        <family val="1"/>
      </rPr>
      <t>10m</t>
    </r>
    <r>
      <rPr>
        <sz val="12"/>
        <rFont val="標楷體"/>
        <family val="4"/>
        <charset val="136"/>
      </rPr>
      <t>，道路邊坡擋土牆損壞約</t>
    </r>
    <r>
      <rPr>
        <sz val="12"/>
        <rFont val="Times New Roman"/>
        <family val="1"/>
      </rPr>
      <t>70m</t>
    </r>
    <r>
      <rPr>
        <sz val="12"/>
        <rFont val="標楷體"/>
        <family val="4"/>
        <charset val="136"/>
      </rPr>
      <t>。</t>
    </r>
    <phoneticPr fontId="5" type="noConversion"/>
  </si>
  <si>
    <r>
      <rPr>
        <sz val="12"/>
        <rFont val="標楷體"/>
        <family val="4"/>
        <charset val="136"/>
      </rPr>
      <t>－</t>
    </r>
    <phoneticPr fontId="5" type="noConversion"/>
  </si>
  <si>
    <r>
      <rPr>
        <sz val="12"/>
        <rFont val="標楷體"/>
        <family val="4"/>
        <charset val="136"/>
      </rPr>
      <t>阿里山鄉樂野村</t>
    </r>
    <r>
      <rPr>
        <sz val="12"/>
        <rFont val="Times New Roman"/>
        <family val="1"/>
      </rPr>
      <t>(</t>
    </r>
    <r>
      <rPr>
        <sz val="12"/>
        <rFont val="標楷體"/>
        <family val="4"/>
        <charset val="136"/>
      </rPr>
      <t>含台</t>
    </r>
    <r>
      <rPr>
        <sz val="12"/>
        <rFont val="Times New Roman"/>
        <family val="1"/>
      </rPr>
      <t xml:space="preserve">18 </t>
    </r>
    <r>
      <rPr>
        <sz val="12"/>
        <rFont val="標楷體"/>
        <family val="4"/>
        <charset val="136"/>
      </rPr>
      <t>線巃頭隧道口、樂山產業道路及野溪下游位置等三處</t>
    </r>
    <r>
      <rPr>
        <sz val="12"/>
        <rFont val="Times New Roman"/>
        <family val="1"/>
      </rPr>
      <t>)</t>
    </r>
    <phoneticPr fontId="5" type="noConversion"/>
  </si>
  <si>
    <r>
      <rPr>
        <sz val="12"/>
        <rFont val="標楷體"/>
        <family val="4"/>
        <charset val="136"/>
      </rPr>
      <t>樂野村</t>
    </r>
  </si>
  <si>
    <t>2009/8/8  01:00:00 AM ~ 2009/8/9  12:00:00 AM</t>
    <phoneticPr fontId="5" type="noConversion"/>
  </si>
  <si>
    <r>
      <rPr>
        <sz val="12"/>
        <rFont val="標楷體"/>
        <family val="4"/>
        <charset val="136"/>
      </rPr>
      <t>野溪上方發生三處大範圍崩塌，土石淤積下游河道且造成多處道路中斷。</t>
    </r>
    <phoneticPr fontId="5" type="noConversion"/>
  </si>
  <si>
    <r>
      <rPr>
        <sz val="12"/>
        <rFont val="標楷體"/>
        <family val="4"/>
        <charset val="136"/>
      </rPr>
      <t>瀨頭</t>
    </r>
    <phoneticPr fontId="5" type="noConversion"/>
  </si>
  <si>
    <r>
      <rPr>
        <sz val="12"/>
        <rFont val="標楷體"/>
        <family val="4"/>
        <charset val="136"/>
      </rPr>
      <t>中埔鄉東興村</t>
    </r>
    <r>
      <rPr>
        <sz val="12"/>
        <rFont val="Times New Roman"/>
        <family val="1"/>
      </rPr>
      <t>(</t>
    </r>
    <r>
      <rPr>
        <sz val="12"/>
        <rFont val="標楷體"/>
        <family val="4"/>
        <charset val="136"/>
      </rPr>
      <t>嘉</t>
    </r>
    <r>
      <rPr>
        <sz val="12"/>
        <rFont val="Times New Roman"/>
        <family val="1"/>
      </rPr>
      <t xml:space="preserve">141 </t>
    </r>
    <r>
      <rPr>
        <sz val="12"/>
        <rFont val="標楷體"/>
        <family val="4"/>
        <charset val="136"/>
      </rPr>
      <t>線邊坡道路</t>
    </r>
    <r>
      <rPr>
        <sz val="12"/>
        <rFont val="Times New Roman"/>
        <family val="1"/>
      </rPr>
      <t>)</t>
    </r>
    <phoneticPr fontId="5" type="noConversion"/>
  </si>
  <si>
    <r>
      <rPr>
        <sz val="12"/>
        <rFont val="標楷體"/>
        <family val="4"/>
        <charset val="136"/>
      </rPr>
      <t>東興村</t>
    </r>
    <phoneticPr fontId="5" type="noConversion"/>
  </si>
  <si>
    <r>
      <rPr>
        <sz val="12"/>
        <rFont val="標楷體"/>
        <family val="4"/>
        <charset val="136"/>
      </rPr>
      <t>民宅</t>
    </r>
    <r>
      <rPr>
        <sz val="12"/>
        <rFont val="Times New Roman"/>
        <family val="1"/>
      </rPr>
      <t>9-1</t>
    </r>
    <r>
      <rPr>
        <sz val="12"/>
        <rFont val="標楷體"/>
        <family val="4"/>
        <charset val="136"/>
      </rPr>
      <t>、</t>
    </r>
    <r>
      <rPr>
        <sz val="12"/>
        <rFont val="Times New Roman"/>
        <family val="1"/>
      </rPr>
      <t xml:space="preserve">9-2 </t>
    </r>
    <r>
      <rPr>
        <sz val="12"/>
        <rFont val="標楷體"/>
        <family val="4"/>
        <charset val="136"/>
      </rPr>
      <t>號與其倉庫均遭掩埋。</t>
    </r>
    <r>
      <rPr>
        <sz val="12"/>
        <rFont val="Times New Roman"/>
        <family val="1"/>
      </rPr>
      <t xml:space="preserve">9-2 </t>
    </r>
    <r>
      <rPr>
        <sz val="12"/>
        <rFont val="標楷體"/>
        <family val="4"/>
        <charset val="136"/>
      </rPr>
      <t>號住戶之兩位居民因避難不及，而遭土石掩埋罹難。</t>
    </r>
    <phoneticPr fontId="5" type="noConversion"/>
  </si>
  <si>
    <r>
      <rPr>
        <sz val="12"/>
        <rFont val="標楷體"/>
        <family val="4"/>
        <charset val="136"/>
      </rPr>
      <t>頭凍</t>
    </r>
  </si>
  <si>
    <r>
      <rPr>
        <sz val="12"/>
        <rFont val="標楷體"/>
        <family val="4"/>
        <charset val="136"/>
      </rPr>
      <t>信義鄉神木村</t>
    </r>
    <r>
      <rPr>
        <sz val="12"/>
        <rFont val="Times New Roman"/>
        <family val="1"/>
      </rPr>
      <t xml:space="preserve"> 1 </t>
    </r>
    <r>
      <rPr>
        <sz val="12"/>
        <rFont val="標楷體"/>
        <family val="4"/>
        <charset val="136"/>
      </rPr>
      <t>鄰</t>
    </r>
    <r>
      <rPr>
        <sz val="12"/>
        <rFont val="Times New Roman"/>
        <family val="1"/>
      </rPr>
      <t>(</t>
    </r>
    <r>
      <rPr>
        <sz val="12"/>
        <rFont val="標楷體"/>
        <family val="4"/>
        <charset val="136"/>
      </rPr>
      <t>民和巷</t>
    </r>
    <r>
      <rPr>
        <sz val="12"/>
        <rFont val="Times New Roman"/>
        <family val="1"/>
      </rPr>
      <t xml:space="preserve"> 14-1 </t>
    </r>
    <r>
      <rPr>
        <sz val="12"/>
        <rFont val="標楷體"/>
        <family val="4"/>
        <charset val="136"/>
      </rPr>
      <t>號及</t>
    </r>
    <r>
      <rPr>
        <sz val="12"/>
        <rFont val="Times New Roman"/>
        <family val="1"/>
      </rPr>
      <t xml:space="preserve"> 14 </t>
    </r>
    <r>
      <rPr>
        <sz val="12"/>
        <rFont val="標楷體"/>
        <family val="4"/>
        <charset val="136"/>
      </rPr>
      <t>號</t>
    </r>
    <r>
      <rPr>
        <sz val="12"/>
        <rFont val="Times New Roman"/>
        <family val="1"/>
      </rPr>
      <t>)</t>
    </r>
    <phoneticPr fontId="5" type="noConversion"/>
  </si>
  <si>
    <r>
      <rPr>
        <sz val="12"/>
        <rFont val="標楷體"/>
        <family val="4"/>
        <charset val="136"/>
      </rPr>
      <t>莫拉克颱風來襲造成南投山區大量降雨，造成民和巷沖蝕溝旁邊坡崩塌，崩坍面積估計約</t>
    </r>
    <r>
      <rPr>
        <sz val="12"/>
        <rFont val="Times New Roman"/>
        <family val="1"/>
      </rPr>
      <t xml:space="preserve"> 0.8</t>
    </r>
    <r>
      <rPr>
        <sz val="12"/>
        <rFont val="標楷體"/>
        <family val="4"/>
        <charset val="136"/>
      </rPr>
      <t>公頃，損壞崩塌面下方聯通道路約</t>
    </r>
    <r>
      <rPr>
        <sz val="12"/>
        <rFont val="Times New Roman"/>
        <family val="1"/>
      </rPr>
      <t xml:space="preserve"> 100 </t>
    </r>
    <r>
      <rPr>
        <sz val="12"/>
        <rFont val="標楷體"/>
        <family val="4"/>
        <charset val="136"/>
      </rPr>
      <t>公尺長。</t>
    </r>
    <phoneticPr fontId="5" type="noConversion"/>
  </si>
  <si>
    <r>
      <rPr>
        <sz val="12"/>
        <rFont val="標楷體"/>
        <family val="4"/>
        <charset val="136"/>
      </rPr>
      <t>信義鄉神木村</t>
    </r>
    <r>
      <rPr>
        <sz val="12"/>
        <rFont val="Times New Roman"/>
        <family val="1"/>
      </rPr>
      <t xml:space="preserve">(11 </t>
    </r>
    <r>
      <rPr>
        <sz val="12"/>
        <rFont val="標楷體"/>
        <family val="4"/>
        <charset val="136"/>
      </rPr>
      <t>鄰受損農舍</t>
    </r>
    <r>
      <rPr>
        <sz val="12"/>
        <rFont val="Times New Roman"/>
        <family val="1"/>
      </rPr>
      <t>)</t>
    </r>
    <phoneticPr fontId="5" type="noConversion"/>
  </si>
  <si>
    <r>
      <rPr>
        <sz val="12"/>
        <rFont val="標楷體"/>
        <family val="4"/>
        <charset val="136"/>
      </rPr>
      <t>因莫拉克造成山澗匯流溝壑導致山洪暴發，野溪橫越神木林道而下，溪床刷深導致道路基礎流失，使林道中斷。溪水淘刷邊坡造成兩岸崩塌，約</t>
    </r>
    <r>
      <rPr>
        <sz val="12"/>
        <rFont val="Times New Roman"/>
        <family val="1"/>
      </rPr>
      <t xml:space="preserve"> 200 </t>
    </r>
    <r>
      <rPr>
        <sz val="12"/>
        <rFont val="標楷體"/>
        <family val="4"/>
        <charset val="136"/>
      </rPr>
      <t>㎡的農田流失並導致農舍損毀。</t>
    </r>
    <phoneticPr fontId="5" type="noConversion"/>
  </si>
  <si>
    <r>
      <rPr>
        <sz val="12"/>
        <rFont val="標楷體"/>
        <family val="4"/>
        <charset val="136"/>
      </rPr>
      <t>公田聚落</t>
    </r>
    <r>
      <rPr>
        <sz val="12"/>
        <rFont val="Times New Roman"/>
        <family val="1"/>
      </rPr>
      <t>(</t>
    </r>
    <r>
      <rPr>
        <sz val="12"/>
        <rFont val="標楷體"/>
        <family val="4"/>
        <charset val="136"/>
      </rPr>
      <t>草嶺往</t>
    </r>
    <r>
      <rPr>
        <sz val="12"/>
        <rFont val="Times New Roman"/>
        <family val="1"/>
      </rPr>
      <t xml:space="preserve"> 921 </t>
    </r>
    <r>
      <rPr>
        <sz val="12"/>
        <rFont val="標楷體"/>
        <family val="4"/>
        <charset val="136"/>
      </rPr>
      <t>地震觀景台</t>
    </r>
    <r>
      <rPr>
        <sz val="12"/>
        <rFont val="Times New Roman"/>
        <family val="1"/>
      </rPr>
      <t xml:space="preserve"> 500 </t>
    </r>
    <r>
      <rPr>
        <sz val="12"/>
        <rFont val="標楷體"/>
        <family val="4"/>
        <charset val="136"/>
      </rPr>
      <t>公尺，公田</t>
    </r>
    <r>
      <rPr>
        <sz val="12"/>
        <rFont val="Times New Roman"/>
        <family val="1"/>
      </rPr>
      <t xml:space="preserve"> 14 </t>
    </r>
    <r>
      <rPr>
        <sz val="12"/>
        <rFont val="標楷體"/>
        <family val="4"/>
        <charset val="136"/>
      </rPr>
      <t>號電桿旁溪流處</t>
    </r>
    <r>
      <rPr>
        <sz val="12"/>
        <rFont val="Times New Roman"/>
        <family val="1"/>
      </rPr>
      <t>)</t>
    </r>
    <phoneticPr fontId="5" type="noConversion"/>
  </si>
  <si>
    <r>
      <rPr>
        <sz val="12"/>
        <rFont val="標楷體"/>
        <family val="4"/>
        <charset val="136"/>
      </rPr>
      <t>雲縣</t>
    </r>
    <r>
      <rPr>
        <sz val="12"/>
        <rFont val="Times New Roman"/>
        <family val="1"/>
      </rPr>
      <t>DF005</t>
    </r>
  </si>
  <si>
    <r>
      <rPr>
        <sz val="12"/>
        <rFont val="標楷體"/>
        <family val="4"/>
        <charset val="136"/>
      </rPr>
      <t>公田部落於莫拉克颱風來臨時發生多處崩塌，造成部份房舍與坡面基礎坍塌；土石流潛勢溪雲縣</t>
    </r>
    <r>
      <rPr>
        <sz val="12"/>
        <rFont val="Times New Roman"/>
        <family val="1"/>
      </rPr>
      <t xml:space="preserve"> DF005 </t>
    </r>
    <r>
      <rPr>
        <sz val="12"/>
        <rFont val="標楷體"/>
        <family val="4"/>
        <charset val="136"/>
      </rPr>
      <t>溪水暴漲挾帶上游崩塌土砂沖刷而下，導致潛勢溪河道淤埋，下方公田聯外道路因洪水溢流阻斷。</t>
    </r>
    <phoneticPr fontId="5" type="noConversion"/>
  </si>
  <si>
    <r>
      <rPr>
        <sz val="12"/>
        <rFont val="標楷體"/>
        <family val="4"/>
        <charset val="136"/>
      </rPr>
      <t>古坑鄉樟湖村</t>
    </r>
    <r>
      <rPr>
        <sz val="12"/>
        <rFont val="Times New Roman"/>
        <family val="1"/>
      </rPr>
      <t>(</t>
    </r>
    <r>
      <rPr>
        <sz val="12"/>
        <rFont val="標楷體"/>
        <family val="4"/>
        <charset val="136"/>
      </rPr>
      <t>石橋部落</t>
    </r>
    <r>
      <rPr>
        <sz val="12"/>
        <rFont val="Times New Roman"/>
        <family val="1"/>
      </rPr>
      <t>)</t>
    </r>
  </si>
  <si>
    <r>
      <rPr>
        <sz val="12"/>
        <rFont val="標楷體"/>
        <family val="4"/>
        <charset val="136"/>
      </rPr>
      <t>樟湖村</t>
    </r>
    <phoneticPr fontId="5" type="noConversion"/>
  </si>
  <si>
    <r>
      <rPr>
        <sz val="12"/>
        <rFont val="標楷體"/>
        <family val="4"/>
        <charset val="136"/>
      </rPr>
      <t>雲縣</t>
    </r>
    <r>
      <rPr>
        <sz val="12"/>
        <rFont val="Times New Roman"/>
        <family val="1"/>
      </rPr>
      <t>DF004</t>
    </r>
  </si>
  <si>
    <r>
      <rPr>
        <sz val="12"/>
        <rFont val="標楷體"/>
        <family val="4"/>
        <charset val="136"/>
      </rPr>
      <t>莫拉克颱風挾帶大量雨勢，導致石橋部落地區縣道</t>
    </r>
    <r>
      <rPr>
        <sz val="12"/>
        <rFont val="Times New Roman"/>
        <family val="1"/>
      </rPr>
      <t xml:space="preserve"> 149 </t>
    </r>
    <r>
      <rPr>
        <sz val="12"/>
        <rFont val="標楷體"/>
        <family val="4"/>
        <charset val="136"/>
      </rPr>
      <t>線</t>
    </r>
    <r>
      <rPr>
        <sz val="12"/>
        <rFont val="Times New Roman"/>
        <family val="1"/>
      </rPr>
      <t xml:space="preserve"> 23k </t>
    </r>
    <r>
      <rPr>
        <sz val="12"/>
        <rFont val="標楷體"/>
        <family val="4"/>
        <charset val="136"/>
      </rPr>
      <t>處潛勢溪流雲縣</t>
    </r>
    <r>
      <rPr>
        <sz val="12"/>
        <rFont val="Times New Roman"/>
        <family val="1"/>
      </rPr>
      <t xml:space="preserve"> DF004 </t>
    </r>
    <r>
      <rPr>
        <sz val="12"/>
        <rFont val="標楷體"/>
        <family val="4"/>
        <charset val="136"/>
      </rPr>
      <t>旁坡地崩塌。崩落土石阻斷聯外道路，並淤埋新建跌水消能池。崩塌地下方流河道既有之潛壩基礎掏空流失。</t>
    </r>
    <phoneticPr fontId="5" type="noConversion"/>
  </si>
  <si>
    <t>C0K240</t>
    <phoneticPr fontId="5" type="noConversion"/>
  </si>
  <si>
    <r>
      <rPr>
        <sz val="12"/>
        <rFont val="標楷體"/>
        <family val="4"/>
        <charset val="136"/>
      </rPr>
      <t>古坑鄉樟湖村</t>
    </r>
    <r>
      <rPr>
        <sz val="12"/>
        <rFont val="Times New Roman"/>
        <family val="1"/>
      </rPr>
      <t>(</t>
    </r>
    <r>
      <rPr>
        <sz val="12"/>
        <rFont val="標楷體"/>
        <family val="4"/>
        <charset val="136"/>
      </rPr>
      <t>後棟仔部落</t>
    </r>
    <r>
      <rPr>
        <sz val="12"/>
        <rFont val="Times New Roman"/>
        <family val="1"/>
      </rPr>
      <t>)(</t>
    </r>
    <r>
      <rPr>
        <sz val="12"/>
        <rFont val="標楷體"/>
        <family val="4"/>
        <charset val="136"/>
      </rPr>
      <t>石橋</t>
    </r>
    <r>
      <rPr>
        <sz val="12"/>
        <rFont val="Times New Roman"/>
        <family val="1"/>
      </rPr>
      <t xml:space="preserve"> 52 </t>
    </r>
    <r>
      <rPr>
        <sz val="12"/>
        <rFont val="標楷體"/>
        <family val="4"/>
        <charset val="136"/>
      </rPr>
      <t>號民宅</t>
    </r>
    <r>
      <rPr>
        <sz val="12"/>
        <rFont val="Times New Roman"/>
        <family val="1"/>
      </rPr>
      <t>)</t>
    </r>
    <phoneticPr fontId="5" type="noConversion"/>
  </si>
  <si>
    <r>
      <rPr>
        <sz val="12"/>
        <rFont val="標楷體"/>
        <family val="4"/>
        <charset val="136"/>
      </rPr>
      <t>雲林縣古坑鄉於莫拉克颱風過境時帶來充沛雨量，導致後棟仔部落石橋</t>
    </r>
    <r>
      <rPr>
        <sz val="12"/>
        <rFont val="Times New Roman"/>
        <family val="1"/>
      </rPr>
      <t xml:space="preserve"> 52 </t>
    </r>
    <r>
      <rPr>
        <sz val="12"/>
        <rFont val="標楷體"/>
        <family val="4"/>
        <charset val="136"/>
      </rPr>
      <t>號民宅旁山坡崩塌，崩塌土石撞擊</t>
    </r>
    <r>
      <rPr>
        <sz val="12"/>
        <rFont val="Times New Roman"/>
        <family val="1"/>
      </rPr>
      <t xml:space="preserve"> 52 </t>
    </r>
    <r>
      <rPr>
        <sz val="12"/>
        <rFont val="標楷體"/>
        <family val="4"/>
        <charset val="136"/>
      </rPr>
      <t>號民宅，造成部份房舍遭土石入侵毀損，崩塌面積估計約達</t>
    </r>
    <r>
      <rPr>
        <sz val="12"/>
        <rFont val="Times New Roman"/>
        <family val="1"/>
      </rPr>
      <t xml:space="preserve"> 100  </t>
    </r>
    <r>
      <rPr>
        <sz val="12"/>
        <rFont val="標楷體"/>
        <family val="4"/>
        <charset val="136"/>
      </rPr>
      <t>平方公尺</t>
    </r>
    <r>
      <rPr>
        <sz val="12"/>
        <rFont val="Times New Roman"/>
        <family val="1"/>
      </rPr>
      <t xml:space="preserve"> </t>
    </r>
    <r>
      <rPr>
        <sz val="12"/>
        <rFont val="標楷體"/>
        <family val="4"/>
        <charset val="136"/>
      </rPr>
      <t>。</t>
    </r>
    <phoneticPr fontId="5" type="noConversion"/>
  </si>
  <si>
    <r>
      <rPr>
        <sz val="12"/>
        <rFont val="標楷體"/>
        <family val="4"/>
        <charset val="136"/>
      </rPr>
      <t>古坑鄉樟湖村</t>
    </r>
    <r>
      <rPr>
        <sz val="12"/>
        <rFont val="Times New Roman"/>
        <family val="1"/>
      </rPr>
      <t>(</t>
    </r>
    <r>
      <rPr>
        <sz val="12"/>
        <rFont val="標楷體"/>
        <family val="4"/>
        <charset val="136"/>
      </rPr>
      <t>樟湖國小</t>
    </r>
    <r>
      <rPr>
        <sz val="12"/>
        <rFont val="Times New Roman"/>
        <family val="1"/>
      </rPr>
      <t>)(</t>
    </r>
    <r>
      <rPr>
        <sz val="12"/>
        <rFont val="標楷體"/>
        <family val="4"/>
        <charset val="136"/>
      </rPr>
      <t>樟湖</t>
    </r>
    <r>
      <rPr>
        <sz val="12"/>
        <rFont val="Times New Roman"/>
        <family val="1"/>
      </rPr>
      <t xml:space="preserve"> 28-1 </t>
    </r>
    <r>
      <rPr>
        <sz val="12"/>
        <rFont val="標楷體"/>
        <family val="4"/>
        <charset val="136"/>
      </rPr>
      <t>號民宅旁</t>
    </r>
    <r>
      <rPr>
        <sz val="12"/>
        <rFont val="Times New Roman"/>
        <family val="1"/>
      </rPr>
      <t>)</t>
    </r>
    <phoneticPr fontId="5" type="noConversion"/>
  </si>
  <si>
    <r>
      <rPr>
        <sz val="12"/>
        <rFont val="標楷體"/>
        <family val="4"/>
        <charset val="136"/>
      </rPr>
      <t>莫拉克颱風來襲，造成樟湖國小旁聯外道路下邊坡崩塌，通往縣</t>
    </r>
    <r>
      <rPr>
        <sz val="12"/>
        <rFont val="Times New Roman"/>
        <family val="1"/>
      </rPr>
      <t xml:space="preserve"> 149 </t>
    </r>
    <r>
      <rPr>
        <sz val="12"/>
        <rFont val="標楷體"/>
        <family val="4"/>
        <charset val="136"/>
      </rPr>
      <t>線之聯外道路約</t>
    </r>
    <r>
      <rPr>
        <sz val="12"/>
        <rFont val="Times New Roman"/>
        <family val="1"/>
      </rPr>
      <t xml:space="preserve"> 50 </t>
    </r>
    <r>
      <rPr>
        <sz val="12"/>
        <rFont val="標楷體"/>
        <family val="4"/>
        <charset val="136"/>
      </rPr>
      <t>公尺因而毀損、路基坍塌流失，連帶毀損既有之混凝土護欄與石籠擋土護坡。</t>
    </r>
    <phoneticPr fontId="5" type="noConversion"/>
  </si>
  <si>
    <r>
      <rPr>
        <sz val="12"/>
        <rFont val="標楷體"/>
        <family val="4"/>
        <charset val="136"/>
      </rPr>
      <t>過寮部落</t>
    </r>
  </si>
  <si>
    <r>
      <rPr>
        <sz val="12"/>
        <rFont val="標楷體"/>
        <family val="4"/>
        <charset val="136"/>
      </rPr>
      <t>莫拉克颱風來臨時，縣道</t>
    </r>
    <r>
      <rPr>
        <sz val="12"/>
        <rFont val="Times New Roman"/>
        <family val="1"/>
      </rPr>
      <t xml:space="preserve"> 149 </t>
    </r>
    <r>
      <rPr>
        <sz val="12"/>
        <rFont val="標楷體"/>
        <family val="4"/>
        <charset val="136"/>
      </rPr>
      <t>線</t>
    </r>
    <r>
      <rPr>
        <sz val="12"/>
        <rFont val="Times New Roman"/>
        <family val="1"/>
      </rPr>
      <t xml:space="preserve"> 21k </t>
    </r>
    <r>
      <rPr>
        <sz val="12"/>
        <rFont val="標楷體"/>
        <family val="4"/>
        <charset val="136"/>
      </rPr>
      <t>處邊坡崩塌，</t>
    </r>
    <r>
      <rPr>
        <sz val="12"/>
        <rFont val="Times New Roman"/>
        <family val="1"/>
      </rPr>
      <t xml:space="preserve">149 </t>
    </r>
    <r>
      <rPr>
        <sz val="12"/>
        <rFont val="標楷體"/>
        <family val="4"/>
        <charset val="136"/>
      </rPr>
      <t>線道路與上方聯外道路因崩塌阻斷通行，並危及坡地上方台電高壓電塔。縣道</t>
    </r>
    <r>
      <rPr>
        <sz val="12"/>
        <rFont val="Times New Roman"/>
        <family val="1"/>
      </rPr>
      <t xml:space="preserve"> 149</t>
    </r>
    <r>
      <rPr>
        <sz val="12"/>
        <rFont val="標楷體"/>
        <family val="4"/>
        <charset val="136"/>
      </rPr>
      <t>線阻斷長度約</t>
    </r>
    <r>
      <rPr>
        <sz val="12"/>
        <rFont val="Times New Roman"/>
        <family val="1"/>
      </rPr>
      <t xml:space="preserve"> 110 </t>
    </r>
    <r>
      <rPr>
        <sz val="12"/>
        <rFont val="標楷體"/>
        <family val="4"/>
        <charset val="136"/>
      </rPr>
      <t>公尺，聯外道路阻斷約</t>
    </r>
    <r>
      <rPr>
        <sz val="12"/>
        <rFont val="Times New Roman"/>
        <family val="1"/>
      </rPr>
      <t xml:space="preserve"> 160</t>
    </r>
    <r>
      <rPr>
        <sz val="12"/>
        <rFont val="標楷體"/>
        <family val="4"/>
        <charset val="136"/>
      </rPr>
      <t>公尺。</t>
    </r>
    <phoneticPr fontId="5" type="noConversion"/>
  </si>
  <si>
    <r>
      <rPr>
        <sz val="12"/>
        <rFont val="標楷體"/>
        <family val="4"/>
        <charset val="136"/>
      </rPr>
      <t>古坑鄉草嶺村</t>
    </r>
    <r>
      <rPr>
        <sz val="12"/>
        <rFont val="Times New Roman"/>
        <family val="1"/>
      </rPr>
      <t>(</t>
    </r>
    <r>
      <rPr>
        <sz val="12"/>
        <rFont val="標楷體"/>
        <family val="4"/>
        <charset val="136"/>
      </rPr>
      <t>摸石乳部落</t>
    </r>
    <r>
      <rPr>
        <sz val="12"/>
        <rFont val="Times New Roman"/>
        <family val="1"/>
      </rPr>
      <t>)(</t>
    </r>
    <r>
      <rPr>
        <sz val="12"/>
        <rFont val="標楷體"/>
        <family val="4"/>
        <charset val="136"/>
      </rPr>
      <t>草嶺國小下邊坡嘉</t>
    </r>
    <r>
      <rPr>
        <sz val="12"/>
        <rFont val="Times New Roman"/>
        <family val="1"/>
      </rPr>
      <t>149</t>
    </r>
    <r>
      <rPr>
        <sz val="12"/>
        <rFont val="標楷體"/>
        <family val="4"/>
        <charset val="136"/>
      </rPr>
      <t>甲線</t>
    </r>
    <r>
      <rPr>
        <sz val="12"/>
        <rFont val="Times New Roman"/>
        <family val="1"/>
      </rPr>
      <t xml:space="preserve"> 34K)</t>
    </r>
    <phoneticPr fontId="5" type="noConversion"/>
  </si>
  <si>
    <r>
      <rPr>
        <sz val="12"/>
        <rFont val="標楷體"/>
        <family val="4"/>
        <charset val="136"/>
      </rPr>
      <t>莫拉克颱風帶來之超大豪雨，導致草嶺村摸石乳部落</t>
    </r>
    <r>
      <rPr>
        <sz val="12"/>
        <rFont val="Times New Roman"/>
        <family val="1"/>
      </rPr>
      <t>2</t>
    </r>
    <r>
      <rPr>
        <sz val="12"/>
        <rFont val="標楷體"/>
        <family val="4"/>
        <charset val="136"/>
      </rPr>
      <t>鄰</t>
    </r>
    <r>
      <rPr>
        <sz val="12"/>
        <rFont val="Times New Roman"/>
        <family val="1"/>
      </rPr>
      <t>87</t>
    </r>
    <r>
      <rPr>
        <sz val="12"/>
        <rFont val="標楷體"/>
        <family val="4"/>
        <charset val="136"/>
      </rPr>
      <t>號民宅旁之野溪山洪爆發，洪水挾帶上游崩塌土石沖刷而下，毀損嘉</t>
    </r>
    <r>
      <rPr>
        <sz val="12"/>
        <rFont val="Times New Roman"/>
        <family val="1"/>
      </rPr>
      <t xml:space="preserve"> 149 </t>
    </r>
    <r>
      <rPr>
        <sz val="12"/>
        <rFont val="標楷體"/>
        <family val="4"/>
        <charset val="136"/>
      </rPr>
      <t>甲線造成交通中斷。民宅下邊坡施作中之擋土牆及攔砂壩遭土石撞擊毀損，房屋基礎嚴重空流失。</t>
    </r>
    <phoneticPr fontId="5" type="noConversion"/>
  </si>
  <si>
    <r>
      <rPr>
        <sz val="12"/>
        <rFont val="標楷體"/>
        <family val="4"/>
        <charset val="136"/>
      </rPr>
      <t>古坑鄉樟湖村</t>
    </r>
    <r>
      <rPr>
        <sz val="12"/>
        <rFont val="Times New Roman"/>
        <family val="1"/>
      </rPr>
      <t>(</t>
    </r>
    <r>
      <rPr>
        <sz val="12"/>
        <rFont val="標楷體"/>
        <family val="4"/>
        <charset val="136"/>
      </rPr>
      <t>石橋部落</t>
    </r>
    <r>
      <rPr>
        <sz val="12"/>
        <rFont val="Times New Roman"/>
        <family val="1"/>
      </rPr>
      <t>)(</t>
    </r>
    <r>
      <rPr>
        <sz val="12"/>
        <rFont val="標楷體"/>
        <family val="4"/>
        <charset val="136"/>
      </rPr>
      <t>縣道</t>
    </r>
    <r>
      <rPr>
        <sz val="12"/>
        <rFont val="Times New Roman"/>
        <family val="1"/>
      </rPr>
      <t xml:space="preserve"> 149 </t>
    </r>
    <r>
      <rPr>
        <sz val="12"/>
        <rFont val="標楷體"/>
        <family val="4"/>
        <charset val="136"/>
      </rPr>
      <t>線</t>
    </r>
    <r>
      <rPr>
        <sz val="12"/>
        <rFont val="Times New Roman"/>
        <family val="1"/>
      </rPr>
      <t xml:space="preserve"> 23K) </t>
    </r>
    <phoneticPr fontId="5" type="noConversion"/>
  </si>
  <si>
    <r>
      <rPr>
        <sz val="12"/>
        <rFont val="標楷體"/>
        <family val="4"/>
        <charset val="136"/>
      </rPr>
      <t>由於莫拉克颱風帶來樟湖村山區豐沛雨量，造成縣道</t>
    </r>
    <r>
      <rPr>
        <sz val="12"/>
        <rFont val="Times New Roman"/>
        <family val="1"/>
      </rPr>
      <t xml:space="preserve"> 149 </t>
    </r>
    <r>
      <rPr>
        <sz val="12"/>
        <rFont val="標楷體"/>
        <family val="4"/>
        <charset val="136"/>
      </rPr>
      <t>線上邊坡坍塌，土石阻斷道路，並入侵石橋部落樟湖村</t>
    </r>
    <r>
      <rPr>
        <sz val="12"/>
        <rFont val="Times New Roman"/>
        <family val="1"/>
      </rPr>
      <t xml:space="preserve"> 25 </t>
    </r>
    <r>
      <rPr>
        <sz val="12"/>
        <rFont val="標楷體"/>
        <family val="4"/>
        <charset val="136"/>
      </rPr>
      <t>號民宅，導致民宅損壞，並淤埋於民宅前方空地約五公尺高，受損民宅現已無人居住。</t>
    </r>
    <phoneticPr fontId="5" type="noConversion"/>
  </si>
  <si>
    <r>
      <rPr>
        <sz val="12"/>
        <rFont val="標楷體"/>
        <family val="4"/>
        <charset val="136"/>
      </rPr>
      <t>梅山鄉瑞里村</t>
    </r>
    <r>
      <rPr>
        <sz val="12"/>
        <rFont val="Times New Roman"/>
        <family val="1"/>
      </rPr>
      <t xml:space="preserve">(8 </t>
    </r>
    <r>
      <rPr>
        <sz val="12"/>
        <rFont val="標楷體"/>
        <family val="4"/>
        <charset val="136"/>
      </rPr>
      <t>鄰</t>
    </r>
    <r>
      <rPr>
        <sz val="12"/>
        <rFont val="Times New Roman"/>
        <family val="1"/>
      </rPr>
      <t xml:space="preserve"> 24 </t>
    </r>
    <r>
      <rPr>
        <sz val="12"/>
        <rFont val="標楷體"/>
        <family val="4"/>
        <charset val="136"/>
      </rPr>
      <t>號</t>
    </r>
    <r>
      <rPr>
        <sz val="12"/>
        <rFont val="Times New Roman"/>
        <family val="1"/>
      </rPr>
      <t>(</t>
    </r>
    <r>
      <rPr>
        <sz val="12"/>
        <rFont val="標楷體"/>
        <family val="4"/>
        <charset val="136"/>
      </rPr>
      <t>瑞里大飯店</t>
    </r>
    <r>
      <rPr>
        <sz val="12"/>
        <rFont val="Times New Roman"/>
        <family val="1"/>
      </rPr>
      <t>)</t>
    </r>
    <r>
      <rPr>
        <sz val="12"/>
        <rFont val="標楷體"/>
        <family val="4"/>
        <charset val="136"/>
      </rPr>
      <t>、</t>
    </r>
    <r>
      <rPr>
        <sz val="12"/>
        <rFont val="Times New Roman"/>
        <family val="1"/>
      </rPr>
      <t xml:space="preserve">25 </t>
    </r>
    <r>
      <rPr>
        <sz val="12"/>
        <rFont val="標楷體"/>
        <family val="4"/>
        <charset val="136"/>
      </rPr>
      <t>號</t>
    </r>
    <r>
      <rPr>
        <sz val="12"/>
        <rFont val="Times New Roman"/>
        <family val="1"/>
      </rPr>
      <t>)</t>
    </r>
    <phoneticPr fontId="5" type="noConversion"/>
  </si>
  <si>
    <r>
      <t xml:space="preserve">25 </t>
    </r>
    <r>
      <rPr>
        <sz val="12"/>
        <rFont val="標楷體"/>
        <family val="4"/>
        <charset val="136"/>
      </rPr>
      <t>號民宅東側山坡地因莫拉克豪大雨造成崩塌，崩塌範圍寬約</t>
    </r>
    <r>
      <rPr>
        <sz val="12"/>
        <rFont val="Times New Roman"/>
        <family val="1"/>
      </rPr>
      <t xml:space="preserve"> 30 </t>
    </r>
    <r>
      <rPr>
        <sz val="12"/>
        <rFont val="標楷體"/>
        <family val="4"/>
        <charset val="136"/>
      </rPr>
      <t>公尺，長約</t>
    </r>
    <r>
      <rPr>
        <sz val="12"/>
        <rFont val="Times New Roman"/>
        <family val="1"/>
      </rPr>
      <t xml:space="preserve"> 170 </t>
    </r>
    <r>
      <rPr>
        <sz val="12"/>
        <rFont val="標楷體"/>
        <family val="4"/>
        <charset val="136"/>
      </rPr>
      <t>公尺，造成民宅旁倉庫崩落，崩落土石毀損民宅路基，估計路基下陷約</t>
    </r>
    <r>
      <rPr>
        <sz val="12"/>
        <rFont val="Times New Roman"/>
        <family val="1"/>
      </rPr>
      <t xml:space="preserve"> 40 </t>
    </r>
    <r>
      <rPr>
        <sz val="12"/>
        <rFont val="標楷體"/>
        <family val="4"/>
        <charset val="136"/>
      </rPr>
      <t>公分。</t>
    </r>
    <phoneticPr fontId="5" type="noConversion"/>
  </si>
  <si>
    <r>
      <rPr>
        <sz val="12"/>
        <rFont val="標楷體"/>
        <family val="4"/>
        <charset val="136"/>
      </rPr>
      <t>梅山鄉瑞里村</t>
    </r>
    <r>
      <rPr>
        <sz val="12"/>
        <rFont val="Times New Roman"/>
        <family val="1"/>
      </rPr>
      <t xml:space="preserve">(8 </t>
    </r>
    <r>
      <rPr>
        <sz val="12"/>
        <rFont val="標楷體"/>
        <family val="4"/>
        <charset val="136"/>
      </rPr>
      <t>鄰</t>
    </r>
    <r>
      <rPr>
        <sz val="12"/>
        <rFont val="Times New Roman"/>
        <family val="1"/>
      </rPr>
      <t xml:space="preserve"> 7 </t>
    </r>
    <r>
      <rPr>
        <sz val="12"/>
        <rFont val="標楷體"/>
        <family val="4"/>
        <charset val="136"/>
      </rPr>
      <t>號</t>
    </r>
    <r>
      <rPr>
        <sz val="12"/>
        <rFont val="Times New Roman"/>
        <family val="1"/>
      </rPr>
      <t>)</t>
    </r>
  </si>
  <si>
    <r>
      <rPr>
        <sz val="12"/>
        <rFont val="標楷體"/>
        <family val="4"/>
        <charset val="136"/>
      </rPr>
      <t>莫拉克颱風豪大雨造成邊坡崩塌，崩塌範圍寬約</t>
    </r>
    <r>
      <rPr>
        <sz val="12"/>
        <rFont val="Times New Roman"/>
        <family val="1"/>
      </rPr>
      <t xml:space="preserve"> 30 </t>
    </r>
    <r>
      <rPr>
        <sz val="12"/>
        <rFont val="標楷體"/>
        <family val="4"/>
        <charset val="136"/>
      </rPr>
      <t>公尺，長約</t>
    </r>
    <r>
      <rPr>
        <sz val="12"/>
        <rFont val="Times New Roman"/>
        <family val="1"/>
      </rPr>
      <t xml:space="preserve"> 170 </t>
    </r>
    <r>
      <rPr>
        <sz val="12"/>
        <rFont val="標楷體"/>
        <family val="4"/>
        <charset val="136"/>
      </rPr>
      <t>公尺，造成通往瑞里村之聯外林道中斷約</t>
    </r>
    <r>
      <rPr>
        <sz val="12"/>
        <rFont val="Times New Roman"/>
        <family val="1"/>
      </rPr>
      <t xml:space="preserve"> 40 </t>
    </r>
    <r>
      <rPr>
        <sz val="12"/>
        <rFont val="標楷體"/>
        <family val="4"/>
        <charset val="136"/>
      </rPr>
      <t>公尺，且全村停電造成</t>
    </r>
    <r>
      <rPr>
        <sz val="12"/>
        <rFont val="Times New Roman"/>
        <family val="1"/>
      </rPr>
      <t xml:space="preserve"> 8 </t>
    </r>
    <r>
      <rPr>
        <sz val="12"/>
        <rFont val="標楷體"/>
        <family val="4"/>
        <charset val="136"/>
      </rPr>
      <t>鄰</t>
    </r>
    <r>
      <rPr>
        <sz val="12"/>
        <rFont val="Times New Roman"/>
        <family val="1"/>
      </rPr>
      <t xml:space="preserve"> 7 </t>
    </r>
    <r>
      <rPr>
        <sz val="12"/>
        <rFont val="標楷體"/>
        <family val="4"/>
        <charset val="136"/>
      </rPr>
      <t>號居民無法對外聯繫。</t>
    </r>
    <phoneticPr fontId="5" type="noConversion"/>
  </si>
  <si>
    <r>
      <rPr>
        <sz val="12"/>
        <rFont val="標楷體"/>
        <family val="4"/>
        <charset val="136"/>
      </rPr>
      <t>梅山鄉瑞里村</t>
    </r>
    <r>
      <rPr>
        <sz val="12"/>
        <rFont val="Times New Roman"/>
        <family val="1"/>
      </rPr>
      <t xml:space="preserve">(1 </t>
    </r>
    <r>
      <rPr>
        <sz val="12"/>
        <rFont val="標楷體"/>
        <family val="4"/>
        <charset val="136"/>
      </rPr>
      <t>鄰</t>
    </r>
    <r>
      <rPr>
        <sz val="12"/>
        <rFont val="Times New Roman"/>
        <family val="1"/>
      </rPr>
      <t xml:space="preserve"> 2 </t>
    </r>
    <r>
      <rPr>
        <sz val="12"/>
        <rFont val="標楷體"/>
        <family val="4"/>
        <charset val="136"/>
      </rPr>
      <t>號、</t>
    </r>
    <r>
      <rPr>
        <sz val="12"/>
        <rFont val="Times New Roman"/>
        <family val="1"/>
      </rPr>
      <t xml:space="preserve">3 </t>
    </r>
    <r>
      <rPr>
        <sz val="12"/>
        <rFont val="標楷體"/>
        <family val="4"/>
        <charset val="136"/>
      </rPr>
      <t>號</t>
    </r>
    <r>
      <rPr>
        <sz val="12"/>
        <rFont val="Times New Roman"/>
        <family val="1"/>
      </rPr>
      <t>)</t>
    </r>
    <phoneticPr fontId="5" type="noConversion"/>
  </si>
  <si>
    <r>
      <rPr>
        <sz val="12"/>
        <rFont val="標楷體"/>
        <family val="4"/>
        <charset val="136"/>
      </rPr>
      <t>因莫拉克颱風挾帶豪大雨，造成瑞里村</t>
    </r>
    <r>
      <rPr>
        <sz val="12"/>
        <rFont val="Times New Roman"/>
        <family val="1"/>
      </rPr>
      <t xml:space="preserve"> 1 </t>
    </r>
    <r>
      <rPr>
        <sz val="12"/>
        <rFont val="標楷體"/>
        <family val="4"/>
        <charset val="136"/>
      </rPr>
      <t>鄰</t>
    </r>
    <r>
      <rPr>
        <sz val="12"/>
        <rFont val="Times New Roman"/>
        <family val="1"/>
      </rPr>
      <t xml:space="preserve">2 </t>
    </r>
    <r>
      <rPr>
        <sz val="12"/>
        <rFont val="標楷體"/>
        <family val="4"/>
        <charset val="136"/>
      </rPr>
      <t>號及</t>
    </r>
    <r>
      <rPr>
        <sz val="12"/>
        <rFont val="Times New Roman"/>
        <family val="1"/>
      </rPr>
      <t xml:space="preserve"> 3 </t>
    </r>
    <r>
      <rPr>
        <sz val="12"/>
        <rFont val="標楷體"/>
        <family val="4"/>
        <charset val="136"/>
      </rPr>
      <t>號民宅旁邊坡崩塌，掩埋民宅及汽車，並阻斷</t>
    </r>
    <r>
      <rPr>
        <sz val="12"/>
        <rFont val="Times New Roman"/>
        <family val="1"/>
      </rPr>
      <t xml:space="preserve"> 1 </t>
    </r>
    <r>
      <rPr>
        <sz val="12"/>
        <rFont val="標楷體"/>
        <family val="4"/>
        <charset val="136"/>
      </rPr>
      <t>鄰</t>
    </r>
    <r>
      <rPr>
        <sz val="12"/>
        <rFont val="Times New Roman"/>
        <family val="1"/>
      </rPr>
      <t xml:space="preserve"> 3 </t>
    </r>
    <r>
      <rPr>
        <sz val="12"/>
        <rFont val="標楷體"/>
        <family val="4"/>
        <charset val="136"/>
      </rPr>
      <t>號之聯外道路，部分電線桿倒塌於民宅屋頂上。</t>
    </r>
    <phoneticPr fontId="5" type="noConversion"/>
  </si>
  <si>
    <r>
      <rPr>
        <sz val="12"/>
        <rFont val="標楷體"/>
        <family val="4"/>
        <charset val="136"/>
      </rPr>
      <t>阿里山鄉十字村</t>
    </r>
    <r>
      <rPr>
        <sz val="12"/>
        <rFont val="Times New Roman"/>
        <family val="1"/>
      </rPr>
      <t xml:space="preserve">(6 </t>
    </r>
    <r>
      <rPr>
        <sz val="12"/>
        <rFont val="標楷體"/>
        <family val="4"/>
        <charset val="136"/>
      </rPr>
      <t>鄰</t>
    </r>
    <r>
      <rPr>
        <sz val="12"/>
        <rFont val="Times New Roman"/>
        <family val="1"/>
      </rPr>
      <t>) (</t>
    </r>
    <r>
      <rPr>
        <sz val="12"/>
        <rFont val="標楷體"/>
        <family val="4"/>
        <charset val="136"/>
      </rPr>
      <t>近嘉</t>
    </r>
    <r>
      <rPr>
        <sz val="12"/>
        <rFont val="Times New Roman"/>
        <family val="1"/>
      </rPr>
      <t xml:space="preserve"> 149 </t>
    </r>
    <r>
      <rPr>
        <sz val="12"/>
        <rFont val="標楷體"/>
        <family val="4"/>
        <charset val="136"/>
      </rPr>
      <t>線往來吉段</t>
    </r>
    <r>
      <rPr>
        <sz val="12"/>
        <rFont val="Times New Roman"/>
        <family val="1"/>
      </rPr>
      <t xml:space="preserve"> 204 </t>
    </r>
    <r>
      <rPr>
        <sz val="12"/>
        <rFont val="標楷體"/>
        <family val="4"/>
        <charset val="136"/>
      </rPr>
      <t>號電線桿處</t>
    </r>
    <r>
      <rPr>
        <sz val="12"/>
        <rFont val="Times New Roman"/>
        <family val="1"/>
      </rPr>
      <t>)</t>
    </r>
    <phoneticPr fontId="5" type="noConversion"/>
  </si>
  <si>
    <r>
      <rPr>
        <sz val="12"/>
        <rFont val="標楷體"/>
        <family val="4"/>
        <charset val="136"/>
      </rPr>
      <t>十字村</t>
    </r>
    <phoneticPr fontId="5" type="noConversion"/>
  </si>
  <si>
    <r>
      <rPr>
        <sz val="12"/>
        <rFont val="標楷體"/>
        <family val="4"/>
        <charset val="136"/>
      </rPr>
      <t>莫拉克颱風造成阿里山鄉十字村山坡地多處大範圍崩塌，其中</t>
    </r>
    <r>
      <rPr>
        <sz val="12"/>
        <rFont val="Times New Roman"/>
        <family val="1"/>
      </rPr>
      <t xml:space="preserve"> 6 </t>
    </r>
    <r>
      <rPr>
        <sz val="12"/>
        <rFont val="標楷體"/>
        <family val="4"/>
        <charset val="136"/>
      </rPr>
      <t>鄰民宅旁倉庫基礎因後方山坡崩塌而毀損，該處崩塌範圍寬約</t>
    </r>
    <r>
      <rPr>
        <sz val="12"/>
        <rFont val="Times New Roman"/>
        <family val="1"/>
      </rPr>
      <t xml:space="preserve">130 </t>
    </r>
    <r>
      <rPr>
        <sz val="12"/>
        <rFont val="標楷體"/>
        <family val="4"/>
        <charset val="136"/>
      </rPr>
      <t>公尺，長約</t>
    </r>
    <r>
      <rPr>
        <sz val="12"/>
        <rFont val="Times New Roman"/>
        <family val="1"/>
      </rPr>
      <t xml:space="preserve"> 110 </t>
    </r>
    <r>
      <rPr>
        <sz val="12"/>
        <rFont val="標楷體"/>
        <family val="4"/>
        <charset val="136"/>
      </rPr>
      <t>公尺。</t>
    </r>
    <phoneticPr fontId="5" type="noConversion"/>
  </si>
  <si>
    <r>
      <rPr>
        <sz val="12"/>
        <rFont val="標楷體"/>
        <family val="4"/>
        <charset val="136"/>
      </rPr>
      <t>阿里山鄉新美村</t>
    </r>
    <r>
      <rPr>
        <sz val="12"/>
        <rFont val="Times New Roman"/>
        <family val="1"/>
      </rPr>
      <t>(</t>
    </r>
    <r>
      <rPr>
        <sz val="12"/>
        <rFont val="標楷體"/>
        <family val="4"/>
        <charset val="136"/>
      </rPr>
      <t>新美部落</t>
    </r>
    <r>
      <rPr>
        <sz val="12"/>
        <rFont val="Times New Roman"/>
        <family val="1"/>
      </rPr>
      <t>)(</t>
    </r>
    <r>
      <rPr>
        <sz val="12"/>
        <rFont val="標楷體"/>
        <family val="4"/>
        <charset val="136"/>
      </rPr>
      <t>近嘉</t>
    </r>
    <r>
      <rPr>
        <sz val="12"/>
        <rFont val="Times New Roman"/>
        <family val="1"/>
      </rPr>
      <t xml:space="preserve"> 129 </t>
    </r>
    <r>
      <rPr>
        <sz val="12"/>
        <rFont val="標楷體"/>
        <family val="4"/>
        <charset val="136"/>
      </rPr>
      <t>線</t>
    </r>
    <r>
      <rPr>
        <sz val="12"/>
        <rFont val="Times New Roman"/>
        <family val="1"/>
      </rPr>
      <t xml:space="preserve"> 17.5k </t>
    </r>
    <r>
      <rPr>
        <sz val="12"/>
        <rFont val="標楷體"/>
        <family val="4"/>
        <charset val="136"/>
      </rPr>
      <t>處</t>
    </r>
    <r>
      <rPr>
        <sz val="12"/>
        <rFont val="Times New Roman"/>
        <family val="1"/>
      </rPr>
      <t>)</t>
    </r>
    <phoneticPr fontId="5" type="noConversion"/>
  </si>
  <si>
    <r>
      <rPr>
        <sz val="12"/>
        <rFont val="標楷體"/>
        <family val="4"/>
        <charset val="136"/>
      </rPr>
      <t>新美村</t>
    </r>
    <phoneticPr fontId="5" type="noConversion"/>
  </si>
  <si>
    <r>
      <rPr>
        <sz val="12"/>
        <rFont val="標楷體"/>
        <family val="4"/>
        <charset val="136"/>
      </rPr>
      <t>莫拉克颱風來襲阿里山區大量降雨，造成新美村靠近嘉</t>
    </r>
    <r>
      <rPr>
        <sz val="12"/>
        <rFont val="Times New Roman"/>
        <family val="1"/>
      </rPr>
      <t xml:space="preserve"> 129 </t>
    </r>
    <r>
      <rPr>
        <sz val="12"/>
        <rFont val="標楷體"/>
        <family val="4"/>
        <charset val="136"/>
      </rPr>
      <t>線</t>
    </r>
    <r>
      <rPr>
        <sz val="12"/>
        <rFont val="Times New Roman"/>
        <family val="1"/>
      </rPr>
      <t xml:space="preserve"> 17.5k </t>
    </r>
    <r>
      <rPr>
        <sz val="12"/>
        <rFont val="標楷體"/>
        <family val="4"/>
        <charset val="136"/>
      </rPr>
      <t>處崩塌，嘉</t>
    </r>
    <r>
      <rPr>
        <sz val="12"/>
        <rFont val="Times New Roman"/>
        <family val="1"/>
      </rPr>
      <t xml:space="preserve"> 129 </t>
    </r>
    <r>
      <rPr>
        <sz val="12"/>
        <rFont val="標楷體"/>
        <family val="4"/>
        <charset val="136"/>
      </rPr>
      <t>線損毀約</t>
    </r>
    <r>
      <rPr>
        <sz val="12"/>
        <rFont val="Times New Roman"/>
        <family val="1"/>
      </rPr>
      <t xml:space="preserve"> 130 </t>
    </r>
    <r>
      <rPr>
        <sz val="12"/>
        <rFont val="標楷體"/>
        <family val="4"/>
        <charset val="136"/>
      </rPr>
      <t>公尺。崩塌地西側依拜邦部落聯外道路上邊坡崩塌造成路基毀損，部分路段亦因沖蝕溝溪水淘刷造成路基流失，毀損約</t>
    </r>
    <r>
      <rPr>
        <sz val="12"/>
        <rFont val="Times New Roman"/>
        <family val="1"/>
      </rPr>
      <t xml:space="preserve"> 60 </t>
    </r>
    <r>
      <rPr>
        <sz val="12"/>
        <rFont val="標楷體"/>
        <family val="4"/>
        <charset val="136"/>
      </rPr>
      <t>公尺。</t>
    </r>
    <phoneticPr fontId="5" type="noConversion"/>
  </si>
  <si>
    <r>
      <rPr>
        <sz val="12"/>
        <rFont val="標楷體"/>
        <family val="4"/>
        <charset val="136"/>
      </rPr>
      <t>德文派出所</t>
    </r>
    <r>
      <rPr>
        <sz val="12"/>
        <rFont val="Times New Roman"/>
        <family val="1"/>
      </rPr>
      <t>(</t>
    </r>
    <r>
      <rPr>
        <sz val="12"/>
        <rFont val="標楷體"/>
        <family val="4"/>
        <charset val="136"/>
      </rPr>
      <t>屏</t>
    </r>
    <r>
      <rPr>
        <sz val="12"/>
        <rFont val="Times New Roman"/>
        <family val="1"/>
      </rPr>
      <t xml:space="preserve"> 31 </t>
    </r>
    <r>
      <rPr>
        <sz val="12"/>
        <rFont val="標楷體"/>
        <family val="4"/>
        <charset val="136"/>
      </rPr>
      <t>線約</t>
    </r>
    <r>
      <rPr>
        <sz val="12"/>
        <rFont val="Times New Roman"/>
        <family val="1"/>
      </rPr>
      <t xml:space="preserve"> 7.0km </t>
    </r>
    <r>
      <rPr>
        <sz val="12"/>
        <rFont val="標楷體"/>
        <family val="4"/>
        <charset val="136"/>
      </rPr>
      <t>處</t>
    </r>
    <r>
      <rPr>
        <sz val="12"/>
        <rFont val="Times New Roman"/>
        <family val="1"/>
      </rPr>
      <t>)</t>
    </r>
    <phoneticPr fontId="5" type="noConversion"/>
  </si>
  <si>
    <r>
      <rPr>
        <sz val="12"/>
        <rFont val="標楷體"/>
        <family val="4"/>
        <charset val="136"/>
      </rPr>
      <t>德文村</t>
    </r>
    <phoneticPr fontId="5" type="noConversion"/>
  </si>
  <si>
    <r>
      <rPr>
        <sz val="12"/>
        <rFont val="標楷體"/>
        <family val="4"/>
        <charset val="136"/>
      </rPr>
      <t>莫拉克颱風帶來超大豪雨，德文村西側山澗壑溝溪水暴漲，洪水沿聯外道路溢流，造成</t>
    </r>
    <r>
      <rPr>
        <sz val="12"/>
        <rFont val="Times New Roman"/>
        <family val="1"/>
      </rPr>
      <t xml:space="preserve"> 6 </t>
    </r>
    <r>
      <rPr>
        <sz val="12"/>
        <rFont val="標楷體"/>
        <family val="4"/>
        <charset val="136"/>
      </rPr>
      <t>棟民宅淹水，洪水挾帶土砂順流而下淤埋屏</t>
    </r>
    <r>
      <rPr>
        <sz val="12"/>
        <rFont val="Times New Roman"/>
        <family val="1"/>
      </rPr>
      <t xml:space="preserve"> 31</t>
    </r>
    <r>
      <rPr>
        <sz val="12"/>
        <rFont val="標楷體"/>
        <family val="4"/>
        <charset val="136"/>
      </rPr>
      <t>線道路約</t>
    </r>
    <r>
      <rPr>
        <sz val="12"/>
        <rFont val="Times New Roman"/>
        <family val="1"/>
      </rPr>
      <t xml:space="preserve"> 30 </t>
    </r>
    <r>
      <rPr>
        <sz val="12"/>
        <rFont val="標楷體"/>
        <family val="4"/>
        <charset val="136"/>
      </rPr>
      <t>公尺。屏</t>
    </r>
    <r>
      <rPr>
        <sz val="12"/>
        <rFont val="Times New Roman"/>
        <family val="1"/>
      </rPr>
      <t xml:space="preserve"> 31 </t>
    </r>
    <r>
      <rPr>
        <sz val="12"/>
        <rFont val="標楷體"/>
        <family val="4"/>
        <charset val="136"/>
      </rPr>
      <t>線道路約</t>
    </r>
    <r>
      <rPr>
        <sz val="12"/>
        <rFont val="Times New Roman"/>
        <family val="1"/>
      </rPr>
      <t xml:space="preserve"> 7.0K </t>
    </r>
    <r>
      <rPr>
        <sz val="12"/>
        <rFont val="標楷體"/>
        <family val="4"/>
        <charset val="136"/>
      </rPr>
      <t>處因洪水侵襲，造成路基毀損約</t>
    </r>
    <r>
      <rPr>
        <sz val="12"/>
        <rFont val="Times New Roman"/>
        <family val="1"/>
      </rPr>
      <t xml:space="preserve"> 50 </t>
    </r>
    <r>
      <rPr>
        <sz val="12"/>
        <rFont val="標楷體"/>
        <family val="4"/>
        <charset val="136"/>
      </rPr>
      <t>公尺、道路</t>
    </r>
    <r>
      <rPr>
        <sz val="12"/>
        <rFont val="Times New Roman"/>
        <family val="1"/>
      </rPr>
      <t xml:space="preserve"> 1 </t>
    </r>
    <r>
      <rPr>
        <sz val="12"/>
        <rFont val="標楷體"/>
        <family val="4"/>
        <charset val="136"/>
      </rPr>
      <t>棟民宅基礎流失毀損，並掩埋下邊坡之聯外道路，道路中斷約</t>
    </r>
    <r>
      <rPr>
        <sz val="12"/>
        <rFont val="Times New Roman"/>
        <family val="1"/>
      </rPr>
      <t xml:space="preserve">150 </t>
    </r>
    <r>
      <rPr>
        <sz val="12"/>
        <rFont val="標楷體"/>
        <family val="4"/>
        <charset val="136"/>
      </rPr>
      <t>公尺。</t>
    </r>
    <phoneticPr fontId="5" type="noConversion"/>
  </si>
  <si>
    <r>
      <rPr>
        <sz val="12"/>
        <rFont val="標楷體"/>
        <family val="4"/>
        <charset val="136"/>
      </rPr>
      <t>崩塌、土石流</t>
    </r>
    <phoneticPr fontId="5" type="noConversion"/>
  </si>
  <si>
    <r>
      <rPr>
        <sz val="12"/>
        <rFont val="標楷體"/>
        <family val="4"/>
        <charset val="136"/>
      </rPr>
      <t>甲仙鄉西安村</t>
    </r>
    <r>
      <rPr>
        <sz val="12"/>
        <rFont val="Times New Roman"/>
        <family val="1"/>
      </rPr>
      <t>(</t>
    </r>
    <r>
      <rPr>
        <sz val="12"/>
        <rFont val="標楷體"/>
        <family val="4"/>
        <charset val="136"/>
      </rPr>
      <t>和南巷</t>
    </r>
    <r>
      <rPr>
        <sz val="12"/>
        <rFont val="Times New Roman"/>
        <family val="1"/>
      </rPr>
      <t xml:space="preserve">42 </t>
    </r>
    <r>
      <rPr>
        <sz val="12"/>
        <rFont val="標楷體"/>
        <family val="4"/>
        <charset val="136"/>
      </rPr>
      <t>號附近</t>
    </r>
    <r>
      <rPr>
        <sz val="12"/>
        <rFont val="Times New Roman"/>
        <family val="1"/>
      </rPr>
      <t>)</t>
    </r>
    <phoneticPr fontId="5" type="noConversion"/>
  </si>
  <si>
    <r>
      <rPr>
        <sz val="12"/>
        <rFont val="標楷體"/>
        <family val="4"/>
        <charset val="136"/>
      </rPr>
      <t>高市</t>
    </r>
    <r>
      <rPr>
        <sz val="12"/>
        <rFont val="Times New Roman"/>
        <family val="1"/>
      </rPr>
      <t>DF071</t>
    </r>
  </si>
  <si>
    <r>
      <rPr>
        <sz val="12"/>
        <rFont val="標楷體"/>
        <family val="4"/>
        <charset val="136"/>
      </rPr>
      <t>和南巷後方第</t>
    </r>
    <r>
      <rPr>
        <sz val="12"/>
        <rFont val="Times New Roman"/>
        <family val="1"/>
      </rPr>
      <t xml:space="preserve">32 </t>
    </r>
    <r>
      <rPr>
        <sz val="12"/>
        <rFont val="標楷體"/>
        <family val="4"/>
        <charset val="136"/>
      </rPr>
      <t>林班地崩塌，造成土石流出淤埋滴水橋附近野溪。</t>
    </r>
    <phoneticPr fontId="5" type="noConversion"/>
  </si>
  <si>
    <r>
      <rPr>
        <sz val="12"/>
        <rFont val="標楷體"/>
        <family val="4"/>
        <charset val="136"/>
      </rPr>
      <t>崩塌、地滑</t>
    </r>
  </si>
  <si>
    <r>
      <rPr>
        <sz val="12"/>
        <rFont val="標楷體"/>
        <family val="4"/>
        <charset val="136"/>
      </rPr>
      <t>牡丹鄉石門村</t>
    </r>
    <r>
      <rPr>
        <sz val="12"/>
        <rFont val="Times New Roman"/>
        <family val="1"/>
      </rPr>
      <t xml:space="preserve"> (199 </t>
    </r>
    <r>
      <rPr>
        <sz val="12"/>
        <rFont val="標楷體"/>
        <family val="4"/>
        <charset val="136"/>
      </rPr>
      <t>線中間路橋</t>
    </r>
    <r>
      <rPr>
        <sz val="12"/>
        <rFont val="Times New Roman"/>
        <family val="1"/>
      </rPr>
      <t>)</t>
    </r>
    <phoneticPr fontId="5" type="noConversion"/>
  </si>
  <si>
    <r>
      <rPr>
        <sz val="12"/>
        <rFont val="標楷體"/>
        <family val="4"/>
        <charset val="136"/>
      </rPr>
      <t>石門村</t>
    </r>
  </si>
  <si>
    <r>
      <rPr>
        <sz val="12"/>
        <rFont val="標楷體"/>
        <family val="4"/>
        <charset val="136"/>
      </rPr>
      <t>牡丹鄉石門村</t>
    </r>
    <r>
      <rPr>
        <sz val="12"/>
        <rFont val="Times New Roman"/>
        <family val="1"/>
      </rPr>
      <t>(</t>
    </r>
    <r>
      <rPr>
        <sz val="12"/>
        <rFont val="標楷體"/>
        <family val="4"/>
        <charset val="136"/>
      </rPr>
      <t>中間路</t>
    </r>
    <r>
      <rPr>
        <sz val="12"/>
        <rFont val="Times New Roman"/>
        <family val="1"/>
      </rPr>
      <t>18-1</t>
    </r>
    <r>
      <rPr>
        <sz val="12"/>
        <rFont val="標楷體"/>
        <family val="4"/>
        <charset val="136"/>
      </rPr>
      <t>、</t>
    </r>
    <r>
      <rPr>
        <sz val="12"/>
        <rFont val="Times New Roman"/>
        <family val="1"/>
      </rPr>
      <t xml:space="preserve">18-2 </t>
    </r>
    <r>
      <rPr>
        <sz val="12"/>
        <rFont val="標楷體"/>
        <family val="4"/>
        <charset val="136"/>
      </rPr>
      <t>號</t>
    </r>
    <r>
      <rPr>
        <sz val="12"/>
        <rFont val="Times New Roman"/>
        <family val="1"/>
      </rPr>
      <t>)</t>
    </r>
    <r>
      <rPr>
        <sz val="12"/>
        <rFont val="標楷體"/>
        <family val="4"/>
        <charset val="136"/>
      </rPr>
      <t>因莫拉克颱風所挾帶超大豪雨，導致民宅後方坡地發生崩塌，災後鄉公所進行緊急護坡工程時又再次發生崩塌。</t>
    </r>
    <phoneticPr fontId="5" type="noConversion"/>
  </si>
  <si>
    <r>
      <rPr>
        <sz val="12"/>
        <rFont val="標楷體"/>
        <family val="4"/>
        <charset val="136"/>
      </rPr>
      <t>梅山鄉太和村</t>
    </r>
    <r>
      <rPr>
        <sz val="12"/>
        <rFont val="Times New Roman"/>
        <family val="1"/>
      </rPr>
      <t>(</t>
    </r>
    <r>
      <rPr>
        <sz val="12"/>
        <rFont val="標楷體"/>
        <family val="4"/>
        <charset val="136"/>
      </rPr>
      <t>振興宮</t>
    </r>
    <r>
      <rPr>
        <sz val="12"/>
        <rFont val="Times New Roman"/>
        <family val="1"/>
      </rPr>
      <t>)</t>
    </r>
    <phoneticPr fontId="5" type="noConversion"/>
  </si>
  <si>
    <r>
      <rPr>
        <sz val="12"/>
        <rFont val="標楷體"/>
        <family val="4"/>
        <charset val="136"/>
      </rPr>
      <t>振興宮後方坡地發生嚴重崩塌，造成鄰近道路、振興宮、民宅及擋土牆傾斜倒塌，並於崩塌區上方形成一小型堰塞湖</t>
    </r>
    <r>
      <rPr>
        <sz val="12"/>
        <rFont val="Times New Roman"/>
        <family val="1"/>
      </rPr>
      <t>(</t>
    </r>
    <r>
      <rPr>
        <sz val="12"/>
        <rFont val="標楷體"/>
        <family val="4"/>
        <charset val="136"/>
      </rPr>
      <t>現已排空</t>
    </r>
    <r>
      <rPr>
        <sz val="12"/>
        <rFont val="Times New Roman"/>
        <family val="1"/>
      </rPr>
      <t>)</t>
    </r>
    <r>
      <rPr>
        <sz val="12"/>
        <rFont val="標楷體"/>
        <family val="4"/>
        <charset val="136"/>
      </rPr>
      <t>。</t>
    </r>
    <phoneticPr fontId="5" type="noConversion"/>
  </si>
  <si>
    <r>
      <rPr>
        <sz val="12"/>
        <rFont val="標楷體"/>
        <family val="4"/>
        <charset val="136"/>
      </rPr>
      <t>崩塌、沖蝕</t>
    </r>
  </si>
  <si>
    <r>
      <rPr>
        <sz val="12"/>
        <rFont val="標楷體"/>
        <family val="4"/>
        <charset val="136"/>
      </rPr>
      <t>特富野度假山莊</t>
    </r>
    <r>
      <rPr>
        <sz val="12"/>
        <rFont val="Times New Roman"/>
        <family val="1"/>
      </rPr>
      <t>(</t>
    </r>
    <r>
      <rPr>
        <sz val="12"/>
        <rFont val="標楷體"/>
        <family val="4"/>
        <charset val="136"/>
      </rPr>
      <t>達邦段</t>
    </r>
    <r>
      <rPr>
        <sz val="12"/>
        <rFont val="Times New Roman"/>
        <family val="1"/>
      </rPr>
      <t xml:space="preserve"> 57 </t>
    </r>
    <r>
      <rPr>
        <sz val="12"/>
        <rFont val="標楷體"/>
        <family val="4"/>
        <charset val="136"/>
      </rPr>
      <t>號電線桿</t>
    </r>
    <r>
      <rPr>
        <sz val="12"/>
        <rFont val="Times New Roman"/>
        <family val="1"/>
      </rPr>
      <t>)</t>
    </r>
    <phoneticPr fontId="5" type="noConversion"/>
  </si>
  <si>
    <r>
      <rPr>
        <sz val="12"/>
        <rFont val="標楷體"/>
        <family val="4"/>
        <charset val="136"/>
      </rPr>
      <t>達邦村</t>
    </r>
    <phoneticPr fontId="5" type="noConversion"/>
  </si>
  <si>
    <r>
      <rPr>
        <sz val="12"/>
        <rFont val="標楷體"/>
        <family val="4"/>
        <charset val="136"/>
      </rPr>
      <t>嘉縣</t>
    </r>
    <r>
      <rPr>
        <sz val="12"/>
        <rFont val="Times New Roman"/>
        <family val="1"/>
      </rPr>
      <t>DF087</t>
    </r>
  </si>
  <si>
    <r>
      <rPr>
        <sz val="12"/>
        <rFont val="標楷體"/>
        <family val="4"/>
        <charset val="136"/>
      </rPr>
      <t>莫拉克颱風造成受災地點上方坡地原有沖蝕溝擴大範圍，蝕溝下方四戶民宅因蝕溝崩塌之土石造成損壞，並淤埋其下方聯通道路。</t>
    </r>
    <phoneticPr fontId="5" type="noConversion"/>
  </si>
  <si>
    <r>
      <rPr>
        <sz val="12"/>
        <rFont val="標楷體"/>
        <family val="4"/>
        <charset val="136"/>
      </rPr>
      <t>崩塌、洪水</t>
    </r>
  </si>
  <si>
    <r>
      <rPr>
        <sz val="12"/>
        <rFont val="標楷體"/>
        <family val="4"/>
        <charset val="136"/>
      </rPr>
      <t>三地門鄉大社村</t>
    </r>
    <r>
      <rPr>
        <sz val="12"/>
        <rFont val="Times New Roman"/>
        <family val="1"/>
      </rPr>
      <t xml:space="preserve"> (</t>
    </r>
    <r>
      <rPr>
        <sz val="12"/>
        <rFont val="標楷體"/>
        <family val="4"/>
        <charset val="136"/>
      </rPr>
      <t>約位於屏</t>
    </r>
    <r>
      <rPr>
        <sz val="12"/>
        <rFont val="Times New Roman"/>
        <family val="1"/>
      </rPr>
      <t xml:space="preserve">31 </t>
    </r>
    <r>
      <rPr>
        <sz val="12"/>
        <rFont val="標楷體"/>
        <family val="4"/>
        <charset val="136"/>
      </rPr>
      <t>線</t>
    </r>
    <r>
      <rPr>
        <sz val="12"/>
        <rFont val="Times New Roman"/>
        <family val="1"/>
      </rPr>
      <t xml:space="preserve">0k </t>
    </r>
    <r>
      <rPr>
        <sz val="12"/>
        <rFont val="標楷體"/>
        <family val="4"/>
        <charset val="136"/>
      </rPr>
      <t>處</t>
    </r>
    <r>
      <rPr>
        <sz val="12"/>
        <rFont val="Times New Roman"/>
        <family val="1"/>
      </rPr>
      <t>)</t>
    </r>
    <phoneticPr fontId="5" type="noConversion"/>
  </si>
  <si>
    <r>
      <rPr>
        <sz val="12"/>
        <rFont val="標楷體"/>
        <family val="4"/>
        <charset val="136"/>
      </rPr>
      <t>大社村</t>
    </r>
    <phoneticPr fontId="5" type="noConversion"/>
  </si>
  <si>
    <r>
      <rPr>
        <sz val="12"/>
        <rFont val="標楷體"/>
        <family val="4"/>
        <charset val="136"/>
      </rPr>
      <t>屏</t>
    </r>
    <r>
      <rPr>
        <sz val="12"/>
        <rFont val="Times New Roman"/>
        <family val="1"/>
      </rPr>
      <t xml:space="preserve">31 </t>
    </r>
    <r>
      <rPr>
        <sz val="12"/>
        <rFont val="標楷體"/>
        <family val="4"/>
        <charset val="136"/>
      </rPr>
      <t>線</t>
    </r>
    <r>
      <rPr>
        <sz val="12"/>
        <rFont val="Times New Roman"/>
        <family val="1"/>
      </rPr>
      <t xml:space="preserve">1k </t>
    </r>
    <r>
      <rPr>
        <sz val="12"/>
        <rFont val="標楷體"/>
        <family val="4"/>
        <charset val="136"/>
      </rPr>
      <t>處路段之道路坍塌。公墓旁２戶民宅之下邊坡發生崩塌。活動中心前蝕溝挾帶土砂沖毀民宅。大社橋受土石淤埋，定常橋遭沖毀。</t>
    </r>
    <phoneticPr fontId="5" type="noConversion"/>
  </si>
  <si>
    <r>
      <rPr>
        <sz val="12"/>
        <rFont val="標楷體"/>
        <family val="4"/>
        <charset val="136"/>
      </rPr>
      <t>甲仙鄉小林村</t>
    </r>
    <r>
      <rPr>
        <sz val="12"/>
        <rFont val="Times New Roman"/>
        <family val="1"/>
      </rPr>
      <t>(</t>
    </r>
    <r>
      <rPr>
        <sz val="12"/>
        <rFont val="標楷體"/>
        <family val="4"/>
        <charset val="136"/>
      </rPr>
      <t>小林國小</t>
    </r>
    <r>
      <rPr>
        <sz val="12"/>
        <rFont val="Times New Roman"/>
        <family val="1"/>
      </rPr>
      <t>)(</t>
    </r>
    <r>
      <rPr>
        <sz val="12"/>
        <rFont val="標楷體"/>
        <family val="4"/>
        <charset val="136"/>
      </rPr>
      <t>台</t>
    </r>
    <r>
      <rPr>
        <sz val="12"/>
        <rFont val="Times New Roman"/>
        <family val="1"/>
      </rPr>
      <t xml:space="preserve">21 </t>
    </r>
    <r>
      <rPr>
        <sz val="12"/>
        <rFont val="標楷體"/>
        <family val="4"/>
        <charset val="136"/>
      </rPr>
      <t>線</t>
    </r>
    <r>
      <rPr>
        <sz val="12"/>
        <rFont val="Times New Roman"/>
        <family val="1"/>
      </rPr>
      <t xml:space="preserve">224k </t>
    </r>
    <r>
      <rPr>
        <sz val="12"/>
        <rFont val="標楷體"/>
        <family val="4"/>
        <charset val="136"/>
      </rPr>
      <t>處</t>
    </r>
    <r>
      <rPr>
        <sz val="12"/>
        <rFont val="Times New Roman"/>
        <family val="1"/>
      </rPr>
      <t>)</t>
    </r>
    <phoneticPr fontId="5" type="noConversion"/>
  </si>
  <si>
    <r>
      <rPr>
        <sz val="12"/>
        <rFont val="標楷體"/>
        <family val="4"/>
        <charset val="136"/>
      </rPr>
      <t>小林里</t>
    </r>
  </si>
  <si>
    <r>
      <rPr>
        <sz val="12"/>
        <rFont val="標楷體"/>
        <family val="4"/>
        <charset val="136"/>
      </rPr>
      <t>高市</t>
    </r>
    <r>
      <rPr>
        <sz val="12"/>
        <rFont val="Times New Roman"/>
        <family val="1"/>
      </rPr>
      <t>DF009</t>
    </r>
    <phoneticPr fontId="5" type="noConversion"/>
  </si>
  <si>
    <r>
      <t xml:space="preserve">8 </t>
    </r>
    <r>
      <rPr>
        <sz val="12"/>
        <rFont val="標楷體"/>
        <family val="4"/>
        <charset val="136"/>
      </rPr>
      <t>月</t>
    </r>
    <r>
      <rPr>
        <sz val="12"/>
        <rFont val="Times New Roman"/>
        <family val="1"/>
      </rPr>
      <t xml:space="preserve">9 </t>
    </r>
    <r>
      <rPr>
        <sz val="12"/>
        <rFont val="標楷體"/>
        <family val="4"/>
        <charset val="136"/>
      </rPr>
      <t>日上午約</t>
    </r>
    <r>
      <rPr>
        <sz val="12"/>
        <rFont val="Times New Roman"/>
        <family val="1"/>
      </rPr>
      <t xml:space="preserve">6 </t>
    </r>
    <r>
      <rPr>
        <sz val="12"/>
        <rFont val="標楷體"/>
        <family val="4"/>
        <charset val="136"/>
      </rPr>
      <t>時小林國小後方之獻肚山邊坡，發生總面積約</t>
    </r>
    <r>
      <rPr>
        <sz val="12"/>
        <rFont val="Times New Roman"/>
        <family val="1"/>
      </rPr>
      <t xml:space="preserve">350 </t>
    </r>
    <r>
      <rPr>
        <sz val="12"/>
        <rFont val="標楷體"/>
        <family val="4"/>
        <charset val="136"/>
      </rPr>
      <t>公頃</t>
    </r>
    <r>
      <rPr>
        <sz val="12"/>
        <rFont val="Times New Roman"/>
        <family val="1"/>
      </rPr>
      <t>(</t>
    </r>
    <r>
      <rPr>
        <sz val="12"/>
        <rFont val="標楷體"/>
        <family val="4"/>
        <charset val="136"/>
      </rPr>
      <t>其中崩塌區約</t>
    </r>
    <r>
      <rPr>
        <sz val="12"/>
        <rFont val="Times New Roman"/>
        <family val="1"/>
      </rPr>
      <t xml:space="preserve">190 </t>
    </r>
    <r>
      <rPr>
        <sz val="12"/>
        <rFont val="標楷體"/>
        <family val="4"/>
        <charset val="136"/>
      </rPr>
      <t>公頃，堆積區約</t>
    </r>
    <r>
      <rPr>
        <sz val="12"/>
        <rFont val="Times New Roman"/>
        <family val="1"/>
      </rPr>
      <t xml:space="preserve">160 </t>
    </r>
    <r>
      <rPr>
        <sz val="12"/>
        <rFont val="標楷體"/>
        <family val="4"/>
        <charset val="136"/>
      </rPr>
      <t>公頃</t>
    </r>
    <r>
      <rPr>
        <sz val="12"/>
        <rFont val="Times New Roman"/>
        <family val="1"/>
      </rPr>
      <t>)</t>
    </r>
    <r>
      <rPr>
        <sz val="12"/>
        <rFont val="標楷體"/>
        <family val="4"/>
        <charset val="136"/>
      </rPr>
      <t>之大規模走山，崩塌土石先掩埋小林村北側聚落，連同旗山溪右岸邊坡之崩塌土石，堵塞旗山溪河道形成堰塞湖，隨即於當日上午發生潰決，潰壩洪水夾帶大量土石將小林村淹沒。</t>
    </r>
    <phoneticPr fontId="5" type="noConversion"/>
  </si>
  <si>
    <r>
      <rPr>
        <sz val="12"/>
        <rFont val="標楷體"/>
        <family val="4"/>
        <charset val="136"/>
      </rPr>
      <t>甲仙鄉東安村</t>
    </r>
    <r>
      <rPr>
        <sz val="12"/>
        <rFont val="Times New Roman"/>
        <family val="1"/>
      </rPr>
      <t xml:space="preserve"> (</t>
    </r>
    <r>
      <rPr>
        <sz val="12"/>
        <rFont val="標楷體"/>
        <family val="4"/>
        <charset val="136"/>
      </rPr>
      <t>三山國王廟</t>
    </r>
    <r>
      <rPr>
        <sz val="12"/>
        <rFont val="Times New Roman"/>
        <family val="1"/>
      </rPr>
      <t>)</t>
    </r>
    <phoneticPr fontId="5" type="noConversion"/>
  </si>
  <si>
    <r>
      <t xml:space="preserve">8 </t>
    </r>
    <r>
      <rPr>
        <sz val="12"/>
        <rFont val="標楷體"/>
        <family val="4"/>
        <charset val="136"/>
      </rPr>
      <t>月</t>
    </r>
    <r>
      <rPr>
        <sz val="12"/>
        <rFont val="Times New Roman"/>
        <family val="1"/>
      </rPr>
      <t xml:space="preserve">9 </t>
    </r>
    <r>
      <rPr>
        <sz val="12"/>
        <rFont val="標楷體"/>
        <family val="4"/>
        <charset val="136"/>
      </rPr>
      <t>日上午約</t>
    </r>
    <r>
      <rPr>
        <sz val="12"/>
        <rFont val="Times New Roman"/>
        <family val="1"/>
      </rPr>
      <t xml:space="preserve">5 </t>
    </r>
    <r>
      <rPr>
        <sz val="12"/>
        <rFont val="標楷體"/>
        <family val="4"/>
        <charset val="136"/>
      </rPr>
      <t>時鹽桑坑溪上游多處溪岸邊坡崩塌，加上莫拉克颱風帶來之豪雨，致山洪爆發，洪水夾帶大量土石沖刷而下，導致沿線農路及房舍毀損。</t>
    </r>
    <phoneticPr fontId="5" type="noConversion"/>
  </si>
  <si>
    <r>
      <rPr>
        <sz val="12"/>
        <rFont val="標楷體"/>
        <family val="4"/>
        <charset val="136"/>
      </rPr>
      <t>高市</t>
    </r>
    <r>
      <rPr>
        <sz val="12"/>
        <rFont val="Times New Roman"/>
        <family val="1"/>
      </rPr>
      <t>DF010</t>
    </r>
    <phoneticPr fontId="5" type="noConversion"/>
  </si>
  <si>
    <r>
      <rPr>
        <sz val="12"/>
        <rFont val="標楷體"/>
        <family val="4"/>
        <charset val="136"/>
      </rPr>
      <t>青山坪農場</t>
    </r>
  </si>
  <si>
    <r>
      <rPr>
        <sz val="12"/>
        <rFont val="標楷體"/>
        <family val="4"/>
        <charset val="136"/>
      </rPr>
      <t>雲縣</t>
    </r>
    <r>
      <rPr>
        <sz val="12"/>
        <rFont val="Times New Roman"/>
        <family val="1"/>
      </rPr>
      <t>DF012</t>
    </r>
  </si>
  <si>
    <r>
      <rPr>
        <sz val="12"/>
        <rFont val="標楷體"/>
        <family val="4"/>
        <charset val="136"/>
      </rPr>
      <t>青山坪農場上方坡地於莫拉克颱風時土石崩落，坑溝水流運移崩落土石至下游於坑溝渠道轉彎處淤積約</t>
    </r>
    <r>
      <rPr>
        <sz val="12"/>
        <rFont val="Times New Roman"/>
        <family val="1"/>
      </rPr>
      <t xml:space="preserve"> 180 </t>
    </r>
    <r>
      <rPr>
        <sz val="12"/>
        <rFont val="標楷體"/>
        <family val="4"/>
        <charset val="136"/>
      </rPr>
      <t>公尺，並造成洪水溢流衝毀一棟農舍，下方聯外道路遭淤積土砂阻斷約</t>
    </r>
    <r>
      <rPr>
        <sz val="12"/>
        <rFont val="Times New Roman"/>
        <family val="1"/>
      </rPr>
      <t xml:space="preserve"> 30</t>
    </r>
    <r>
      <rPr>
        <sz val="12"/>
        <rFont val="標楷體"/>
        <family val="4"/>
        <charset val="136"/>
      </rPr>
      <t>公尺，上方崩塌面積估計約達</t>
    </r>
    <r>
      <rPr>
        <sz val="12"/>
        <rFont val="Times New Roman"/>
        <family val="1"/>
      </rPr>
      <t xml:space="preserve"> 1.5 </t>
    </r>
    <r>
      <rPr>
        <sz val="12"/>
        <rFont val="標楷體"/>
        <family val="4"/>
        <charset val="136"/>
      </rPr>
      <t>公頃。</t>
    </r>
    <phoneticPr fontId="5" type="noConversion"/>
  </si>
  <si>
    <r>
      <rPr>
        <sz val="12"/>
        <rFont val="標楷體"/>
        <family val="4"/>
        <charset val="136"/>
      </rPr>
      <t>曾文三號橋旁野溪</t>
    </r>
    <r>
      <rPr>
        <sz val="12"/>
        <rFont val="Times New Roman"/>
        <family val="1"/>
      </rPr>
      <t>(</t>
    </r>
    <r>
      <rPr>
        <sz val="12"/>
        <rFont val="標楷體"/>
        <family val="4"/>
        <charset val="136"/>
      </rPr>
      <t>南勢村</t>
    </r>
    <r>
      <rPr>
        <sz val="12"/>
        <rFont val="Times New Roman"/>
        <family val="1"/>
      </rPr>
      <t xml:space="preserve"> 41-27</t>
    </r>
    <r>
      <rPr>
        <sz val="12"/>
        <rFont val="標楷體"/>
        <family val="4"/>
        <charset val="136"/>
      </rPr>
      <t>號民宅</t>
    </r>
    <r>
      <rPr>
        <sz val="12"/>
        <rFont val="Times New Roman"/>
        <family val="1"/>
      </rPr>
      <t>)</t>
    </r>
    <phoneticPr fontId="5" type="noConversion"/>
  </si>
  <si>
    <r>
      <rPr>
        <sz val="12"/>
        <rFont val="標楷體"/>
        <family val="4"/>
        <charset val="136"/>
      </rPr>
      <t>東山區</t>
    </r>
    <phoneticPr fontId="5" type="noConversion"/>
  </si>
  <si>
    <r>
      <rPr>
        <sz val="12"/>
        <rFont val="標楷體"/>
        <family val="4"/>
        <charset val="136"/>
      </rPr>
      <t>莫拉克颱風帶來曾文水庫週邊山區豐沛雨量，其中曾文三號橋旁曾文溪支流野溪上游爆發土砂災害，多數土石遭梳子壩攔截於上游，造成部分果園受到土石淤埋，部分土砂穿過梳子壩淤積於</t>
    </r>
    <r>
      <rPr>
        <sz val="12"/>
        <rFont val="Times New Roman"/>
        <family val="1"/>
      </rPr>
      <t xml:space="preserve"> 41-27</t>
    </r>
    <r>
      <rPr>
        <sz val="12"/>
        <rFont val="標楷體"/>
        <family val="4"/>
        <charset val="136"/>
      </rPr>
      <t>號民宅旁河道。</t>
    </r>
    <r>
      <rPr>
        <sz val="12"/>
        <rFont val="Times New Roman"/>
        <family val="1"/>
      </rPr>
      <t xml:space="preserve"> </t>
    </r>
    <r>
      <rPr>
        <sz val="12"/>
        <rFont val="標楷體"/>
        <family val="4"/>
        <charset val="136"/>
      </rPr>
      <t>土石堵塞：野溪上無名橋之橋孔堵塞。</t>
    </r>
    <r>
      <rPr>
        <sz val="12"/>
        <rFont val="Times New Roman"/>
        <family val="1"/>
      </rPr>
      <t xml:space="preserve"> </t>
    </r>
    <r>
      <rPr>
        <sz val="12"/>
        <rFont val="標楷體"/>
        <family val="4"/>
        <charset val="136"/>
      </rPr>
      <t>土石淤埋：河道上游因梳子壩攔土石造成上游果園處淤埋，南北長約</t>
    </r>
    <r>
      <rPr>
        <sz val="12"/>
        <rFont val="Times New Roman"/>
        <family val="1"/>
      </rPr>
      <t xml:space="preserve"> 50</t>
    </r>
    <r>
      <rPr>
        <sz val="12"/>
        <rFont val="標楷體"/>
        <family val="4"/>
        <charset val="136"/>
      </rPr>
      <t>公尺，東西長約</t>
    </r>
    <r>
      <rPr>
        <sz val="12"/>
        <rFont val="Times New Roman"/>
        <family val="1"/>
      </rPr>
      <t>25</t>
    </r>
    <r>
      <rPr>
        <sz val="12"/>
        <rFont val="標楷體"/>
        <family val="4"/>
        <charset val="136"/>
      </rPr>
      <t>公尺，梳子壩下游處泥沙淤埋達</t>
    </r>
    <r>
      <rPr>
        <sz val="12"/>
        <rFont val="Times New Roman"/>
        <family val="1"/>
      </rPr>
      <t xml:space="preserve"> 6</t>
    </r>
    <r>
      <rPr>
        <sz val="12"/>
        <rFont val="標楷體"/>
        <family val="4"/>
        <charset val="136"/>
      </rPr>
      <t xml:space="preserve">公尺高。
</t>
    </r>
    <phoneticPr fontId="5" type="noConversion"/>
  </si>
  <si>
    <t>C0O810</t>
  </si>
  <si>
    <r>
      <rPr>
        <sz val="12"/>
        <rFont val="標楷體"/>
        <family val="4"/>
        <charset val="136"/>
      </rPr>
      <t>曾文</t>
    </r>
    <phoneticPr fontId="5" type="noConversion"/>
  </si>
  <si>
    <r>
      <rPr>
        <sz val="12"/>
        <rFont val="標楷體"/>
        <family val="4"/>
        <charset val="136"/>
      </rPr>
      <t>東山鄉南勢村</t>
    </r>
    <r>
      <rPr>
        <sz val="12"/>
        <rFont val="Times New Roman"/>
        <family val="1"/>
      </rPr>
      <t>(20</t>
    </r>
    <r>
      <rPr>
        <sz val="12"/>
        <rFont val="標楷體"/>
        <family val="4"/>
        <charset val="136"/>
      </rPr>
      <t>鄰</t>
    </r>
    <r>
      <rPr>
        <sz val="12"/>
        <rFont val="Times New Roman"/>
        <family val="1"/>
      </rPr>
      <t xml:space="preserve"> 41-16</t>
    </r>
    <r>
      <rPr>
        <sz val="12"/>
        <rFont val="標楷體"/>
        <family val="4"/>
        <charset val="136"/>
      </rPr>
      <t>、</t>
    </r>
    <r>
      <rPr>
        <sz val="12"/>
        <rFont val="Times New Roman"/>
        <family val="1"/>
      </rPr>
      <t>17</t>
    </r>
    <r>
      <rPr>
        <sz val="12"/>
        <rFont val="標楷體"/>
        <family val="4"/>
        <charset val="136"/>
      </rPr>
      <t>號</t>
    </r>
    <r>
      <rPr>
        <sz val="12"/>
        <rFont val="Times New Roman"/>
        <family val="1"/>
      </rPr>
      <t>)</t>
    </r>
  </si>
  <si>
    <r>
      <rPr>
        <sz val="12"/>
        <rFont val="標楷體"/>
        <family val="4"/>
        <charset val="136"/>
      </rPr>
      <t>南勢村</t>
    </r>
    <r>
      <rPr>
        <sz val="12"/>
        <rFont val="Times New Roman"/>
        <family val="1"/>
      </rPr>
      <t xml:space="preserve"> 20</t>
    </r>
    <r>
      <rPr>
        <sz val="12"/>
        <rFont val="標楷體"/>
        <family val="4"/>
        <charset val="136"/>
      </rPr>
      <t>鄰</t>
    </r>
    <r>
      <rPr>
        <sz val="12"/>
        <rFont val="Times New Roman"/>
        <family val="1"/>
      </rPr>
      <t xml:space="preserve"> 41 -16</t>
    </r>
    <r>
      <rPr>
        <sz val="12"/>
        <rFont val="標楷體"/>
        <family val="4"/>
        <charset val="136"/>
      </rPr>
      <t>號民宅後方坡地於莫拉克颱風後發現有坍塌現象，土石堆積於民宅後方牆腳與工具倉庫，崩塌面長約</t>
    </r>
    <r>
      <rPr>
        <sz val="12"/>
        <rFont val="Times New Roman"/>
        <family val="1"/>
      </rPr>
      <t xml:space="preserve"> 4</t>
    </r>
    <r>
      <rPr>
        <sz val="12"/>
        <rFont val="標楷體"/>
        <family val="4"/>
        <charset val="136"/>
      </rPr>
      <t>公尺，寬約</t>
    </r>
    <r>
      <rPr>
        <sz val="12"/>
        <rFont val="Times New Roman"/>
        <family val="1"/>
      </rPr>
      <t xml:space="preserve"> 12</t>
    </r>
    <r>
      <rPr>
        <sz val="12"/>
        <rFont val="標楷體"/>
        <family val="4"/>
        <charset val="136"/>
      </rPr>
      <t>公尺。南勢村</t>
    </r>
    <r>
      <rPr>
        <sz val="12"/>
        <rFont val="Times New Roman"/>
        <family val="1"/>
      </rPr>
      <t>41-17</t>
    </r>
    <r>
      <rPr>
        <sz val="12"/>
        <rFont val="標楷體"/>
        <family val="4"/>
        <charset val="136"/>
      </rPr>
      <t>號民宅亦於颱風後發現後方坡地攤落，估計崩塌面長約</t>
    </r>
    <r>
      <rPr>
        <sz val="12"/>
        <rFont val="Times New Roman"/>
        <family val="1"/>
      </rPr>
      <t xml:space="preserve"> 6 </t>
    </r>
    <r>
      <rPr>
        <sz val="12"/>
        <rFont val="標楷體"/>
        <family val="4"/>
        <charset val="136"/>
      </rPr>
      <t>公尺，寬約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土石淤埋：</t>
    </r>
    <r>
      <rPr>
        <sz val="12"/>
        <rFont val="Times New Roman"/>
        <family val="1"/>
      </rPr>
      <t>41 -16</t>
    </r>
    <r>
      <rPr>
        <sz val="12"/>
        <rFont val="標楷體"/>
        <family val="4"/>
        <charset val="136"/>
      </rPr>
      <t>、</t>
    </r>
    <r>
      <rPr>
        <sz val="12"/>
        <rFont val="Times New Roman"/>
        <family val="1"/>
      </rPr>
      <t>17</t>
    </r>
    <r>
      <rPr>
        <sz val="12"/>
        <rFont val="標楷體"/>
        <family val="4"/>
        <charset val="136"/>
      </rPr>
      <t>號民宅後方遭崩落土石堆積。</t>
    </r>
    <r>
      <rPr>
        <sz val="12"/>
        <rFont val="Times New Roman"/>
        <family val="1"/>
      </rPr>
      <t xml:space="preserve"> 
</t>
    </r>
    <phoneticPr fontId="5" type="noConversion"/>
  </si>
  <si>
    <t>C0O810</t>
    <phoneticPr fontId="5" type="noConversion"/>
  </si>
  <si>
    <r>
      <rPr>
        <sz val="12"/>
        <rFont val="標楷體"/>
        <family val="4"/>
        <charset val="136"/>
      </rPr>
      <t>南勢村</t>
    </r>
    <r>
      <rPr>
        <sz val="12"/>
        <rFont val="Times New Roman"/>
        <family val="1"/>
      </rPr>
      <t xml:space="preserve"> 20</t>
    </r>
    <r>
      <rPr>
        <sz val="12"/>
        <rFont val="標楷體"/>
        <family val="4"/>
        <charset val="136"/>
      </rPr>
      <t>鄰</t>
    </r>
    <r>
      <rPr>
        <sz val="12"/>
        <rFont val="Times New Roman"/>
        <family val="1"/>
      </rPr>
      <t xml:space="preserve"> 41-18</t>
    </r>
    <r>
      <rPr>
        <sz val="12"/>
        <rFont val="標楷體"/>
        <family val="4"/>
        <charset val="136"/>
      </rPr>
      <t>、</t>
    </r>
    <r>
      <rPr>
        <sz val="12"/>
        <rFont val="Times New Roman"/>
        <family val="1"/>
      </rPr>
      <t>19</t>
    </r>
    <r>
      <rPr>
        <sz val="12"/>
        <rFont val="標楷體"/>
        <family val="4"/>
        <charset val="136"/>
      </rPr>
      <t>號</t>
    </r>
    <r>
      <rPr>
        <sz val="12"/>
        <rFont val="Times New Roman"/>
        <family val="1"/>
      </rPr>
      <t>(</t>
    </r>
    <r>
      <rPr>
        <sz val="12"/>
        <rFont val="標楷體"/>
        <family val="4"/>
        <charset val="136"/>
      </rPr>
      <t>五叉溝往東山段</t>
    </r>
    <r>
      <rPr>
        <sz val="12"/>
        <rFont val="Times New Roman"/>
        <family val="1"/>
      </rPr>
      <t>24</t>
    </r>
    <r>
      <rPr>
        <sz val="12"/>
        <rFont val="標楷體"/>
        <family val="4"/>
        <charset val="136"/>
      </rPr>
      <t>號電線桿處</t>
    </r>
    <r>
      <rPr>
        <sz val="12"/>
        <rFont val="Times New Roman"/>
        <family val="1"/>
      </rPr>
      <t>)</t>
    </r>
    <phoneticPr fontId="5" type="noConversion"/>
  </si>
  <si>
    <r>
      <rPr>
        <sz val="12"/>
        <rFont val="標楷體"/>
        <family val="4"/>
        <charset val="136"/>
      </rPr>
      <t>南市</t>
    </r>
    <r>
      <rPr>
        <sz val="12"/>
        <rFont val="Times New Roman"/>
        <family val="1"/>
      </rPr>
      <t>DF025</t>
    </r>
  </si>
  <si>
    <r>
      <rPr>
        <sz val="12"/>
        <rFont val="標楷體"/>
        <family val="4"/>
        <charset val="136"/>
      </rPr>
      <t>因莫拉克帶來豪大雨使南縣</t>
    </r>
    <r>
      <rPr>
        <sz val="12"/>
        <rFont val="Times New Roman"/>
        <family val="1"/>
      </rPr>
      <t xml:space="preserve"> DF025 </t>
    </r>
    <r>
      <rPr>
        <sz val="12"/>
        <rFont val="標楷體"/>
        <family val="4"/>
        <charset val="136"/>
      </rPr>
      <t>溪水暴漲，造成右岸兩戶民宅淹水，原民宅前方農作物約</t>
    </r>
    <r>
      <rPr>
        <sz val="12"/>
        <rFont val="Times New Roman"/>
        <family val="1"/>
      </rPr>
      <t xml:space="preserve"> 0.7 </t>
    </r>
    <r>
      <rPr>
        <sz val="12"/>
        <rFont val="標楷體"/>
        <family val="4"/>
        <charset val="136"/>
      </rPr>
      <t>公頃淹沒，並沖毀兩側護岸工程，沖斷觀音第十號橋。</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農林用地：約</t>
    </r>
    <r>
      <rPr>
        <sz val="12"/>
        <rFont val="Times New Roman"/>
        <family val="1"/>
      </rPr>
      <t xml:space="preserve"> 0.7</t>
    </r>
    <r>
      <rPr>
        <sz val="12"/>
        <rFont val="標楷體"/>
        <family val="4"/>
        <charset val="136"/>
      </rPr>
      <t>公頃的農田流失。</t>
    </r>
    <r>
      <rPr>
        <sz val="12"/>
        <rFont val="Times New Roman"/>
        <family val="1"/>
      </rPr>
      <t xml:space="preserve"> </t>
    </r>
    <r>
      <rPr>
        <sz val="12"/>
        <rFont val="標楷體"/>
        <family val="4"/>
        <charset val="136"/>
      </rPr>
      <t>道路毀損：共約</t>
    </r>
    <r>
      <rPr>
        <sz val="12"/>
        <rFont val="Times New Roman"/>
        <family val="1"/>
      </rPr>
      <t xml:space="preserve"> 100</t>
    </r>
    <r>
      <rPr>
        <sz val="12"/>
        <rFont val="標楷體"/>
        <family val="4"/>
        <charset val="136"/>
      </rPr>
      <t>公尺。</t>
    </r>
    <r>
      <rPr>
        <sz val="12"/>
        <rFont val="Times New Roman"/>
        <family val="1"/>
      </rPr>
      <t xml:space="preserve"> 
</t>
    </r>
    <phoneticPr fontId="5" type="noConversion"/>
  </si>
  <si>
    <r>
      <rPr>
        <sz val="12"/>
        <rFont val="標楷體"/>
        <family val="4"/>
        <charset val="136"/>
      </rPr>
      <t>甲仙鄉小林村北勢巷</t>
    </r>
    <r>
      <rPr>
        <sz val="12"/>
        <rFont val="Times New Roman"/>
        <family val="1"/>
      </rPr>
      <t xml:space="preserve"> 1</t>
    </r>
    <r>
      <rPr>
        <sz val="12"/>
        <rFont val="標楷體"/>
        <family val="4"/>
        <charset val="136"/>
      </rPr>
      <t>號</t>
    </r>
    <r>
      <rPr>
        <sz val="12"/>
        <rFont val="Times New Roman"/>
        <family val="1"/>
      </rPr>
      <t>(</t>
    </r>
    <r>
      <rPr>
        <sz val="12"/>
        <rFont val="標楷體"/>
        <family val="4"/>
        <charset val="136"/>
      </rPr>
      <t>大北勢溪與旗山溪匯流處</t>
    </r>
    <r>
      <rPr>
        <sz val="12"/>
        <rFont val="Times New Roman"/>
        <family val="1"/>
      </rPr>
      <t>)</t>
    </r>
    <phoneticPr fontId="5" type="noConversion"/>
  </si>
  <si>
    <r>
      <rPr>
        <sz val="12"/>
        <rFont val="標楷體"/>
        <family val="4"/>
        <charset val="136"/>
      </rPr>
      <t>高雄市</t>
    </r>
    <phoneticPr fontId="5" type="noConversion"/>
  </si>
  <si>
    <r>
      <rPr>
        <sz val="12"/>
        <rFont val="標楷體"/>
        <family val="4"/>
        <charset val="136"/>
      </rPr>
      <t>甲仙區</t>
    </r>
    <phoneticPr fontId="5" type="noConversion"/>
  </si>
  <si>
    <r>
      <rPr>
        <sz val="12"/>
        <rFont val="標楷體"/>
        <family val="4"/>
        <charset val="136"/>
      </rPr>
      <t>高雄縣甲仙鄉大北勢溪於莫拉克颱風期間發生洪水災害，沖毀橋梁一座並損壞北勢巷及週邊聯外道路。道路毀損：約</t>
    </r>
    <r>
      <rPr>
        <sz val="12"/>
        <rFont val="Times New Roman"/>
        <family val="1"/>
      </rPr>
      <t xml:space="preserve"> 800</t>
    </r>
    <r>
      <rPr>
        <sz val="12"/>
        <rFont val="標楷體"/>
        <family val="4"/>
        <charset val="136"/>
      </rPr>
      <t>公尺。橋梁：</t>
    </r>
    <r>
      <rPr>
        <sz val="12"/>
        <rFont val="Times New Roman"/>
        <family val="1"/>
      </rPr>
      <t>1</t>
    </r>
    <r>
      <rPr>
        <sz val="12"/>
        <rFont val="標楷體"/>
        <family val="4"/>
        <charset val="136"/>
      </rPr>
      <t>座。</t>
    </r>
    <phoneticPr fontId="5" type="noConversion"/>
  </si>
  <si>
    <r>
      <rPr>
        <sz val="12"/>
        <rFont val="標楷體"/>
        <family val="4"/>
        <charset val="136"/>
      </rPr>
      <t>甲仙鄉關山村關西巷</t>
    </r>
    <r>
      <rPr>
        <sz val="12"/>
        <rFont val="Times New Roman"/>
        <family val="1"/>
      </rPr>
      <t>(10-11</t>
    </r>
    <r>
      <rPr>
        <sz val="12"/>
        <rFont val="標楷體"/>
        <family val="4"/>
        <charset val="136"/>
      </rPr>
      <t>鄰</t>
    </r>
    <r>
      <rPr>
        <sz val="12"/>
        <rFont val="Times New Roman"/>
        <family val="1"/>
      </rPr>
      <t>)</t>
    </r>
    <phoneticPr fontId="5" type="noConversion"/>
  </si>
  <si>
    <r>
      <rPr>
        <sz val="12"/>
        <rFont val="標楷體"/>
        <family val="4"/>
        <charset val="136"/>
      </rPr>
      <t>高雄縣甲仙鄉旗山溪於莫拉克颱風期間溪水暴漲，洪水於</t>
    </r>
    <r>
      <rPr>
        <sz val="12"/>
        <rFont val="Times New Roman"/>
        <family val="1"/>
      </rPr>
      <t xml:space="preserve"> 8</t>
    </r>
    <r>
      <rPr>
        <sz val="12"/>
        <rFont val="標楷體"/>
        <family val="4"/>
        <charset val="136"/>
      </rPr>
      <t>月</t>
    </r>
    <r>
      <rPr>
        <sz val="12"/>
        <rFont val="Times New Roman"/>
        <family val="1"/>
      </rPr>
      <t xml:space="preserve"> 8</t>
    </r>
    <r>
      <rPr>
        <sz val="12"/>
        <rFont val="標楷體"/>
        <family val="4"/>
        <charset val="136"/>
      </rPr>
      <t>日</t>
    </r>
    <r>
      <rPr>
        <sz val="12"/>
        <rFont val="Times New Roman"/>
        <family val="1"/>
      </rPr>
      <t xml:space="preserve"> 6</t>
    </r>
    <r>
      <rPr>
        <sz val="12"/>
        <rFont val="標楷體"/>
        <family val="4"/>
        <charset val="136"/>
      </rPr>
      <t>時及</t>
    </r>
    <r>
      <rPr>
        <sz val="12"/>
        <rFont val="Times New Roman"/>
        <family val="1"/>
      </rPr>
      <t xml:space="preserve"> 9</t>
    </r>
    <r>
      <rPr>
        <sz val="12"/>
        <rFont val="標楷體"/>
        <family val="4"/>
        <charset val="136"/>
      </rPr>
      <t>日</t>
    </r>
    <r>
      <rPr>
        <sz val="12"/>
        <rFont val="Times New Roman"/>
        <family val="1"/>
      </rPr>
      <t xml:space="preserve"> 10</t>
    </r>
    <r>
      <rPr>
        <sz val="12"/>
        <rFont val="標楷體"/>
        <family val="4"/>
        <charset val="136"/>
      </rPr>
      <t>時二次溢堤，沖毀並掩埋溪畔關西巷、護岸及多戶民宅，且造成下游旗山鎮嚴重淹水。房屋受損：</t>
    </r>
    <r>
      <rPr>
        <sz val="12"/>
        <rFont val="Times New Roman"/>
        <family val="1"/>
      </rPr>
      <t>3</t>
    </r>
    <r>
      <rPr>
        <sz val="12"/>
        <rFont val="標楷體"/>
        <family val="4"/>
        <charset val="136"/>
      </rPr>
      <t>戶。道路毀損：約</t>
    </r>
    <r>
      <rPr>
        <sz val="12"/>
        <rFont val="Times New Roman"/>
        <family val="1"/>
      </rPr>
      <t xml:space="preserve"> 1,100</t>
    </r>
    <r>
      <rPr>
        <sz val="12"/>
        <rFont val="標楷體"/>
        <family val="4"/>
        <charset val="136"/>
      </rPr>
      <t>公尺。果園流失：約</t>
    </r>
    <r>
      <rPr>
        <sz val="12"/>
        <rFont val="Times New Roman"/>
        <family val="1"/>
      </rPr>
      <t>2</t>
    </r>
    <r>
      <rPr>
        <sz val="12"/>
        <rFont val="標楷體"/>
        <family val="4"/>
        <charset val="136"/>
      </rPr>
      <t>公頃。</t>
    </r>
    <phoneticPr fontId="5" type="noConversion"/>
  </si>
  <si>
    <r>
      <rPr>
        <sz val="12"/>
        <rFont val="標楷體"/>
        <family val="4"/>
        <charset val="136"/>
      </rPr>
      <t>錦地巷</t>
    </r>
    <r>
      <rPr>
        <sz val="12"/>
        <rFont val="Times New Roman"/>
        <family val="1"/>
      </rPr>
      <t xml:space="preserve"> 1</t>
    </r>
    <r>
      <rPr>
        <sz val="12"/>
        <rFont val="標楷體"/>
        <family val="4"/>
        <charset val="136"/>
      </rPr>
      <t>鄰</t>
    </r>
    <r>
      <rPr>
        <sz val="12"/>
        <rFont val="Times New Roman"/>
        <family val="1"/>
      </rPr>
      <t xml:space="preserve"> 3</t>
    </r>
    <r>
      <rPr>
        <sz val="12"/>
        <rFont val="標楷體"/>
        <family val="4"/>
        <charset val="136"/>
      </rPr>
      <t>號民宅</t>
    </r>
    <r>
      <rPr>
        <sz val="12"/>
        <rFont val="Times New Roman"/>
        <family val="1"/>
      </rPr>
      <t>(</t>
    </r>
    <r>
      <rPr>
        <sz val="12"/>
        <rFont val="標楷體"/>
        <family val="4"/>
        <charset val="136"/>
      </rPr>
      <t>台</t>
    </r>
    <r>
      <rPr>
        <sz val="12"/>
        <rFont val="Times New Roman"/>
        <family val="1"/>
      </rPr>
      <t>21 229.5k</t>
    </r>
    <r>
      <rPr>
        <sz val="12"/>
        <rFont val="標楷體"/>
        <family val="4"/>
        <charset val="136"/>
      </rPr>
      <t>處右轉約</t>
    </r>
    <r>
      <rPr>
        <sz val="12"/>
        <rFont val="Times New Roman"/>
        <family val="1"/>
      </rPr>
      <t>250m</t>
    </r>
    <r>
      <rPr>
        <sz val="12"/>
        <rFont val="標楷體"/>
        <family val="4"/>
        <charset val="136"/>
      </rPr>
      <t>處</t>
    </r>
    <r>
      <rPr>
        <sz val="12"/>
        <rFont val="Times New Roman"/>
        <family val="1"/>
      </rPr>
      <t>)</t>
    </r>
    <phoneticPr fontId="5" type="noConversion"/>
  </si>
  <si>
    <r>
      <rPr>
        <sz val="12"/>
        <rFont val="標楷體"/>
        <family val="4"/>
        <charset val="136"/>
      </rPr>
      <t>莫拉克颱風侵襲期間，甲仙鄉五子寮山區降下超大豪雨，因缺乏坡地排水設施，導致五子寮林道約</t>
    </r>
    <r>
      <rPr>
        <sz val="12"/>
        <rFont val="Times New Roman"/>
        <family val="1"/>
      </rPr>
      <t>0k+250</t>
    </r>
    <r>
      <rPr>
        <sz val="12"/>
        <rFont val="標楷體"/>
        <family val="4"/>
        <charset val="136"/>
      </rPr>
      <t>處下邊坡崩塌，造成路基流失，洪水挾帶崩落土砂入侵錦地巷</t>
    </r>
    <r>
      <rPr>
        <sz val="12"/>
        <rFont val="Times New Roman"/>
        <family val="1"/>
      </rPr>
      <t xml:space="preserve"> 3</t>
    </r>
    <r>
      <rPr>
        <sz val="12"/>
        <rFont val="標楷體"/>
        <family val="4"/>
        <charset val="136"/>
      </rPr>
      <t>號民宅，造成部分房舍遭土石掩埋損壞。</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道路受損：五子寮林道損壞約</t>
    </r>
    <r>
      <rPr>
        <sz val="12"/>
        <rFont val="Times New Roman"/>
        <family val="1"/>
      </rPr>
      <t>50</t>
    </r>
    <r>
      <rPr>
        <sz val="12"/>
        <rFont val="標楷體"/>
        <family val="4"/>
        <charset val="136"/>
      </rPr>
      <t>公尺。</t>
    </r>
    <r>
      <rPr>
        <sz val="12"/>
        <rFont val="Times New Roman"/>
        <family val="1"/>
      </rPr>
      <t xml:space="preserve"> </t>
    </r>
    <r>
      <rPr>
        <sz val="12"/>
        <rFont val="標楷體"/>
        <family val="4"/>
        <charset val="136"/>
      </rPr>
      <t>人員傷亡：無。</t>
    </r>
    <phoneticPr fontId="5" type="noConversion"/>
  </si>
  <si>
    <r>
      <rPr>
        <sz val="12"/>
        <rFont val="標楷體"/>
        <family val="4"/>
        <charset val="136"/>
      </rPr>
      <t>第六號橋</t>
    </r>
    <r>
      <rPr>
        <sz val="12"/>
        <rFont val="Times New Roman"/>
        <family val="1"/>
      </rPr>
      <t xml:space="preserve"> (</t>
    </r>
    <r>
      <rPr>
        <sz val="12"/>
        <rFont val="標楷體"/>
        <family val="4"/>
        <charset val="136"/>
      </rPr>
      <t>台</t>
    </r>
    <r>
      <rPr>
        <sz val="12"/>
        <rFont val="Times New Roman"/>
        <family val="1"/>
      </rPr>
      <t>21</t>
    </r>
    <r>
      <rPr>
        <sz val="12"/>
        <rFont val="標楷體"/>
        <family val="4"/>
        <charset val="136"/>
      </rPr>
      <t>線約</t>
    </r>
    <r>
      <rPr>
        <sz val="12"/>
        <rFont val="Times New Roman"/>
        <family val="1"/>
      </rPr>
      <t xml:space="preserve"> 174K </t>
    </r>
    <r>
      <rPr>
        <sz val="12"/>
        <rFont val="標楷體"/>
        <family val="4"/>
        <charset val="136"/>
      </rPr>
      <t>處</t>
    </r>
    <r>
      <rPr>
        <sz val="12"/>
        <rFont val="Times New Roman"/>
        <family val="1"/>
      </rPr>
      <t>)</t>
    </r>
    <phoneticPr fontId="5" type="noConversion"/>
  </si>
  <si>
    <r>
      <rPr>
        <sz val="12"/>
        <rFont val="標楷體"/>
        <family val="4"/>
        <charset val="136"/>
      </rPr>
      <t>錦地巷</t>
    </r>
    <r>
      <rPr>
        <sz val="12"/>
        <rFont val="Times New Roman"/>
        <family val="1"/>
      </rPr>
      <t xml:space="preserve"> 1</t>
    </r>
    <r>
      <rPr>
        <sz val="12"/>
        <rFont val="標楷體"/>
        <family val="4"/>
        <charset val="136"/>
      </rPr>
      <t>鄰發生崩塌、洪水災害，崩塌土石毀損農舍及五子寮林道，中斷通往</t>
    </r>
    <r>
      <rPr>
        <sz val="12"/>
        <rFont val="Times New Roman"/>
        <family val="1"/>
      </rPr>
      <t xml:space="preserve"> 2</t>
    </r>
    <r>
      <rPr>
        <sz val="12"/>
        <rFont val="標楷體"/>
        <family val="4"/>
        <charset val="136"/>
      </rPr>
      <t>鄰之道路。五子寮山區山洪爆發造成民宅淹水。房屋受損：</t>
    </r>
    <r>
      <rPr>
        <sz val="12"/>
        <rFont val="Times New Roman"/>
        <family val="1"/>
      </rPr>
      <t>3</t>
    </r>
    <r>
      <rPr>
        <sz val="12"/>
        <rFont val="標楷體"/>
        <family val="4"/>
        <charset val="136"/>
      </rPr>
      <t>戶。道路毀損：約</t>
    </r>
    <r>
      <rPr>
        <sz val="12"/>
        <rFont val="Times New Roman"/>
        <family val="1"/>
      </rPr>
      <t xml:space="preserve"> 250</t>
    </r>
    <r>
      <rPr>
        <sz val="12"/>
        <rFont val="標楷體"/>
        <family val="4"/>
        <charset val="136"/>
      </rPr>
      <t>公尺。</t>
    </r>
    <r>
      <rPr>
        <sz val="12"/>
        <rFont val="Times New Roman"/>
        <family val="1"/>
      </rPr>
      <t xml:space="preserve"> </t>
    </r>
    <phoneticPr fontId="5" type="noConversion"/>
  </si>
  <si>
    <t>C0V250</t>
    <phoneticPr fontId="5" type="noConversion"/>
  </si>
  <si>
    <r>
      <rPr>
        <sz val="12"/>
        <rFont val="標楷體"/>
        <family val="4"/>
        <charset val="136"/>
      </rPr>
      <t>六龜鄉興龍村</t>
    </r>
    <r>
      <rPr>
        <sz val="12"/>
        <rFont val="Times New Roman"/>
        <family val="1"/>
      </rPr>
      <t>(</t>
    </r>
    <r>
      <rPr>
        <sz val="12"/>
        <rFont val="標楷體"/>
        <family val="4"/>
        <charset val="136"/>
      </rPr>
      <t>圳頭埔部落</t>
    </r>
    <r>
      <rPr>
        <sz val="12"/>
        <rFont val="Times New Roman"/>
        <family val="1"/>
      </rPr>
      <t xml:space="preserve">)
</t>
    </r>
    <phoneticPr fontId="5" type="noConversion"/>
  </si>
  <si>
    <r>
      <rPr>
        <sz val="12"/>
        <rFont val="標楷體"/>
        <family val="4"/>
        <charset val="136"/>
      </rPr>
      <t>六龜區</t>
    </r>
    <phoneticPr fontId="5" type="noConversion"/>
  </si>
  <si>
    <r>
      <rPr>
        <sz val="12"/>
        <rFont val="標楷體"/>
        <family val="4"/>
        <charset val="136"/>
      </rPr>
      <t>興龍里</t>
    </r>
    <phoneticPr fontId="5" type="noConversion"/>
  </si>
  <si>
    <r>
      <rPr>
        <sz val="12"/>
        <rFont val="標楷體"/>
        <family val="4"/>
        <charset val="136"/>
      </rPr>
      <t>莫拉克颱風挾帶超大豪雨，致使圳頭埔部分地區山坡發生崩塌與沖蝕溝，發生時間約在</t>
    </r>
    <r>
      <rPr>
        <sz val="12"/>
        <rFont val="Times New Roman"/>
        <family val="1"/>
      </rPr>
      <t xml:space="preserve">98 </t>
    </r>
    <r>
      <rPr>
        <sz val="12"/>
        <rFont val="標楷體"/>
        <family val="4"/>
        <charset val="136"/>
      </rPr>
      <t>年</t>
    </r>
    <r>
      <rPr>
        <sz val="12"/>
        <rFont val="Times New Roman"/>
        <family val="1"/>
      </rPr>
      <t xml:space="preserve"> 8 </t>
    </r>
    <r>
      <rPr>
        <sz val="12"/>
        <rFont val="標楷體"/>
        <family val="4"/>
        <charset val="136"/>
      </rPr>
      <t>月</t>
    </r>
    <r>
      <rPr>
        <sz val="12"/>
        <rFont val="Times New Roman"/>
        <family val="1"/>
      </rPr>
      <t xml:space="preserve"> 8 </t>
    </r>
    <r>
      <rPr>
        <sz val="12"/>
        <rFont val="標楷體"/>
        <family val="4"/>
        <charset val="136"/>
      </rPr>
      <t>日下午</t>
    </r>
    <r>
      <rPr>
        <sz val="12"/>
        <rFont val="Times New Roman"/>
        <family val="1"/>
      </rPr>
      <t xml:space="preserve"> 5 </t>
    </r>
    <r>
      <rPr>
        <sz val="12"/>
        <rFont val="標楷體"/>
        <family val="4"/>
        <charset val="136"/>
      </rPr>
      <t>時，崩塌範圍寬約</t>
    </r>
    <r>
      <rPr>
        <sz val="12"/>
        <rFont val="Times New Roman"/>
        <family val="1"/>
      </rPr>
      <t xml:space="preserve"> 50</t>
    </r>
    <r>
      <rPr>
        <sz val="12"/>
        <rFont val="標楷體"/>
        <family val="4"/>
        <charset val="136"/>
      </rPr>
      <t>公尺，長約</t>
    </r>
    <r>
      <rPr>
        <sz val="12"/>
        <rFont val="Times New Roman"/>
        <family val="1"/>
      </rPr>
      <t xml:space="preserve">100 </t>
    </r>
    <r>
      <rPr>
        <sz val="12"/>
        <rFont val="標楷體"/>
        <family val="4"/>
        <charset val="136"/>
      </rPr>
      <t>公尺，並造成圳頭埔往甲仙方向聯外道路遭掩埋約</t>
    </r>
    <r>
      <rPr>
        <sz val="12"/>
        <rFont val="Times New Roman"/>
        <family val="1"/>
      </rPr>
      <t xml:space="preserve"> 80</t>
    </r>
    <r>
      <rPr>
        <sz val="12"/>
        <rFont val="標楷體"/>
        <family val="4"/>
        <charset val="136"/>
      </rPr>
      <t>公尺、</t>
    </r>
    <r>
      <rPr>
        <sz val="12"/>
        <rFont val="Times New Roman"/>
        <family val="1"/>
      </rPr>
      <t>3</t>
    </r>
    <r>
      <rPr>
        <sz val="12"/>
        <rFont val="標楷體"/>
        <family val="4"/>
        <charset val="136"/>
      </rPr>
      <t>棟民宅遭崩塌土石掩埋。</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房屋受損：</t>
    </r>
    <r>
      <rPr>
        <sz val="12"/>
        <rFont val="Times New Roman"/>
        <family val="1"/>
      </rPr>
      <t>3</t>
    </r>
    <r>
      <rPr>
        <sz val="12"/>
        <rFont val="標楷體"/>
        <family val="4"/>
        <charset val="136"/>
      </rPr>
      <t>棟。</t>
    </r>
    <r>
      <rPr>
        <sz val="12"/>
        <rFont val="Times New Roman"/>
        <family val="1"/>
      </rPr>
      <t xml:space="preserve"> </t>
    </r>
    <phoneticPr fontId="5" type="noConversion"/>
  </si>
  <si>
    <r>
      <rPr>
        <sz val="12"/>
        <rFont val="標楷體"/>
        <family val="4"/>
        <charset val="136"/>
      </rPr>
      <t>六龜鄉六龜村</t>
    </r>
    <r>
      <rPr>
        <sz val="12"/>
        <rFont val="Times New Roman"/>
        <family val="1"/>
      </rPr>
      <t xml:space="preserve">  (</t>
    </r>
    <r>
      <rPr>
        <sz val="12"/>
        <rFont val="標楷體"/>
        <family val="4"/>
        <charset val="136"/>
      </rPr>
      <t>彩蝶谷</t>
    </r>
    <r>
      <rPr>
        <sz val="12"/>
        <rFont val="Times New Roman"/>
        <family val="1"/>
      </rPr>
      <t xml:space="preserve"> 20</t>
    </r>
    <r>
      <rPr>
        <sz val="12"/>
        <rFont val="標楷體"/>
        <family val="4"/>
        <charset val="136"/>
      </rPr>
      <t>鄰</t>
    </r>
    <r>
      <rPr>
        <sz val="12"/>
        <rFont val="Times New Roman"/>
        <family val="1"/>
      </rPr>
      <t xml:space="preserve">) </t>
    </r>
    <phoneticPr fontId="5" type="noConversion"/>
  </si>
  <si>
    <r>
      <rPr>
        <sz val="12"/>
        <rFont val="標楷體"/>
        <family val="4"/>
        <charset val="136"/>
      </rPr>
      <t>六龜里</t>
    </r>
    <phoneticPr fontId="5" type="noConversion"/>
  </si>
  <si>
    <r>
      <rPr>
        <sz val="12"/>
        <rFont val="標楷體"/>
        <family val="4"/>
        <charset val="136"/>
      </rPr>
      <t>莫拉克颱風挾帶超大豪雨，致使彩蝶谷</t>
    </r>
    <r>
      <rPr>
        <sz val="12"/>
        <rFont val="Times New Roman"/>
        <family val="1"/>
      </rPr>
      <t>(</t>
    </r>
    <r>
      <rPr>
        <sz val="12"/>
        <rFont val="標楷體"/>
        <family val="4"/>
        <charset val="136"/>
      </rPr>
      <t>紅水坑溪沿線</t>
    </r>
    <r>
      <rPr>
        <sz val="12"/>
        <rFont val="Times New Roman"/>
        <family val="1"/>
      </rPr>
      <t>)</t>
    </r>
    <r>
      <rPr>
        <sz val="12"/>
        <rFont val="標楷體"/>
        <family val="4"/>
        <charset val="136"/>
      </rPr>
      <t>山坡發生崩塌，最大崩塌範圍寬約</t>
    </r>
    <r>
      <rPr>
        <sz val="12"/>
        <rFont val="Times New Roman"/>
        <family val="1"/>
      </rPr>
      <t>30</t>
    </r>
    <r>
      <rPr>
        <sz val="12"/>
        <rFont val="標楷體"/>
        <family val="4"/>
        <charset val="136"/>
      </rPr>
      <t>公尺，長約</t>
    </r>
    <r>
      <rPr>
        <sz val="12"/>
        <rFont val="Times New Roman"/>
        <family val="1"/>
      </rPr>
      <t xml:space="preserve"> 220</t>
    </r>
    <r>
      <rPr>
        <sz val="12"/>
        <rFont val="標楷體"/>
        <family val="4"/>
        <charset val="136"/>
      </rPr>
      <t>公尺，並造成彩蝶谷往寶來方向聯外道路多處損毀共計約</t>
    </r>
    <r>
      <rPr>
        <sz val="12"/>
        <rFont val="Times New Roman"/>
        <family val="1"/>
      </rPr>
      <t xml:space="preserve"> 400 </t>
    </r>
    <r>
      <rPr>
        <sz val="12"/>
        <rFont val="標楷體"/>
        <family val="4"/>
        <charset val="136"/>
      </rPr>
      <t>公尺、高</t>
    </r>
    <r>
      <rPr>
        <sz val="12"/>
        <rFont val="Times New Roman"/>
        <family val="1"/>
      </rPr>
      <t>131</t>
    </r>
    <r>
      <rPr>
        <sz val="12"/>
        <rFont val="標楷體"/>
        <family val="4"/>
        <charset val="136"/>
      </rPr>
      <t>線六龜段第</t>
    </r>
    <r>
      <rPr>
        <sz val="12"/>
        <rFont val="Times New Roman"/>
        <family val="1"/>
      </rPr>
      <t>95</t>
    </r>
    <r>
      <rPr>
        <sz val="12"/>
        <rFont val="標楷體"/>
        <family val="4"/>
        <charset val="136"/>
      </rPr>
      <t>號電線桿處損毀約</t>
    </r>
    <r>
      <rPr>
        <sz val="12"/>
        <rFont val="Times New Roman"/>
        <family val="1"/>
      </rPr>
      <t>100</t>
    </r>
    <r>
      <rPr>
        <sz val="12"/>
        <rFont val="標楷體"/>
        <family val="4"/>
        <charset val="136"/>
      </rPr>
      <t>公尺，民宅及農舍遭崩塌土石掩埋。人員傷亡：</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道路毀損：共</t>
    </r>
    <r>
      <rPr>
        <sz val="12"/>
        <rFont val="Times New Roman"/>
        <family val="1"/>
      </rPr>
      <t xml:space="preserve"> 500</t>
    </r>
    <r>
      <rPr>
        <sz val="12"/>
        <rFont val="標楷體"/>
        <family val="4"/>
        <charset val="136"/>
      </rPr>
      <t>公尺。</t>
    </r>
    <r>
      <rPr>
        <sz val="12"/>
        <rFont val="Times New Roman"/>
        <family val="1"/>
      </rPr>
      <t xml:space="preserve"> </t>
    </r>
    <phoneticPr fontId="5" type="noConversion"/>
  </si>
  <si>
    <r>
      <rPr>
        <sz val="12"/>
        <rFont val="標楷體"/>
        <family val="4"/>
        <charset val="136"/>
      </rPr>
      <t>桃源鄉寶山村</t>
    </r>
    <r>
      <rPr>
        <sz val="12"/>
        <rFont val="Times New Roman"/>
        <family val="1"/>
      </rPr>
      <t xml:space="preserve"> (</t>
    </r>
    <r>
      <rPr>
        <sz val="12"/>
        <rFont val="標楷體"/>
        <family val="4"/>
        <charset val="136"/>
      </rPr>
      <t>寶山村二集團分校</t>
    </r>
    <r>
      <rPr>
        <sz val="12"/>
        <rFont val="Times New Roman"/>
        <family val="1"/>
      </rPr>
      <t>)</t>
    </r>
    <phoneticPr fontId="5" type="noConversion"/>
  </si>
  <si>
    <r>
      <rPr>
        <sz val="12"/>
        <rFont val="標楷體"/>
        <family val="4"/>
        <charset val="136"/>
      </rPr>
      <t>桃源區</t>
    </r>
    <phoneticPr fontId="5" type="noConversion"/>
  </si>
  <si>
    <r>
      <rPr>
        <sz val="12"/>
        <rFont val="標楷體"/>
        <family val="4"/>
        <charset val="136"/>
      </rPr>
      <t>寶山里</t>
    </r>
  </si>
  <si>
    <r>
      <rPr>
        <sz val="12"/>
        <rFont val="標楷體"/>
        <family val="4"/>
        <charset val="136"/>
      </rPr>
      <t>寶山二集團部落受莫拉克颱風挾帶之超大豪雨影響，二集團本部落中發生地滑災情，造成寶山國小二集團分校、二集團活動中心及部分民房發生路面龜裂或牆面傾倒。其中寶山國校二集團分校因災損，現已暫時停課，而活動中心因下方地滑導致基礎龜裂。</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道路毀損：藤枝林道路面龜裂約</t>
    </r>
    <r>
      <rPr>
        <sz val="12"/>
        <rFont val="Times New Roman"/>
        <family val="1"/>
      </rPr>
      <t xml:space="preserve"> 80</t>
    </r>
    <r>
      <rPr>
        <sz val="12"/>
        <rFont val="標楷體"/>
        <family val="4"/>
        <charset val="136"/>
      </rPr>
      <t>公尺。</t>
    </r>
    <r>
      <rPr>
        <sz val="12"/>
        <rFont val="Times New Roman"/>
        <family val="1"/>
      </rPr>
      <t xml:space="preserve"> </t>
    </r>
    <phoneticPr fontId="5" type="noConversion"/>
  </si>
  <si>
    <r>
      <rPr>
        <sz val="12"/>
        <rFont val="標楷體"/>
        <family val="4"/>
        <charset val="136"/>
      </rPr>
      <t>桃源鄉寶山村</t>
    </r>
    <r>
      <rPr>
        <sz val="12"/>
        <rFont val="Times New Roman"/>
        <family val="1"/>
      </rPr>
      <t>(</t>
    </r>
    <r>
      <rPr>
        <sz val="12"/>
        <rFont val="標楷體"/>
        <family val="4"/>
        <charset val="136"/>
      </rPr>
      <t>寶山</t>
    </r>
    <r>
      <rPr>
        <sz val="12"/>
        <rFont val="Times New Roman"/>
        <family val="1"/>
      </rPr>
      <t>)</t>
    </r>
  </si>
  <si>
    <r>
      <rPr>
        <sz val="12"/>
        <rFont val="標楷體"/>
        <family val="4"/>
        <charset val="136"/>
      </rPr>
      <t>寶山國小道路上方林班地，受莫拉克颱風挾帶之超大豪雨持續沖刷，於</t>
    </r>
    <r>
      <rPr>
        <sz val="12"/>
        <rFont val="Times New Roman"/>
        <family val="1"/>
      </rPr>
      <t xml:space="preserve"> 8</t>
    </r>
    <r>
      <rPr>
        <sz val="12"/>
        <rFont val="標楷體"/>
        <family val="4"/>
        <charset val="136"/>
      </rPr>
      <t>月</t>
    </r>
    <r>
      <rPr>
        <sz val="12"/>
        <rFont val="Times New Roman"/>
        <family val="1"/>
      </rPr>
      <t xml:space="preserve"> 8</t>
    </r>
    <r>
      <rPr>
        <sz val="12"/>
        <rFont val="標楷體"/>
        <family val="4"/>
        <charset val="136"/>
      </rPr>
      <t>日晚間山洪爆發，水流攜帶泥砂，淹埋多戶民宅及寶山國小，並毀損部落主要階梯便道，且部分地區因部落下方坡腳遭溪水淘刷而有地滑情形發生。</t>
    </r>
    <r>
      <rPr>
        <sz val="12"/>
        <rFont val="Times New Roman"/>
        <family val="1"/>
      </rPr>
      <t xml:space="preserve"> </t>
    </r>
    <r>
      <rPr>
        <sz val="12"/>
        <rFont val="標楷體"/>
        <family val="4"/>
        <charset val="136"/>
      </rPr>
      <t>房屋受損：</t>
    </r>
    <r>
      <rPr>
        <sz val="12"/>
        <rFont val="Times New Roman"/>
        <family val="1"/>
      </rPr>
      <t>10</t>
    </r>
    <r>
      <rPr>
        <sz val="12"/>
        <rFont val="標楷體"/>
        <family val="4"/>
        <charset val="136"/>
      </rPr>
      <t>棟。</t>
    </r>
    <r>
      <rPr>
        <sz val="12"/>
        <rFont val="Times New Roman"/>
        <family val="1"/>
      </rPr>
      <t xml:space="preserve"> </t>
    </r>
    <r>
      <rPr>
        <sz val="12"/>
        <rFont val="標楷體"/>
        <family val="4"/>
        <charset val="136"/>
      </rPr>
      <t>道路毀損：藤枝林道遭土砂掩埋約</t>
    </r>
    <r>
      <rPr>
        <sz val="12"/>
        <rFont val="Times New Roman"/>
        <family val="1"/>
      </rPr>
      <t xml:space="preserve"> 40</t>
    </r>
    <r>
      <rPr>
        <sz val="12"/>
        <rFont val="標楷體"/>
        <family val="4"/>
        <charset val="136"/>
      </rPr>
      <t>公尺。</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phoneticPr fontId="5" type="noConversion"/>
  </si>
  <si>
    <r>
      <rPr>
        <sz val="12"/>
        <rFont val="標楷體"/>
        <family val="4"/>
        <charset val="136"/>
      </rPr>
      <t>桃源鄉梅山村</t>
    </r>
    <r>
      <rPr>
        <sz val="12"/>
        <rFont val="Times New Roman"/>
        <family val="1"/>
      </rPr>
      <t>(</t>
    </r>
    <r>
      <rPr>
        <sz val="12"/>
        <rFont val="標楷體"/>
        <family val="4"/>
        <charset val="136"/>
      </rPr>
      <t>梅山派出所後方</t>
    </r>
    <r>
      <rPr>
        <sz val="12"/>
        <rFont val="Times New Roman"/>
        <family val="1"/>
      </rPr>
      <t xml:space="preserve">) 
</t>
    </r>
    <phoneticPr fontId="5" type="noConversion"/>
  </si>
  <si>
    <r>
      <rPr>
        <sz val="12"/>
        <rFont val="標楷體"/>
        <family val="4"/>
        <charset val="136"/>
      </rPr>
      <t>梅山里</t>
    </r>
  </si>
  <si>
    <r>
      <rPr>
        <sz val="12"/>
        <rFont val="標楷體"/>
        <family val="4"/>
        <charset val="136"/>
      </rPr>
      <t>梅山派出所後方山坡地因莫拉克豪大雨造成寬約</t>
    </r>
    <r>
      <rPr>
        <sz val="12"/>
        <rFont val="Times New Roman"/>
        <family val="1"/>
      </rPr>
      <t xml:space="preserve"> 90 </t>
    </r>
    <r>
      <rPr>
        <sz val="12"/>
        <rFont val="標楷體"/>
        <family val="4"/>
        <charset val="136"/>
      </rPr>
      <t>公尺，長約</t>
    </r>
    <r>
      <rPr>
        <sz val="12"/>
        <rFont val="Times New Roman"/>
        <family val="1"/>
      </rPr>
      <t xml:space="preserve"> 220 </t>
    </r>
    <r>
      <rPr>
        <sz val="12"/>
        <rFont val="標楷體"/>
        <family val="4"/>
        <charset val="136"/>
      </rPr>
      <t>公尺的崩塌，導致</t>
    </r>
    <r>
      <rPr>
        <sz val="12"/>
        <rFont val="Times New Roman"/>
        <family val="1"/>
      </rPr>
      <t xml:space="preserve"> 5</t>
    </r>
    <r>
      <rPr>
        <sz val="12"/>
        <rFont val="標楷體"/>
        <family val="4"/>
        <charset val="136"/>
      </rPr>
      <t>戶民宅被土砂淤埋。崩塌土砂堆積範圍長約</t>
    </r>
    <r>
      <rPr>
        <sz val="12"/>
        <rFont val="Times New Roman"/>
        <family val="1"/>
      </rPr>
      <t xml:space="preserve"> 100</t>
    </r>
    <r>
      <rPr>
        <sz val="12"/>
        <rFont val="標楷體"/>
        <family val="4"/>
        <charset val="136"/>
      </rPr>
      <t>公尺，約</t>
    </r>
    <r>
      <rPr>
        <sz val="12"/>
        <rFont val="Times New Roman"/>
        <family val="1"/>
      </rPr>
      <t xml:space="preserve"> 110</t>
    </r>
    <r>
      <rPr>
        <sz val="12"/>
        <rFont val="標楷體"/>
        <family val="4"/>
        <charset val="136"/>
      </rPr>
      <t>公尺，高度達</t>
    </r>
    <r>
      <rPr>
        <sz val="12"/>
        <rFont val="Times New Roman"/>
        <family val="1"/>
      </rPr>
      <t xml:space="preserve"> 10~12</t>
    </r>
    <r>
      <rPr>
        <sz val="12"/>
        <rFont val="標楷體"/>
        <family val="4"/>
        <charset val="136"/>
      </rPr>
      <t>公尺，並且崩塌地上仍殘留大量鬆散土砂。房屋受損：</t>
    </r>
    <r>
      <rPr>
        <sz val="12"/>
        <rFont val="Times New Roman"/>
        <family val="1"/>
      </rPr>
      <t>5</t>
    </r>
    <r>
      <rPr>
        <sz val="12"/>
        <rFont val="標楷體"/>
        <family val="4"/>
        <charset val="136"/>
      </rPr>
      <t>棟。人員傷亡：</t>
    </r>
    <r>
      <rPr>
        <sz val="12"/>
        <rFont val="Times New Roman"/>
        <family val="1"/>
      </rPr>
      <t>0</t>
    </r>
    <r>
      <rPr>
        <sz val="12"/>
        <rFont val="標楷體"/>
        <family val="4"/>
        <charset val="136"/>
      </rPr>
      <t>人。道路損毀：無。</t>
    </r>
    <phoneticPr fontId="5" type="noConversion"/>
  </si>
  <si>
    <r>
      <rPr>
        <sz val="12"/>
        <rFont val="標楷體"/>
        <family val="4"/>
        <charset val="136"/>
      </rPr>
      <t>桃源鄉寶山村</t>
    </r>
    <r>
      <rPr>
        <sz val="12"/>
        <rFont val="Times New Roman"/>
        <family val="1"/>
      </rPr>
      <t>(</t>
    </r>
    <r>
      <rPr>
        <sz val="12"/>
        <rFont val="標楷體"/>
        <family val="4"/>
        <charset val="136"/>
      </rPr>
      <t>新藤枝部落</t>
    </r>
    <r>
      <rPr>
        <sz val="12"/>
        <rFont val="Times New Roman"/>
        <family val="1"/>
      </rPr>
      <t>) (</t>
    </r>
    <r>
      <rPr>
        <sz val="12"/>
        <rFont val="標楷體"/>
        <family val="4"/>
        <charset val="136"/>
      </rPr>
      <t>藤枝活動中心</t>
    </r>
    <r>
      <rPr>
        <sz val="12"/>
        <rFont val="Times New Roman"/>
        <family val="1"/>
      </rPr>
      <t>)</t>
    </r>
    <phoneticPr fontId="5" type="noConversion"/>
  </si>
  <si>
    <r>
      <rPr>
        <sz val="12"/>
        <rFont val="標楷體"/>
        <family val="4"/>
        <charset val="136"/>
      </rPr>
      <t>寶山新藤枝部落區域因莫拉克颱風挾帶之超大豪雨，聚落發生大規模區域地滑，多棟房屋傾倒，多數民宅因地滑導致牆面及地面龜裂，災後新藤枝部落已無人居住。</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房屋受損：</t>
    </r>
    <r>
      <rPr>
        <sz val="12"/>
        <rFont val="Times New Roman"/>
        <family val="1"/>
      </rPr>
      <t>17</t>
    </r>
    <r>
      <rPr>
        <sz val="12"/>
        <rFont val="標楷體"/>
        <family val="4"/>
        <charset val="136"/>
      </rPr>
      <t>棟。</t>
    </r>
    <phoneticPr fontId="5" type="noConversion"/>
  </si>
  <si>
    <r>
      <rPr>
        <sz val="12"/>
        <rFont val="標楷體"/>
        <family val="4"/>
        <charset val="136"/>
      </rPr>
      <t>桃源鄉寶山村</t>
    </r>
    <r>
      <rPr>
        <sz val="12"/>
        <rFont val="Times New Roman"/>
        <family val="1"/>
      </rPr>
      <t>(</t>
    </r>
    <r>
      <rPr>
        <sz val="12"/>
        <rFont val="標楷體"/>
        <family val="4"/>
        <charset val="136"/>
      </rPr>
      <t>舊藤枝部落</t>
    </r>
    <r>
      <rPr>
        <sz val="12"/>
        <rFont val="Times New Roman"/>
        <family val="1"/>
      </rPr>
      <t>)(</t>
    </r>
    <r>
      <rPr>
        <sz val="12"/>
        <rFont val="標楷體"/>
        <family val="4"/>
        <charset val="136"/>
      </rPr>
      <t>森濤派出所</t>
    </r>
    <r>
      <rPr>
        <sz val="12"/>
        <rFont val="Times New Roman"/>
        <family val="1"/>
      </rPr>
      <t>)</t>
    </r>
    <phoneticPr fontId="5" type="noConversion"/>
  </si>
  <si>
    <r>
      <rPr>
        <sz val="12"/>
        <rFont val="標楷體"/>
        <family val="4"/>
        <charset val="136"/>
      </rPr>
      <t>寶山舊藤枝部落區域因莫拉克颱風挾帶豪雨，聚落發生大規模區域地滑，多棟房屋傾倒，民宅因地滑導致牆面及地面龜裂，災後舊藤枝部落已人居住。</t>
    </r>
    <r>
      <rPr>
        <sz val="12"/>
        <rFont val="Times New Roman"/>
        <family val="1"/>
      </rPr>
      <t xml:space="preserve"> </t>
    </r>
    <r>
      <rPr>
        <sz val="12"/>
        <rFont val="標楷體"/>
        <family val="4"/>
        <charset val="136"/>
      </rPr>
      <t>藤枝國家森林遊樂區因地滑災害，現已暫停開放。</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r>
      <rPr>
        <sz val="12"/>
        <rFont val="標楷體"/>
        <family val="4"/>
        <charset val="136"/>
      </rPr>
      <t>房屋受損：</t>
    </r>
    <r>
      <rPr>
        <sz val="12"/>
        <rFont val="Times New Roman"/>
        <family val="1"/>
      </rPr>
      <t>8</t>
    </r>
    <r>
      <rPr>
        <sz val="12"/>
        <rFont val="標楷體"/>
        <family val="4"/>
        <charset val="136"/>
      </rPr>
      <t>棟。</t>
    </r>
    <phoneticPr fontId="5" type="noConversion"/>
  </si>
  <si>
    <t>C1V210</t>
    <phoneticPr fontId="5" type="noConversion"/>
  </si>
  <si>
    <r>
      <rPr>
        <sz val="12"/>
        <rFont val="標楷體"/>
        <family val="4"/>
        <charset val="136"/>
      </rPr>
      <t>大智瀑布北側，約位於台</t>
    </r>
    <r>
      <rPr>
        <sz val="12"/>
        <rFont val="Times New Roman"/>
        <family val="1"/>
      </rPr>
      <t xml:space="preserve"> 27 </t>
    </r>
    <r>
      <rPr>
        <sz val="12"/>
        <rFont val="標楷體"/>
        <family val="4"/>
        <charset val="136"/>
      </rPr>
      <t>線</t>
    </r>
    <r>
      <rPr>
        <sz val="12"/>
        <rFont val="Times New Roman"/>
        <family val="1"/>
      </rPr>
      <t xml:space="preserve"> 17k </t>
    </r>
    <r>
      <rPr>
        <sz val="12"/>
        <rFont val="標楷體"/>
        <family val="4"/>
        <charset val="136"/>
      </rPr>
      <t>處</t>
    </r>
    <phoneticPr fontId="5" type="noConversion"/>
  </si>
  <si>
    <r>
      <rPr>
        <sz val="12"/>
        <rFont val="標楷體"/>
        <family val="4"/>
        <charset val="136"/>
      </rPr>
      <t>中興里</t>
    </r>
    <phoneticPr fontId="5" type="noConversion"/>
  </si>
  <si>
    <r>
      <rPr>
        <sz val="12"/>
        <rFont val="標楷體"/>
        <family val="4"/>
        <charset val="136"/>
      </rPr>
      <t>草坔聚落民宅、電信基地台、道路及果園遭大量土石掩埋沖毀。
房屋受損：</t>
    </r>
    <r>
      <rPr>
        <sz val="12"/>
        <rFont val="Times New Roman"/>
        <family val="1"/>
      </rPr>
      <t>12</t>
    </r>
    <r>
      <rPr>
        <sz val="12"/>
        <rFont val="標楷體"/>
        <family val="4"/>
        <charset val="136"/>
      </rPr>
      <t>戶</t>
    </r>
    <phoneticPr fontId="5" type="noConversion"/>
  </si>
  <si>
    <r>
      <rPr>
        <sz val="12"/>
        <rFont val="標楷體"/>
        <family val="4"/>
        <charset val="136"/>
      </rPr>
      <t>瑪家鄉北葉村</t>
    </r>
    <r>
      <rPr>
        <sz val="12"/>
        <rFont val="Times New Roman"/>
        <family val="1"/>
      </rPr>
      <t xml:space="preserve"> (</t>
    </r>
    <r>
      <rPr>
        <sz val="12"/>
        <rFont val="標楷體"/>
        <family val="4"/>
        <charset val="136"/>
      </rPr>
      <t>距觀流吊橋約</t>
    </r>
    <r>
      <rPr>
        <sz val="12"/>
        <rFont val="Times New Roman"/>
        <family val="1"/>
      </rPr>
      <t>130</t>
    </r>
    <r>
      <rPr>
        <sz val="12"/>
        <rFont val="標楷體"/>
        <family val="4"/>
        <charset val="136"/>
      </rPr>
      <t>公尺</t>
    </r>
    <r>
      <rPr>
        <sz val="12"/>
        <rFont val="Times New Roman"/>
        <family val="1"/>
      </rPr>
      <t>)</t>
    </r>
    <phoneticPr fontId="5" type="noConversion"/>
  </si>
  <si>
    <r>
      <rPr>
        <sz val="12"/>
        <rFont val="標楷體"/>
        <family val="4"/>
        <charset val="136"/>
      </rPr>
      <t>北葉村</t>
    </r>
    <phoneticPr fontId="5" type="noConversion"/>
  </si>
  <si>
    <r>
      <t>98</t>
    </r>
    <r>
      <rPr>
        <sz val="12"/>
        <rFont val="標楷體"/>
        <family val="4"/>
        <charset val="136"/>
      </rPr>
      <t>年</t>
    </r>
    <r>
      <rPr>
        <sz val="12"/>
        <rFont val="Times New Roman"/>
        <family val="1"/>
      </rPr>
      <t xml:space="preserve"> </t>
    </r>
    <r>
      <rPr>
        <sz val="12"/>
        <rFont val="標楷體"/>
        <family val="4"/>
        <charset val="136"/>
      </rPr>
      <t>其他</t>
    </r>
    <phoneticPr fontId="5" type="noConversion"/>
  </si>
  <si>
    <r>
      <rPr>
        <sz val="12"/>
        <rFont val="標楷體"/>
        <family val="4"/>
        <charset val="136"/>
      </rPr>
      <t>舊崩塌坡地遭大雨沖蝕，土石再次崩塌淤埋好茶道路。</t>
    </r>
    <r>
      <rPr>
        <sz val="12"/>
        <rFont val="Times New Roman"/>
        <family val="1"/>
      </rPr>
      <t xml:space="preserve"> </t>
    </r>
    <r>
      <rPr>
        <sz val="12"/>
        <rFont val="標楷體"/>
        <family val="4"/>
        <charset val="136"/>
      </rPr>
      <t>加勁擋土牆遭土石淤埋。</t>
    </r>
    <r>
      <rPr>
        <sz val="12"/>
        <rFont val="Times New Roman"/>
        <family val="1"/>
      </rPr>
      <t xml:space="preserve"> 1</t>
    </r>
    <r>
      <rPr>
        <sz val="12"/>
        <rFont val="標楷體"/>
        <family val="4"/>
        <charset val="136"/>
      </rPr>
      <t>座涼亭遭土石淤埋。</t>
    </r>
    <r>
      <rPr>
        <sz val="12"/>
        <rFont val="Times New Roman"/>
        <family val="1"/>
      </rPr>
      <t xml:space="preserve"> </t>
    </r>
    <r>
      <rPr>
        <sz val="12"/>
        <rFont val="標楷體"/>
        <family val="4"/>
        <charset val="136"/>
      </rPr>
      <t>人員傷亡：無。</t>
    </r>
    <phoneticPr fontId="5" type="noConversion"/>
  </si>
  <si>
    <r>
      <t>(</t>
    </r>
    <r>
      <rPr>
        <sz val="12"/>
        <rFont val="標楷體"/>
        <family val="4"/>
        <charset val="136"/>
      </rPr>
      <t>五叉溝五叉高分</t>
    </r>
    <r>
      <rPr>
        <sz val="12"/>
        <rFont val="Times New Roman"/>
        <family val="1"/>
      </rPr>
      <t xml:space="preserve"> 64</t>
    </r>
    <r>
      <rPr>
        <sz val="12"/>
        <rFont val="標楷體"/>
        <family val="4"/>
        <charset val="136"/>
      </rPr>
      <t>號電桿</t>
    </r>
    <r>
      <rPr>
        <sz val="12"/>
        <rFont val="Times New Roman"/>
        <family val="1"/>
      </rPr>
      <t>)</t>
    </r>
  </si>
  <si>
    <r>
      <rPr>
        <sz val="12"/>
        <rFont val="標楷體"/>
        <family val="4"/>
        <charset val="136"/>
      </rPr>
      <t>金山區</t>
    </r>
  </si>
  <si>
    <r>
      <rPr>
        <sz val="12"/>
        <rFont val="標楷體"/>
        <family val="4"/>
        <charset val="136"/>
      </rPr>
      <t>重和里</t>
    </r>
  </si>
  <si>
    <r>
      <t>0924</t>
    </r>
    <r>
      <rPr>
        <sz val="12"/>
        <rFont val="標楷體"/>
        <family val="4"/>
        <charset val="136"/>
      </rPr>
      <t>豪雨</t>
    </r>
  </si>
  <si>
    <r>
      <t xml:space="preserve">9 </t>
    </r>
    <r>
      <rPr>
        <sz val="12"/>
        <rFont val="標楷體"/>
        <family val="4"/>
        <charset val="136"/>
      </rPr>
      <t>月</t>
    </r>
    <r>
      <rPr>
        <sz val="12"/>
        <rFont val="Times New Roman"/>
        <family val="1"/>
      </rPr>
      <t xml:space="preserve"> 24 </t>
    </r>
    <r>
      <rPr>
        <sz val="12"/>
        <rFont val="標楷體"/>
        <family val="4"/>
        <charset val="136"/>
      </rPr>
      <t>日</t>
    </r>
    <r>
      <rPr>
        <sz val="12"/>
        <rFont val="Times New Roman"/>
        <family val="1"/>
      </rPr>
      <t xml:space="preserve"> 6 </t>
    </r>
    <r>
      <rPr>
        <sz val="12"/>
        <rFont val="標楷體"/>
        <family val="4"/>
        <charset val="136"/>
      </rPr>
      <t>時許，金山鄉重和村綠峰山莊後方的山坡地，因豪雨沖刷發生崩塌災害，土石挾帶泥沙入侵山下的</t>
    </r>
    <r>
      <rPr>
        <sz val="12"/>
        <rFont val="Times New Roman"/>
        <family val="1"/>
      </rPr>
      <t xml:space="preserve"> 5</t>
    </r>
    <r>
      <rPr>
        <sz val="12"/>
        <rFont val="標楷體"/>
        <family val="4"/>
        <charset val="136"/>
      </rPr>
      <t>戶民宅，給水管線斷裂毀損，幸無人傷亡。</t>
    </r>
    <r>
      <rPr>
        <sz val="12"/>
        <rFont val="Times New Roman"/>
        <family val="1"/>
      </rPr>
      <t xml:space="preserve">  </t>
    </r>
    <r>
      <rPr>
        <sz val="12"/>
        <rFont val="標楷體"/>
        <family val="4"/>
        <charset val="136"/>
      </rPr>
      <t>崩塌範圍長約</t>
    </r>
    <r>
      <rPr>
        <sz val="12"/>
        <rFont val="Times New Roman"/>
        <family val="1"/>
      </rPr>
      <t xml:space="preserve"> 110 </t>
    </r>
    <r>
      <rPr>
        <sz val="12"/>
        <rFont val="標楷體"/>
        <family val="4"/>
        <charset val="136"/>
      </rPr>
      <t>公尺，寬約</t>
    </r>
    <r>
      <rPr>
        <sz val="12"/>
        <rFont val="Times New Roman"/>
        <family val="1"/>
      </rPr>
      <t xml:space="preserve"> 40 </t>
    </r>
    <r>
      <rPr>
        <sz val="12"/>
        <rFont val="標楷體"/>
        <family val="4"/>
        <charset val="136"/>
      </rPr>
      <t>公尺，土石堆積區長約</t>
    </r>
    <r>
      <rPr>
        <sz val="12"/>
        <rFont val="Times New Roman"/>
        <family val="1"/>
      </rPr>
      <t xml:space="preserve"> 40</t>
    </r>
    <r>
      <rPr>
        <sz val="12"/>
        <rFont val="標楷體"/>
        <family val="4"/>
        <charset val="136"/>
      </rPr>
      <t>公尺，寬約</t>
    </r>
    <r>
      <rPr>
        <sz val="12"/>
        <rFont val="Times New Roman"/>
        <family val="1"/>
      </rPr>
      <t xml:space="preserve"> 35</t>
    </r>
    <r>
      <rPr>
        <sz val="12"/>
        <rFont val="標楷體"/>
        <family val="4"/>
        <charset val="136"/>
      </rPr>
      <t>公尺。在崩塌坡面及堆積區上可見巨石堆積並毀損東側農田；細顆粒泥砂沿沖蝕溝，衝入下方民宅並淤埋部分西側農田。</t>
    </r>
    <r>
      <rPr>
        <sz val="12"/>
        <rFont val="Times New Roman"/>
        <family val="1"/>
      </rPr>
      <t xml:space="preserve"> </t>
    </r>
    <r>
      <rPr>
        <sz val="12"/>
        <rFont val="標楷體"/>
        <family val="4"/>
        <charset val="136"/>
      </rPr>
      <t>房屋受損：約</t>
    </r>
    <r>
      <rPr>
        <sz val="12"/>
        <rFont val="Times New Roman"/>
        <family val="1"/>
      </rPr>
      <t>5</t>
    </r>
    <r>
      <rPr>
        <sz val="12"/>
        <rFont val="標楷體"/>
        <family val="4"/>
        <charset val="136"/>
      </rPr>
      <t>棟。</t>
    </r>
    <r>
      <rPr>
        <sz val="12"/>
        <rFont val="Times New Roman"/>
        <family val="1"/>
      </rPr>
      <t xml:space="preserve"> </t>
    </r>
    <r>
      <rPr>
        <sz val="12"/>
        <rFont val="標楷體"/>
        <family val="4"/>
        <charset val="136"/>
      </rPr>
      <t>農田毀損：約</t>
    </r>
    <r>
      <rPr>
        <sz val="12"/>
        <rFont val="Times New Roman"/>
        <family val="1"/>
      </rPr>
      <t xml:space="preserve"> 0.1</t>
    </r>
    <r>
      <rPr>
        <sz val="12"/>
        <rFont val="標楷體"/>
        <family val="4"/>
        <charset val="136"/>
      </rPr>
      <t>公頃。</t>
    </r>
    <r>
      <rPr>
        <sz val="12"/>
        <rFont val="Times New Roman"/>
        <family val="1"/>
      </rPr>
      <t xml:space="preserve"> </t>
    </r>
    <phoneticPr fontId="5" type="noConversion"/>
  </si>
  <si>
    <t>C0A930</t>
  </si>
  <si>
    <r>
      <rPr>
        <sz val="12"/>
        <rFont val="標楷體"/>
        <family val="4"/>
        <charset val="136"/>
      </rPr>
      <t>三和</t>
    </r>
    <phoneticPr fontId="5" type="noConversion"/>
  </si>
  <si>
    <r>
      <rPr>
        <sz val="12"/>
        <rFont val="標楷體"/>
        <family val="4"/>
        <charset val="136"/>
      </rPr>
      <t>八里灣部落</t>
    </r>
    <r>
      <rPr>
        <sz val="12"/>
        <rFont val="Times New Roman"/>
        <family val="1"/>
      </rPr>
      <t>(</t>
    </r>
    <r>
      <rPr>
        <sz val="12"/>
        <rFont val="標楷體"/>
        <family val="4"/>
        <charset val="136"/>
      </rPr>
      <t>花</t>
    </r>
    <r>
      <rPr>
        <sz val="12"/>
        <rFont val="Times New Roman"/>
        <family val="1"/>
      </rPr>
      <t xml:space="preserve">51 </t>
    </r>
    <r>
      <rPr>
        <sz val="12"/>
        <rFont val="標楷體"/>
        <family val="4"/>
        <charset val="136"/>
      </rPr>
      <t>線尾端</t>
    </r>
    <r>
      <rPr>
        <sz val="12"/>
        <rFont val="Times New Roman"/>
        <family val="1"/>
      </rPr>
      <t>)</t>
    </r>
  </si>
  <si>
    <r>
      <rPr>
        <sz val="12"/>
        <rFont val="標楷體"/>
        <family val="4"/>
        <charset val="136"/>
      </rPr>
      <t>豐濱鄉</t>
    </r>
    <phoneticPr fontId="5" type="noConversion"/>
  </si>
  <si>
    <r>
      <rPr>
        <sz val="12"/>
        <rFont val="標楷體"/>
        <family val="4"/>
        <charset val="136"/>
      </rPr>
      <t>豐濱村</t>
    </r>
    <phoneticPr fontId="5" type="noConversion"/>
  </si>
  <si>
    <r>
      <t>1016</t>
    </r>
    <r>
      <rPr>
        <sz val="12"/>
        <rFont val="標楷體"/>
        <family val="4"/>
        <charset val="136"/>
      </rPr>
      <t>豪雨</t>
    </r>
    <phoneticPr fontId="5" type="noConversion"/>
  </si>
  <si>
    <r>
      <rPr>
        <sz val="12"/>
        <rFont val="標楷體"/>
        <family val="4"/>
        <charset val="136"/>
      </rPr>
      <t>由於八里灣上游山區降下急雨，沖毀排水道保護用蛇籠，損壞蛇籠倒塌因而將貓公溪溪水引導入八里灣部落內，溪水灌入堤防內，挾帶泥沙造成房舍道路淤埋。</t>
    </r>
    <r>
      <rPr>
        <sz val="12"/>
        <rFont val="Times New Roman"/>
        <family val="1"/>
      </rPr>
      <t xml:space="preserve"> </t>
    </r>
    <r>
      <rPr>
        <sz val="12"/>
        <rFont val="標楷體"/>
        <family val="4"/>
        <charset val="136"/>
      </rPr>
      <t>部落東側堤防因貓公溪排水宣洩不及導致溪水溢頂灌入堤防內農地。</t>
    </r>
    <r>
      <rPr>
        <sz val="12"/>
        <rFont val="Times New Roman"/>
        <family val="1"/>
      </rPr>
      <t xml:space="preserve"> </t>
    </r>
    <r>
      <rPr>
        <sz val="12"/>
        <rFont val="標楷體"/>
        <family val="4"/>
        <charset val="136"/>
      </rPr>
      <t>房屋受損：約</t>
    </r>
    <r>
      <rPr>
        <sz val="12"/>
        <rFont val="Times New Roman"/>
        <family val="1"/>
      </rPr>
      <t>5</t>
    </r>
    <r>
      <rPr>
        <sz val="12"/>
        <rFont val="標楷體"/>
        <family val="4"/>
        <charset val="136"/>
      </rPr>
      <t>棟。</t>
    </r>
    <r>
      <rPr>
        <sz val="12"/>
        <rFont val="Times New Roman"/>
        <family val="1"/>
      </rPr>
      <t xml:space="preserve"> </t>
    </r>
    <r>
      <rPr>
        <sz val="12"/>
        <rFont val="標楷體"/>
        <family val="4"/>
        <charset val="136"/>
      </rPr>
      <t>道路毀損：聯通道路淤埋約</t>
    </r>
    <r>
      <rPr>
        <sz val="12"/>
        <rFont val="Times New Roman"/>
        <family val="1"/>
      </rPr>
      <t xml:space="preserve"> 70</t>
    </r>
    <r>
      <rPr>
        <sz val="12"/>
        <rFont val="標楷體"/>
        <family val="4"/>
        <charset val="136"/>
      </rPr>
      <t>公尺。</t>
    </r>
    <r>
      <rPr>
        <sz val="12"/>
        <rFont val="Times New Roman"/>
        <family val="1"/>
      </rPr>
      <t xml:space="preserve"> </t>
    </r>
    <r>
      <rPr>
        <sz val="12"/>
        <rFont val="標楷體"/>
        <family val="4"/>
        <charset val="136"/>
      </rPr>
      <t>土石淤埋：部落內五戶民宅與聯通道路遭土石掩埋。</t>
    </r>
    <r>
      <rPr>
        <sz val="12"/>
        <rFont val="Times New Roman"/>
        <family val="1"/>
      </rPr>
      <t xml:space="preserve">  </t>
    </r>
    <r>
      <rPr>
        <sz val="12"/>
        <rFont val="標楷體"/>
        <family val="4"/>
        <charset val="136"/>
      </rPr>
      <t>土石沖刷：蛇籠設施遭溪水沖毀。</t>
    </r>
    <r>
      <rPr>
        <sz val="12"/>
        <rFont val="Times New Roman"/>
        <family val="1"/>
      </rPr>
      <t xml:space="preserve"> </t>
    </r>
    <phoneticPr fontId="5" type="noConversion"/>
  </si>
  <si>
    <t>C0T9M0</t>
  </si>
  <si>
    <r>
      <rPr>
        <sz val="12"/>
        <rFont val="標楷體"/>
        <family val="4"/>
        <charset val="136"/>
      </rPr>
      <t>靜浦</t>
    </r>
    <phoneticPr fontId="5" type="noConversion"/>
  </si>
  <si>
    <r>
      <rPr>
        <sz val="12"/>
        <rFont val="標楷體"/>
        <family val="4"/>
        <charset val="136"/>
      </rPr>
      <t>信望愛少年學院</t>
    </r>
    <phoneticPr fontId="5" type="noConversion"/>
  </si>
  <si>
    <r>
      <rPr>
        <sz val="12"/>
        <rFont val="標楷體"/>
        <family val="4"/>
        <charset val="136"/>
      </rPr>
      <t>光復鄉</t>
    </r>
    <phoneticPr fontId="5" type="noConversion"/>
  </si>
  <si>
    <r>
      <rPr>
        <sz val="12"/>
        <rFont val="標楷體"/>
        <family val="4"/>
        <charset val="136"/>
      </rPr>
      <t>大興村</t>
    </r>
    <phoneticPr fontId="5" type="noConversion"/>
  </si>
  <si>
    <r>
      <rPr>
        <sz val="12"/>
        <rFont val="標楷體"/>
        <family val="4"/>
        <charset val="136"/>
      </rPr>
      <t>花縣</t>
    </r>
    <r>
      <rPr>
        <sz val="12"/>
        <rFont val="Times New Roman"/>
        <family val="1"/>
      </rPr>
      <t>DF117</t>
    </r>
  </si>
  <si>
    <r>
      <rPr>
        <sz val="12"/>
        <rFont val="標楷體"/>
        <family val="4"/>
        <charset val="136"/>
      </rPr>
      <t>大興溪</t>
    </r>
    <r>
      <rPr>
        <sz val="12"/>
        <rFont val="Times New Roman"/>
        <family val="1"/>
      </rPr>
      <t>(</t>
    </r>
    <r>
      <rPr>
        <sz val="12"/>
        <rFont val="標楷體"/>
        <family val="4"/>
        <charset val="136"/>
      </rPr>
      <t>潛勢溪流花縣</t>
    </r>
    <r>
      <rPr>
        <sz val="12"/>
        <rFont val="Times New Roman"/>
        <family val="1"/>
      </rPr>
      <t xml:space="preserve"> DF117)</t>
    </r>
    <r>
      <rPr>
        <sz val="12"/>
        <rFont val="標楷體"/>
        <family val="4"/>
        <charset val="136"/>
      </rPr>
      <t>上游有大量鬆散土砂，經過</t>
    </r>
    <r>
      <rPr>
        <sz val="12"/>
        <rFont val="Times New Roman"/>
        <family val="1"/>
      </rPr>
      <t xml:space="preserve"> 10 </t>
    </r>
    <r>
      <rPr>
        <sz val="12"/>
        <rFont val="標楷體"/>
        <family val="4"/>
        <charset val="136"/>
      </rPr>
      <t>月</t>
    </r>
    <r>
      <rPr>
        <sz val="12"/>
        <rFont val="Times New Roman"/>
        <family val="1"/>
      </rPr>
      <t xml:space="preserve"> 16 </t>
    </r>
    <r>
      <rPr>
        <sz val="12"/>
        <rFont val="標楷體"/>
        <family val="4"/>
        <charset val="136"/>
      </rPr>
      <t>日豪雨後大量土砂運移至下游，造成大興溪河床抬昇，而下游清水溪水位高於大興溪，導致大興溪無法將溪水排至清水溪，造成此次洪水災情。</t>
    </r>
    <r>
      <rPr>
        <sz val="12"/>
        <rFont val="Times New Roman"/>
        <family val="1"/>
      </rPr>
      <t xml:space="preserve">  </t>
    </r>
    <r>
      <rPr>
        <sz val="12"/>
        <rFont val="標楷體"/>
        <family val="4"/>
        <charset val="136"/>
      </rPr>
      <t>土石堵塞：大興溪與產業道路交會處河道堵塞，導致溪流溢淹。</t>
    </r>
    <r>
      <rPr>
        <sz val="12"/>
        <rFont val="Times New Roman"/>
        <family val="1"/>
      </rPr>
      <t xml:space="preserve"> </t>
    </r>
    <r>
      <rPr>
        <sz val="12"/>
        <rFont val="標楷體"/>
        <family val="4"/>
        <charset val="136"/>
      </rPr>
      <t>道路毀損：道路淹水約</t>
    </r>
    <r>
      <rPr>
        <sz val="12"/>
        <rFont val="Times New Roman"/>
        <family val="1"/>
      </rPr>
      <t xml:space="preserve"> 20</t>
    </r>
    <r>
      <rPr>
        <sz val="12"/>
        <rFont val="標楷體"/>
        <family val="4"/>
        <charset val="136"/>
      </rPr>
      <t>公尺。</t>
    </r>
    <r>
      <rPr>
        <sz val="12"/>
        <rFont val="Times New Roman"/>
        <family val="1"/>
      </rPr>
      <t xml:space="preserve"> </t>
    </r>
    <phoneticPr fontId="5" type="noConversion"/>
  </si>
  <si>
    <t>C1T970</t>
  </si>
  <si>
    <r>
      <rPr>
        <sz val="12"/>
        <rFont val="標楷體"/>
        <family val="4"/>
        <charset val="136"/>
      </rPr>
      <t>大農</t>
    </r>
    <phoneticPr fontId="5" type="noConversion"/>
  </si>
  <si>
    <r>
      <rPr>
        <sz val="12"/>
        <rFont val="標楷體"/>
        <family val="4"/>
        <charset val="136"/>
      </rPr>
      <t>太巴塱部落</t>
    </r>
    <r>
      <rPr>
        <sz val="12"/>
        <rFont val="Times New Roman"/>
        <family val="1"/>
      </rPr>
      <t>(</t>
    </r>
    <r>
      <rPr>
        <sz val="12"/>
        <rFont val="標楷體"/>
        <family val="4"/>
        <charset val="136"/>
      </rPr>
      <t>縣道</t>
    </r>
    <r>
      <rPr>
        <sz val="12"/>
        <rFont val="Times New Roman"/>
        <family val="1"/>
      </rPr>
      <t xml:space="preserve">193 </t>
    </r>
    <r>
      <rPr>
        <sz val="12"/>
        <rFont val="標楷體"/>
        <family val="4"/>
        <charset val="136"/>
      </rPr>
      <t>線與台</t>
    </r>
    <r>
      <rPr>
        <sz val="12"/>
        <rFont val="Times New Roman"/>
        <family val="1"/>
      </rPr>
      <t xml:space="preserve">11 </t>
    </r>
    <r>
      <rPr>
        <sz val="12"/>
        <rFont val="標楷體"/>
        <family val="4"/>
        <charset val="136"/>
      </rPr>
      <t>甲交會處</t>
    </r>
    <r>
      <rPr>
        <sz val="12"/>
        <rFont val="Times New Roman"/>
        <family val="1"/>
      </rPr>
      <t>)</t>
    </r>
    <phoneticPr fontId="5" type="noConversion"/>
  </si>
  <si>
    <r>
      <rPr>
        <sz val="12"/>
        <rFont val="標楷體"/>
        <family val="4"/>
        <charset val="136"/>
      </rPr>
      <t>南富村</t>
    </r>
    <phoneticPr fontId="5" type="noConversion"/>
  </si>
  <si>
    <r>
      <rPr>
        <sz val="12"/>
        <rFont val="標楷體"/>
        <family val="4"/>
        <charset val="136"/>
      </rPr>
      <t>民宅建物：日豐磚窯廠與宿舍共三間建物遭泥流侵入。</t>
    </r>
    <r>
      <rPr>
        <sz val="12"/>
        <rFont val="Times New Roman"/>
        <family val="1"/>
      </rPr>
      <t xml:space="preserve"> </t>
    </r>
    <r>
      <rPr>
        <sz val="12"/>
        <rFont val="標楷體"/>
        <family val="4"/>
        <charset val="136"/>
      </rPr>
      <t>公有建物：祭祀廣場因麗太溪溢流淹水。</t>
    </r>
    <r>
      <rPr>
        <sz val="12"/>
        <rFont val="Times New Roman"/>
        <family val="1"/>
      </rPr>
      <t xml:space="preserve">  </t>
    </r>
    <r>
      <rPr>
        <sz val="12"/>
        <rFont val="標楷體"/>
        <family val="4"/>
        <charset val="136"/>
      </rPr>
      <t>農林用地：多處農地遭土砂淤埋。</t>
    </r>
    <r>
      <rPr>
        <sz val="12"/>
        <rFont val="Times New Roman"/>
        <family val="1"/>
      </rPr>
      <t xml:space="preserve"> </t>
    </r>
    <r>
      <rPr>
        <sz val="12"/>
        <rFont val="標楷體"/>
        <family val="4"/>
        <charset val="136"/>
      </rPr>
      <t>農林用地多處農地遭土砂淤埋。</t>
    </r>
    <r>
      <rPr>
        <sz val="12"/>
        <rFont val="Times New Roman"/>
        <family val="1"/>
      </rPr>
      <t xml:space="preserve"> </t>
    </r>
    <r>
      <rPr>
        <sz val="12"/>
        <rFont val="標楷體"/>
        <family val="4"/>
        <charset val="136"/>
      </rPr>
      <t>土石淤埋：麗太溪溢淹造成溪流兩側農地道路土砂淤埋。</t>
    </r>
    <r>
      <rPr>
        <sz val="12"/>
        <rFont val="Times New Roman"/>
        <family val="1"/>
      </rPr>
      <t xml:space="preserve">  </t>
    </r>
    <r>
      <rPr>
        <sz val="12"/>
        <rFont val="標楷體"/>
        <family val="4"/>
        <charset val="136"/>
      </rPr>
      <t>土石沖刷：麗太溪於日豐磚廠後方堤防損毀。</t>
    </r>
    <r>
      <rPr>
        <sz val="12"/>
        <rFont val="Times New Roman"/>
        <family val="1"/>
      </rPr>
      <t xml:space="preserve">  </t>
    </r>
    <r>
      <rPr>
        <sz val="12"/>
        <rFont val="標楷體"/>
        <family val="4"/>
        <charset val="136"/>
      </rPr>
      <t>麗太溪多處土漫流改道，多為東富村與南富村中下游河道轉彎處。</t>
    </r>
    <r>
      <rPr>
        <sz val="12"/>
        <rFont val="Times New Roman"/>
        <family val="1"/>
      </rPr>
      <t xml:space="preserve"> </t>
    </r>
    <phoneticPr fontId="5" type="noConversion"/>
  </si>
  <si>
    <t>C0T960</t>
  </si>
  <si>
    <r>
      <rPr>
        <sz val="12"/>
        <rFont val="標楷體"/>
        <family val="4"/>
        <charset val="136"/>
      </rPr>
      <t>光復</t>
    </r>
    <phoneticPr fontId="5" type="noConversion"/>
  </si>
  <si>
    <r>
      <rPr>
        <sz val="12"/>
        <rFont val="標楷體"/>
        <family val="4"/>
        <charset val="136"/>
      </rPr>
      <t>復興部落</t>
    </r>
    <r>
      <rPr>
        <sz val="12"/>
        <rFont val="Times New Roman"/>
        <family val="1"/>
      </rPr>
      <t>(</t>
    </r>
    <r>
      <rPr>
        <sz val="12"/>
        <rFont val="標楷體"/>
        <family val="4"/>
        <charset val="136"/>
      </rPr>
      <t>台</t>
    </r>
    <r>
      <rPr>
        <sz val="12"/>
        <rFont val="Times New Roman"/>
        <family val="1"/>
      </rPr>
      <t xml:space="preserve">11 </t>
    </r>
    <r>
      <rPr>
        <sz val="12"/>
        <rFont val="標楷體"/>
        <family val="4"/>
        <charset val="136"/>
      </rPr>
      <t>線</t>
    </r>
    <r>
      <rPr>
        <sz val="12"/>
        <rFont val="Times New Roman"/>
        <family val="1"/>
      </rPr>
      <t xml:space="preserve">44K </t>
    </r>
    <r>
      <rPr>
        <sz val="12"/>
        <rFont val="標楷體"/>
        <family val="4"/>
        <charset val="136"/>
      </rPr>
      <t>轉復興產業道路</t>
    </r>
    <r>
      <rPr>
        <sz val="12"/>
        <rFont val="Times New Roman"/>
        <family val="1"/>
      </rPr>
      <t>)</t>
    </r>
    <phoneticPr fontId="5" type="noConversion"/>
  </si>
  <si>
    <r>
      <rPr>
        <sz val="12"/>
        <rFont val="標楷體"/>
        <family val="4"/>
        <charset val="136"/>
      </rPr>
      <t>新社村</t>
    </r>
    <phoneticPr fontId="5" type="noConversion"/>
  </si>
  <si>
    <r>
      <rPr>
        <sz val="12"/>
        <rFont val="標楷體"/>
        <family val="4"/>
        <charset val="136"/>
      </rPr>
      <t>花縣</t>
    </r>
    <r>
      <rPr>
        <sz val="12"/>
        <rFont val="Times New Roman"/>
        <family val="1"/>
      </rPr>
      <t>DF099</t>
    </r>
  </si>
  <si>
    <r>
      <rPr>
        <sz val="12"/>
        <rFont val="標楷體"/>
        <family val="4"/>
        <charset val="136"/>
      </rPr>
      <t>加塱溪、大不岸溪與匯流野溪為花縣</t>
    </r>
    <r>
      <rPr>
        <sz val="12"/>
        <rFont val="Times New Roman"/>
        <family val="1"/>
      </rPr>
      <t>DF099</t>
    </r>
    <r>
      <rPr>
        <sz val="12"/>
        <rFont val="標楷體"/>
        <family val="4"/>
        <charset val="136"/>
      </rPr>
      <t>之上游支流，於</t>
    </r>
    <r>
      <rPr>
        <sz val="12"/>
        <rFont val="Times New Roman"/>
        <family val="1"/>
      </rPr>
      <t xml:space="preserve"> 10</t>
    </r>
    <r>
      <rPr>
        <sz val="12"/>
        <rFont val="標楷體"/>
        <family val="4"/>
        <charset val="136"/>
      </rPr>
      <t>月</t>
    </r>
    <r>
      <rPr>
        <sz val="12"/>
        <rFont val="Times New Roman"/>
        <family val="1"/>
      </rPr>
      <t xml:space="preserve"> 16</t>
    </r>
    <r>
      <rPr>
        <sz val="12"/>
        <rFont val="標楷體"/>
        <family val="4"/>
        <charset val="136"/>
      </rPr>
      <t>日時豐濱地區降下豪雨，三條溪流溪水暴漲，其中加塱溪與大不岸溪河道內可見土石堆積，大不岸溪亦有溪水溢流至周圍農耕地的狀況，所幸加塱溪上游整治工程完善，並未造成更嚴重之災情。</t>
    </r>
    <r>
      <rPr>
        <sz val="12"/>
        <rFont val="Times New Roman"/>
        <family val="1"/>
      </rPr>
      <t xml:space="preserve"> </t>
    </r>
    <r>
      <rPr>
        <sz val="12"/>
        <rFont val="標楷體"/>
        <family val="4"/>
        <charset val="136"/>
      </rPr>
      <t>土石淤埋：溪流河道可見石頭遍布。</t>
    </r>
    <r>
      <rPr>
        <sz val="12"/>
        <rFont val="Times New Roman"/>
        <family val="1"/>
      </rPr>
      <t xml:space="preserve"> </t>
    </r>
    <r>
      <rPr>
        <sz val="12"/>
        <rFont val="標楷體"/>
        <family val="4"/>
        <charset val="136"/>
      </rPr>
      <t>土石沖刷：加塱溪河床內固床工淘刷。</t>
    </r>
    <phoneticPr fontId="5" type="noConversion"/>
  </si>
  <si>
    <t>C0T9H0</t>
  </si>
  <si>
    <r>
      <rPr>
        <sz val="12"/>
        <rFont val="標楷體"/>
        <family val="4"/>
        <charset val="136"/>
      </rPr>
      <t>加路蘭山</t>
    </r>
    <phoneticPr fontId="5" type="noConversion"/>
  </si>
  <si>
    <r>
      <rPr>
        <sz val="12"/>
        <rFont val="標楷體"/>
        <family val="4"/>
        <charset val="136"/>
      </rPr>
      <t>六津橋</t>
    </r>
    <r>
      <rPr>
        <sz val="12"/>
        <rFont val="Times New Roman"/>
        <family val="1"/>
      </rPr>
      <t>(</t>
    </r>
    <r>
      <rPr>
        <sz val="12"/>
        <rFont val="標楷體"/>
        <family val="4"/>
        <charset val="136"/>
      </rPr>
      <t>台</t>
    </r>
    <r>
      <rPr>
        <sz val="12"/>
        <rFont val="Times New Roman"/>
        <family val="1"/>
      </rPr>
      <t xml:space="preserve">27 </t>
    </r>
    <r>
      <rPr>
        <sz val="12"/>
        <rFont val="標楷體"/>
        <family val="4"/>
        <charset val="136"/>
      </rPr>
      <t>線</t>
    </r>
    <r>
      <rPr>
        <sz val="12"/>
        <rFont val="Times New Roman"/>
        <family val="1"/>
      </rPr>
      <t>20k)</t>
    </r>
    <phoneticPr fontId="5" type="noConversion"/>
  </si>
  <si>
    <r>
      <rPr>
        <sz val="12"/>
        <rFont val="標楷體"/>
        <family val="4"/>
        <charset val="136"/>
      </rPr>
      <t>大津里</t>
    </r>
    <phoneticPr fontId="5" type="noConversion"/>
  </si>
  <si>
    <r>
      <rPr>
        <sz val="12"/>
        <rFont val="標楷體"/>
        <family val="4"/>
        <charset val="136"/>
      </rPr>
      <t>凡那比颱風</t>
    </r>
  </si>
  <si>
    <r>
      <rPr>
        <sz val="12"/>
        <rFont val="標楷體"/>
        <family val="4"/>
        <charset val="136"/>
      </rPr>
      <t>凡那比颱風降下豪雨，潛勢溪流高縣</t>
    </r>
    <r>
      <rPr>
        <sz val="12"/>
        <rFont val="Times New Roman"/>
        <family val="1"/>
      </rPr>
      <t xml:space="preserve"> DF047</t>
    </r>
    <r>
      <rPr>
        <sz val="12"/>
        <rFont val="標楷體"/>
        <family val="4"/>
        <charset val="136"/>
      </rPr>
      <t>溪水暴漲，挾帶上游原崩塌堆積土石，並淘刷河道兩岸坡地，大量土石沖刷而下，造成本區爆發土石流災害。土石堆積於荖濃溪匯流處，初估量體約</t>
    </r>
    <r>
      <rPr>
        <sz val="12"/>
        <rFont val="Times New Roman"/>
        <family val="1"/>
      </rPr>
      <t xml:space="preserve"> 10 </t>
    </r>
    <r>
      <rPr>
        <sz val="12"/>
        <rFont val="標楷體"/>
        <family val="4"/>
        <charset val="136"/>
      </rPr>
      <t>萬立方公尺，高縣</t>
    </r>
    <r>
      <rPr>
        <sz val="12"/>
        <rFont val="Times New Roman"/>
        <family val="1"/>
      </rPr>
      <t xml:space="preserve"> DF047 </t>
    </r>
    <r>
      <rPr>
        <sz val="12"/>
        <rFont val="標楷體"/>
        <family val="4"/>
        <charset val="136"/>
      </rPr>
      <t>河道因土石淤埋抬昇約</t>
    </r>
    <r>
      <rPr>
        <sz val="12"/>
        <rFont val="Times New Roman"/>
        <family val="1"/>
      </rPr>
      <t>3</t>
    </r>
    <r>
      <rPr>
        <sz val="12"/>
        <rFont val="標楷體"/>
        <family val="4"/>
        <charset val="136"/>
      </rPr>
      <t>公尺，台</t>
    </r>
    <r>
      <rPr>
        <sz val="12"/>
        <rFont val="Times New Roman"/>
        <family val="1"/>
      </rPr>
      <t xml:space="preserve"> 27</t>
    </r>
    <r>
      <rPr>
        <sz val="12"/>
        <rFont val="標楷體"/>
        <family val="4"/>
        <charset val="136"/>
      </rPr>
      <t>線部分路段、六津橋及當地公用蓄水池亦遭土石掩埋。</t>
    </r>
    <r>
      <rPr>
        <sz val="12"/>
        <rFont val="Times New Roman"/>
        <family val="1"/>
      </rPr>
      <t xml:space="preserve">  </t>
    </r>
    <r>
      <rPr>
        <sz val="12"/>
        <rFont val="標楷體"/>
        <family val="4"/>
        <charset val="136"/>
      </rPr>
      <t>土石堵塞：土石淤埋高縣</t>
    </r>
    <r>
      <rPr>
        <sz val="12"/>
        <rFont val="Times New Roman"/>
        <family val="1"/>
      </rPr>
      <t xml:space="preserve"> DF047</t>
    </r>
    <r>
      <rPr>
        <sz val="12"/>
        <rFont val="標楷體"/>
        <family val="4"/>
        <charset val="136"/>
      </rPr>
      <t>，造成河道斷面縮小。</t>
    </r>
    <r>
      <rPr>
        <sz val="12"/>
        <rFont val="Times New Roman"/>
        <family val="1"/>
      </rPr>
      <t xml:space="preserve"> </t>
    </r>
    <r>
      <rPr>
        <sz val="12"/>
        <rFont val="標楷體"/>
        <family val="4"/>
        <charset val="136"/>
      </rPr>
      <t>土石淤埋：台</t>
    </r>
    <r>
      <rPr>
        <sz val="12"/>
        <rFont val="Times New Roman"/>
        <family val="1"/>
      </rPr>
      <t xml:space="preserve"> 27</t>
    </r>
    <r>
      <rPr>
        <sz val="12"/>
        <rFont val="標楷體"/>
        <family val="4"/>
        <charset val="136"/>
      </rPr>
      <t>線部分路段、六津橋、蓄水池遭土石掩埋。</t>
    </r>
    <r>
      <rPr>
        <sz val="12"/>
        <rFont val="Times New Roman"/>
        <family val="1"/>
      </rPr>
      <t xml:space="preserve"> </t>
    </r>
    <r>
      <rPr>
        <sz val="12"/>
        <rFont val="標楷體"/>
        <family val="4"/>
        <charset val="136"/>
      </rPr>
      <t>道路毀損：約</t>
    </r>
    <r>
      <rPr>
        <sz val="12"/>
        <rFont val="Times New Roman"/>
        <family val="1"/>
      </rPr>
      <t xml:space="preserve"> 100</t>
    </r>
    <r>
      <rPr>
        <sz val="12"/>
        <rFont val="標楷體"/>
        <family val="4"/>
        <charset val="136"/>
      </rPr>
      <t>公尺。</t>
    </r>
    <r>
      <rPr>
        <sz val="12"/>
        <rFont val="Times New Roman"/>
        <family val="1"/>
      </rPr>
      <t xml:space="preserve"> </t>
    </r>
    <phoneticPr fontId="5" type="noConversion"/>
  </si>
  <si>
    <r>
      <rPr>
        <sz val="12"/>
        <rFont val="標楷體"/>
        <family val="4"/>
        <charset val="136"/>
      </rPr>
      <t>津鳳宮</t>
    </r>
    <r>
      <rPr>
        <sz val="12"/>
        <rFont val="Times New Roman"/>
        <family val="1"/>
      </rPr>
      <t>(</t>
    </r>
    <r>
      <rPr>
        <sz val="12"/>
        <rFont val="標楷體"/>
        <family val="4"/>
        <charset val="136"/>
      </rPr>
      <t>台</t>
    </r>
    <r>
      <rPr>
        <sz val="12"/>
        <rFont val="Times New Roman"/>
        <family val="1"/>
      </rPr>
      <t xml:space="preserve">27 </t>
    </r>
    <r>
      <rPr>
        <sz val="12"/>
        <rFont val="標楷體"/>
        <family val="4"/>
        <charset val="136"/>
      </rPr>
      <t>線</t>
    </r>
    <r>
      <rPr>
        <sz val="12"/>
        <rFont val="Times New Roman"/>
        <family val="1"/>
      </rPr>
      <t>22.5k)</t>
    </r>
    <phoneticPr fontId="5" type="noConversion"/>
  </si>
  <si>
    <r>
      <rPr>
        <sz val="12"/>
        <rFont val="標楷體"/>
        <family val="4"/>
        <charset val="136"/>
      </rPr>
      <t>土石流潛勢溪高縣</t>
    </r>
    <r>
      <rPr>
        <sz val="12"/>
        <rFont val="Times New Roman"/>
        <family val="1"/>
      </rPr>
      <t xml:space="preserve"> DF072 </t>
    </r>
    <r>
      <rPr>
        <sz val="12"/>
        <rFont val="標楷體"/>
        <family val="4"/>
        <charset val="136"/>
      </rPr>
      <t>上游山坡地多有零星崩塌，因本次凡那比颱風造成上游崩塌地擴大，原崩塌堆積土砂及新增崩塌土石經溪水運移至下游，河道內多數土石淤埋，所幸下游治理工程完善，並未對津鳳宮週邊民宅造成嚴重損害。</t>
    </r>
    <r>
      <rPr>
        <sz val="12"/>
        <rFont val="Times New Roman"/>
        <family val="1"/>
      </rPr>
      <t xml:space="preserve">  </t>
    </r>
    <r>
      <rPr>
        <sz val="12"/>
        <rFont val="標楷體"/>
        <family val="4"/>
        <charset val="136"/>
      </rPr>
      <t>土石淤埋：約</t>
    </r>
    <r>
      <rPr>
        <sz val="12"/>
        <rFont val="Times New Roman"/>
        <family val="1"/>
      </rPr>
      <t xml:space="preserve"> 200 </t>
    </r>
    <r>
      <rPr>
        <sz val="12"/>
        <rFont val="標楷體"/>
        <family val="4"/>
        <charset val="136"/>
      </rPr>
      <t>立方公尺之土石堆積於土石流潛勢溪</t>
    </r>
    <r>
      <rPr>
        <sz val="12"/>
        <rFont val="Times New Roman"/>
        <family val="1"/>
      </rPr>
      <t xml:space="preserve"> DF072 </t>
    </r>
    <r>
      <rPr>
        <sz val="12"/>
        <rFont val="標楷體"/>
        <family val="4"/>
        <charset val="136"/>
      </rPr>
      <t>河道。</t>
    </r>
    <r>
      <rPr>
        <sz val="12"/>
        <rFont val="Times New Roman"/>
        <family val="1"/>
      </rPr>
      <t xml:space="preserve"> </t>
    </r>
    <phoneticPr fontId="5" type="noConversion"/>
  </si>
  <si>
    <r>
      <rPr>
        <sz val="12"/>
        <rFont val="標楷體"/>
        <family val="4"/>
        <charset val="136"/>
      </rPr>
      <t>六龜國中</t>
    </r>
    <phoneticPr fontId="5" type="noConversion"/>
  </si>
  <si>
    <r>
      <rPr>
        <sz val="12"/>
        <rFont val="標楷體"/>
        <family val="4"/>
        <charset val="136"/>
      </rPr>
      <t>文武里</t>
    </r>
    <phoneticPr fontId="5" type="noConversion"/>
  </si>
  <si>
    <r>
      <rPr>
        <sz val="12"/>
        <rFont val="標楷體"/>
        <family val="4"/>
        <charset val="136"/>
      </rPr>
      <t>高市</t>
    </r>
    <r>
      <rPr>
        <sz val="12"/>
        <rFont val="Times New Roman"/>
        <family val="1"/>
      </rPr>
      <t>DF074</t>
    </r>
    <phoneticPr fontId="5" type="noConversion"/>
  </si>
  <si>
    <r>
      <rPr>
        <sz val="12"/>
        <rFont val="標楷體"/>
        <family val="4"/>
        <charset val="136"/>
      </rPr>
      <t>土石淤埋：上游農舍前土石淤埋，面積估計約</t>
    </r>
    <r>
      <rPr>
        <sz val="12"/>
        <rFont val="Times New Roman"/>
        <family val="1"/>
      </rPr>
      <t>3,000</t>
    </r>
    <r>
      <rPr>
        <sz val="12"/>
        <rFont val="標楷體"/>
        <family val="4"/>
        <charset val="136"/>
      </rPr>
      <t>平方公尺；約</t>
    </r>
    <r>
      <rPr>
        <sz val="12"/>
        <rFont val="Times New Roman"/>
        <family val="1"/>
      </rPr>
      <t xml:space="preserve"> 200</t>
    </r>
    <r>
      <rPr>
        <sz val="12"/>
        <rFont val="標楷體"/>
        <family val="4"/>
        <charset val="136"/>
      </rPr>
      <t>立方公尺之土石堆積於高縣</t>
    </r>
    <r>
      <rPr>
        <sz val="12"/>
        <rFont val="Times New Roman"/>
        <family val="1"/>
      </rPr>
      <t xml:space="preserve"> DF071</t>
    </r>
    <r>
      <rPr>
        <sz val="12"/>
        <rFont val="標楷體"/>
        <family val="4"/>
        <charset val="136"/>
      </rPr>
      <t>河道。</t>
    </r>
    <r>
      <rPr>
        <sz val="12"/>
        <rFont val="Times New Roman"/>
        <family val="1"/>
      </rPr>
      <t xml:space="preserve"> </t>
    </r>
    <r>
      <rPr>
        <sz val="12"/>
        <rFont val="標楷體"/>
        <family val="4"/>
        <charset val="136"/>
      </rPr>
      <t>土石堵塞：無名橋孔遭漂流木，造成高縣</t>
    </r>
    <r>
      <rPr>
        <sz val="12"/>
        <rFont val="Times New Roman"/>
        <family val="1"/>
      </rPr>
      <t>DF071</t>
    </r>
    <r>
      <rPr>
        <sz val="12"/>
        <rFont val="標楷體"/>
        <family val="4"/>
        <charset val="136"/>
      </rPr>
      <t>溢淹。</t>
    </r>
    <r>
      <rPr>
        <sz val="12"/>
        <rFont val="Times New Roman"/>
        <family val="1"/>
      </rPr>
      <t xml:space="preserve"> </t>
    </r>
    <r>
      <rPr>
        <sz val="12"/>
        <rFont val="標楷體"/>
        <family val="4"/>
        <charset val="136"/>
      </rPr>
      <t>土石沖刷：河道轉彎處邊坡沖刷，光明路</t>
    </r>
    <r>
      <rPr>
        <sz val="12"/>
        <rFont val="Times New Roman"/>
        <family val="1"/>
      </rPr>
      <t xml:space="preserve"> 15</t>
    </r>
    <r>
      <rPr>
        <sz val="12"/>
        <rFont val="標楷體"/>
        <family val="4"/>
        <charset val="136"/>
      </rPr>
      <t>號黃姓居民果園與蓄水池基礎淘刷，河道大幅改道。</t>
    </r>
    <r>
      <rPr>
        <sz val="12"/>
        <rFont val="Times New Roman"/>
        <family val="1"/>
      </rPr>
      <t xml:space="preserve">  </t>
    </r>
    <r>
      <rPr>
        <sz val="12"/>
        <rFont val="標楷體"/>
        <family val="4"/>
        <charset val="136"/>
      </rPr>
      <t>土石漫流改道：因水堵塞導致苦苓坑溪溪流漫流、六龜高中後方無名橋處苦苓坑溪溪水漫流，溢淹至六龜高中，淹水深度約達</t>
    </r>
    <r>
      <rPr>
        <sz val="12"/>
        <rFont val="Times New Roman"/>
        <family val="1"/>
      </rPr>
      <t xml:space="preserve"> 50 </t>
    </r>
    <r>
      <rPr>
        <sz val="12"/>
        <rFont val="標楷體"/>
        <family val="4"/>
        <charset val="136"/>
      </rPr>
      <t>公分。</t>
    </r>
    <r>
      <rPr>
        <sz val="12"/>
        <rFont val="Times New Roman"/>
        <family val="1"/>
      </rPr>
      <t xml:space="preserve"> </t>
    </r>
    <phoneticPr fontId="5" type="noConversion"/>
  </si>
  <si>
    <r>
      <rPr>
        <sz val="12"/>
        <rFont val="標楷體"/>
        <family val="4"/>
        <charset val="136"/>
      </rPr>
      <t>大津社區活動中心北側野溪</t>
    </r>
    <r>
      <rPr>
        <sz val="12"/>
        <rFont val="Times New Roman"/>
        <family val="1"/>
      </rPr>
      <t>(</t>
    </r>
    <r>
      <rPr>
        <sz val="12"/>
        <rFont val="標楷體"/>
        <family val="4"/>
        <charset val="136"/>
      </rPr>
      <t>台</t>
    </r>
    <r>
      <rPr>
        <sz val="12"/>
        <rFont val="Times New Roman"/>
        <family val="1"/>
      </rPr>
      <t xml:space="preserve">27 </t>
    </r>
    <r>
      <rPr>
        <sz val="12"/>
        <rFont val="標楷體"/>
        <family val="4"/>
        <charset val="136"/>
      </rPr>
      <t>線</t>
    </r>
    <r>
      <rPr>
        <sz val="12"/>
        <rFont val="Times New Roman"/>
        <family val="1"/>
      </rPr>
      <t>23.7k)</t>
    </r>
    <phoneticPr fontId="5" type="noConversion"/>
  </si>
  <si>
    <r>
      <rPr>
        <sz val="12"/>
        <rFont val="標楷體"/>
        <family val="4"/>
        <charset val="136"/>
      </rPr>
      <t>凡那比颱風為六龜地區帶來急促雨勢，其中大津村之社區活動中心以北約</t>
    </r>
    <r>
      <rPr>
        <sz val="12"/>
        <rFont val="Times New Roman"/>
        <family val="1"/>
      </rPr>
      <t xml:space="preserve"> 250 </t>
    </r>
    <r>
      <rPr>
        <sz val="12"/>
        <rFont val="標楷體"/>
        <family val="4"/>
        <charset val="136"/>
      </rPr>
      <t>公尺處之野溪因溪水暴漲，將上游零星崩塌處土石帶至台</t>
    </r>
    <r>
      <rPr>
        <sz val="12"/>
        <rFont val="Times New Roman"/>
        <family val="1"/>
      </rPr>
      <t xml:space="preserve"> 27</t>
    </r>
    <r>
      <rPr>
        <sz val="12"/>
        <rFont val="標楷體"/>
        <family val="4"/>
        <charset val="136"/>
      </rPr>
      <t>線造成省道台</t>
    </r>
    <r>
      <rPr>
        <sz val="12"/>
        <rFont val="Times New Roman"/>
        <family val="1"/>
      </rPr>
      <t xml:space="preserve"> 27</t>
    </r>
    <r>
      <rPr>
        <sz val="12"/>
        <rFont val="標楷體"/>
        <family val="4"/>
        <charset val="136"/>
      </rPr>
      <t>線交通阻斷，所幸尚未對於周圍民宅造成破壞。</t>
    </r>
    <r>
      <rPr>
        <sz val="12"/>
        <rFont val="Times New Roman"/>
        <family val="1"/>
      </rPr>
      <t xml:space="preserve"> </t>
    </r>
    <r>
      <rPr>
        <sz val="12"/>
        <rFont val="標楷體"/>
        <family val="4"/>
        <charset val="136"/>
      </rPr>
      <t>土石淤埋：約</t>
    </r>
    <r>
      <rPr>
        <sz val="12"/>
        <rFont val="Times New Roman"/>
        <family val="1"/>
      </rPr>
      <t xml:space="preserve"> 600</t>
    </r>
    <r>
      <rPr>
        <sz val="12"/>
        <rFont val="標楷體"/>
        <family val="4"/>
        <charset val="136"/>
      </rPr>
      <t>立方公尺之土石堆積於台</t>
    </r>
    <r>
      <rPr>
        <sz val="12"/>
        <rFont val="Times New Roman"/>
        <family val="1"/>
      </rPr>
      <t xml:space="preserve"> 27</t>
    </r>
    <r>
      <rPr>
        <sz val="12"/>
        <rFont val="標楷體"/>
        <family val="4"/>
        <charset val="136"/>
      </rPr>
      <t>線，另有大量土石淤埋河道。</t>
    </r>
    <r>
      <rPr>
        <sz val="12"/>
        <rFont val="Times New Roman"/>
        <family val="1"/>
      </rPr>
      <t xml:space="preserve"> </t>
    </r>
    <r>
      <rPr>
        <sz val="12"/>
        <rFont val="標楷體"/>
        <family val="4"/>
        <charset val="136"/>
      </rPr>
      <t>土石塞：台</t>
    </r>
    <r>
      <rPr>
        <sz val="12"/>
        <rFont val="Times New Roman"/>
        <family val="1"/>
      </rPr>
      <t xml:space="preserve"> 27</t>
    </r>
    <r>
      <rPr>
        <sz val="12"/>
        <rFont val="標楷體"/>
        <family val="4"/>
        <charset val="136"/>
      </rPr>
      <t>線箱涵與</t>
    </r>
    <r>
      <rPr>
        <sz val="12"/>
        <rFont val="Times New Roman"/>
        <family val="1"/>
      </rPr>
      <t xml:space="preserve"> 89</t>
    </r>
    <r>
      <rPr>
        <sz val="12"/>
        <rFont val="標楷體"/>
        <family val="4"/>
        <charset val="136"/>
      </rPr>
      <t>號民宅前過水版橋下遭溪流挾帶之土石堵塞。</t>
    </r>
    <phoneticPr fontId="5" type="noConversion"/>
  </si>
  <si>
    <r>
      <rPr>
        <sz val="12"/>
        <rFont val="標楷體"/>
        <family val="4"/>
        <charset val="136"/>
      </rPr>
      <t>來義鄉南和村</t>
    </r>
    <r>
      <rPr>
        <sz val="12"/>
        <rFont val="Times New Roman"/>
        <family val="1"/>
      </rPr>
      <t>(</t>
    </r>
    <r>
      <rPr>
        <sz val="12"/>
        <rFont val="標楷體"/>
        <family val="4"/>
        <charset val="136"/>
      </rPr>
      <t>南和社區</t>
    </r>
    <r>
      <rPr>
        <sz val="12"/>
        <rFont val="Times New Roman"/>
        <family val="1"/>
      </rPr>
      <t>)</t>
    </r>
  </si>
  <si>
    <r>
      <rPr>
        <sz val="12"/>
        <rFont val="標楷體"/>
        <family val="4"/>
        <charset val="136"/>
      </rPr>
      <t>南和村</t>
    </r>
    <phoneticPr fontId="5" type="noConversion"/>
  </si>
  <si>
    <r>
      <rPr>
        <sz val="12"/>
        <rFont val="標楷體"/>
        <family val="4"/>
        <charset val="136"/>
      </rPr>
      <t>凡那比颱風期間，南和村社區活動中心旁發生沖蝕災害，逕流挾帶土砂淤埋活動中心前方廣場、周邊排水溝及屏</t>
    </r>
    <r>
      <rPr>
        <sz val="12"/>
        <rFont val="Times New Roman"/>
        <family val="1"/>
      </rPr>
      <t xml:space="preserve"> 115</t>
    </r>
    <r>
      <rPr>
        <sz val="12"/>
        <rFont val="標楷體"/>
        <family val="4"/>
        <charset val="136"/>
      </rPr>
      <t>線。</t>
    </r>
    <r>
      <rPr>
        <sz val="12"/>
        <rFont val="Times New Roman"/>
        <family val="1"/>
      </rPr>
      <t xml:space="preserve"> </t>
    </r>
    <r>
      <rPr>
        <sz val="12"/>
        <rFont val="標楷體"/>
        <family val="4"/>
        <charset val="136"/>
      </rPr>
      <t>民宅後方沖蝕溝發生砂溢流，部分民宅遭土砂泥流入侵。</t>
    </r>
    <r>
      <rPr>
        <sz val="12"/>
        <rFont val="Times New Roman"/>
        <family val="1"/>
      </rPr>
      <t xml:space="preserve"> </t>
    </r>
    <r>
      <rPr>
        <sz val="12"/>
        <rFont val="標楷體"/>
        <family val="4"/>
        <charset val="136"/>
      </rPr>
      <t>前期施作之排水工程遭蝕溝挾帶之土砂淤滿，造成南和村</t>
    </r>
    <r>
      <rPr>
        <sz val="12"/>
        <rFont val="Times New Roman"/>
        <family val="1"/>
      </rPr>
      <t xml:space="preserve"> 1</t>
    </r>
    <r>
      <rPr>
        <sz val="12"/>
        <rFont val="標楷體"/>
        <family val="4"/>
        <charset val="136"/>
      </rPr>
      <t>戶民宅淹水。</t>
    </r>
    <r>
      <rPr>
        <sz val="12"/>
        <rFont val="Times New Roman"/>
        <family val="1"/>
      </rPr>
      <t xml:space="preserve">  </t>
    </r>
    <r>
      <rPr>
        <sz val="12"/>
        <rFont val="標楷體"/>
        <family val="4"/>
        <charset val="136"/>
      </rPr>
      <t>南和大橋下游右岸土堤及溪底便遭洪水沖毀，部分消波塊毀損流失。</t>
    </r>
    <r>
      <rPr>
        <sz val="12"/>
        <rFont val="Times New Roman"/>
        <family val="1"/>
      </rPr>
      <t xml:space="preserve">  </t>
    </r>
    <r>
      <rPr>
        <sz val="12"/>
        <rFont val="標楷體"/>
        <family val="4"/>
        <charset val="136"/>
      </rPr>
      <t>房屋受損：共</t>
    </r>
    <r>
      <rPr>
        <sz val="12"/>
        <rFont val="Times New Roman"/>
        <family val="1"/>
      </rPr>
      <t>8</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200</t>
    </r>
    <r>
      <rPr>
        <sz val="12"/>
        <rFont val="標楷體"/>
        <family val="4"/>
        <charset val="136"/>
      </rPr>
      <t>公尺。</t>
    </r>
    <phoneticPr fontId="5" type="noConversion"/>
  </si>
  <si>
    <r>
      <rPr>
        <sz val="12"/>
        <rFont val="標楷體"/>
        <family val="4"/>
        <charset val="136"/>
      </rPr>
      <t>來義鄉義林村</t>
    </r>
    <r>
      <rPr>
        <sz val="12"/>
        <rFont val="Times New Roman"/>
        <family val="1"/>
      </rPr>
      <t>(</t>
    </r>
    <r>
      <rPr>
        <sz val="12"/>
        <rFont val="標楷體"/>
        <family val="4"/>
        <charset val="136"/>
      </rPr>
      <t>義林部落</t>
    </r>
    <r>
      <rPr>
        <sz val="12"/>
        <rFont val="Times New Roman"/>
        <family val="1"/>
      </rPr>
      <t>)</t>
    </r>
  </si>
  <si>
    <r>
      <rPr>
        <sz val="12"/>
        <rFont val="標楷體"/>
        <family val="4"/>
        <charset val="136"/>
      </rPr>
      <t>義林村</t>
    </r>
    <phoneticPr fontId="5" type="noConversion"/>
  </si>
  <si>
    <r>
      <rPr>
        <sz val="12"/>
        <rFont val="標楷體"/>
        <family val="4"/>
        <charset val="136"/>
      </rPr>
      <t>屏縣</t>
    </r>
    <r>
      <rPr>
        <sz val="12"/>
        <rFont val="Times New Roman"/>
        <family val="1"/>
      </rPr>
      <t>DF026</t>
    </r>
  </si>
  <si>
    <r>
      <rPr>
        <sz val="12"/>
        <rFont val="標楷體"/>
        <family val="4"/>
        <charset val="136"/>
      </rPr>
      <t>凡那比颱風帶來之豪雨挾帶野溪中原堆積土砂宣洩而下，土砂堵塞義林部落內聯外道路箱涵而溢流，導致義林村暴發洪水災情。</t>
    </r>
    <r>
      <rPr>
        <sz val="12"/>
        <rFont val="Times New Roman"/>
        <family val="1"/>
      </rPr>
      <t xml:space="preserve"> </t>
    </r>
    <r>
      <rPr>
        <sz val="12"/>
        <rFont val="標楷體"/>
        <family val="4"/>
        <charset val="136"/>
      </rPr>
      <t>義林托兒所活動中心前遭土砂淤埋；屏</t>
    </r>
    <r>
      <rPr>
        <sz val="12"/>
        <rFont val="Times New Roman"/>
        <family val="1"/>
      </rPr>
      <t xml:space="preserve"> 110</t>
    </r>
    <r>
      <rPr>
        <sz val="12"/>
        <rFont val="標楷體"/>
        <family val="4"/>
        <charset val="136"/>
      </rPr>
      <t>線遭土石淤埋、</t>
    </r>
    <r>
      <rPr>
        <sz val="12"/>
        <rFont val="Times New Roman"/>
        <family val="1"/>
      </rPr>
      <t>5</t>
    </r>
    <r>
      <rPr>
        <sz val="12"/>
        <rFont val="標楷體"/>
        <family val="4"/>
        <charset val="136"/>
      </rPr>
      <t>戶民宅遭土石入侵。</t>
    </r>
    <r>
      <rPr>
        <sz val="12"/>
        <rFont val="Times New Roman"/>
        <family val="1"/>
      </rPr>
      <t xml:space="preserve">  </t>
    </r>
    <r>
      <rPr>
        <sz val="12"/>
        <rFont val="標楷體"/>
        <family val="4"/>
        <charset val="136"/>
      </rPr>
      <t>房屋受損：約</t>
    </r>
    <r>
      <rPr>
        <sz val="12"/>
        <rFont val="Times New Roman"/>
        <family val="1"/>
      </rPr>
      <t xml:space="preserve"> 7</t>
    </r>
    <r>
      <rPr>
        <sz val="12"/>
        <rFont val="標楷體"/>
        <family val="4"/>
        <charset val="136"/>
      </rPr>
      <t>棟</t>
    </r>
    <r>
      <rPr>
        <sz val="12"/>
        <rFont val="Times New Roman"/>
        <family val="1"/>
      </rPr>
      <t xml:space="preserve"> </t>
    </r>
    <r>
      <rPr>
        <sz val="12"/>
        <rFont val="標楷體"/>
        <family val="4"/>
        <charset val="136"/>
      </rPr>
      <t>。</t>
    </r>
    <r>
      <rPr>
        <sz val="12"/>
        <rFont val="Times New Roman"/>
        <family val="1"/>
      </rPr>
      <t xml:space="preserve"> </t>
    </r>
    <r>
      <rPr>
        <sz val="12"/>
        <rFont val="標楷體"/>
        <family val="4"/>
        <charset val="136"/>
      </rPr>
      <t>道路毀損：約</t>
    </r>
    <r>
      <rPr>
        <sz val="12"/>
        <rFont val="Times New Roman"/>
        <family val="1"/>
      </rPr>
      <t xml:space="preserve"> 200</t>
    </r>
    <r>
      <rPr>
        <sz val="12"/>
        <rFont val="標楷體"/>
        <family val="4"/>
        <charset val="136"/>
      </rPr>
      <t>公尺。</t>
    </r>
    <r>
      <rPr>
        <sz val="12"/>
        <rFont val="Times New Roman"/>
        <family val="1"/>
      </rPr>
      <t xml:space="preserve"> </t>
    </r>
    <phoneticPr fontId="5" type="noConversion"/>
  </si>
  <si>
    <r>
      <rPr>
        <sz val="12"/>
        <rFont val="標楷體"/>
        <family val="4"/>
        <charset val="136"/>
      </rPr>
      <t>頂濃橋。台</t>
    </r>
    <r>
      <rPr>
        <sz val="12"/>
        <rFont val="Times New Roman"/>
        <family val="1"/>
      </rPr>
      <t>20</t>
    </r>
    <r>
      <rPr>
        <sz val="12"/>
        <rFont val="標楷體"/>
        <family val="4"/>
        <charset val="136"/>
      </rPr>
      <t>線</t>
    </r>
    <r>
      <rPr>
        <sz val="12"/>
        <rFont val="Times New Roman"/>
        <family val="1"/>
      </rPr>
      <t>75.2k</t>
    </r>
  </si>
  <si>
    <r>
      <rPr>
        <sz val="12"/>
        <rFont val="標楷體"/>
        <family val="4"/>
        <charset val="136"/>
      </rPr>
      <t>荖濃里</t>
    </r>
  </si>
  <si>
    <r>
      <rPr>
        <sz val="12"/>
        <rFont val="標楷體"/>
        <family val="4"/>
        <charset val="136"/>
      </rPr>
      <t>高市</t>
    </r>
    <r>
      <rPr>
        <sz val="12"/>
        <rFont val="Times New Roman"/>
        <family val="1"/>
      </rPr>
      <t>DF097</t>
    </r>
    <phoneticPr fontId="5" type="noConversion"/>
  </si>
  <si>
    <r>
      <rPr>
        <sz val="12"/>
        <rFont val="標楷體"/>
        <family val="4"/>
        <charset val="136"/>
      </rPr>
      <t>頂濃橋上游坡地自從前年起經過卡玫基、薔蜜與莫拉克等颱風即產生大量坡地崩塌，本次凡那比颱風造成上方坡地再次崩塌，去年莫拉克颱風後整理之堆土亦坍塌進入河道，造成河道堵塞，造成頂濃橋處河道溢淹，溪水漫流至台</t>
    </r>
    <r>
      <rPr>
        <sz val="12"/>
        <rFont val="Times New Roman"/>
        <family val="1"/>
      </rPr>
      <t xml:space="preserve"> 20 </t>
    </r>
    <r>
      <rPr>
        <sz val="12"/>
        <rFont val="標楷體"/>
        <family val="4"/>
        <charset val="136"/>
      </rPr>
      <t>線。</t>
    </r>
    <phoneticPr fontId="5" type="noConversion"/>
  </si>
  <si>
    <t>C1v240</t>
  </si>
  <si>
    <r>
      <rPr>
        <sz val="12"/>
        <rFont val="標楷體"/>
        <family val="4"/>
        <charset val="136"/>
      </rPr>
      <t>崩塌、洪水、土石流</t>
    </r>
    <phoneticPr fontId="5" type="noConversion"/>
  </si>
  <si>
    <r>
      <rPr>
        <sz val="12"/>
        <rFont val="標楷體"/>
        <family val="4"/>
        <charset val="136"/>
      </rPr>
      <t>東、西部落。來義一號橋</t>
    </r>
  </si>
  <si>
    <r>
      <rPr>
        <sz val="12"/>
        <rFont val="標楷體"/>
        <family val="4"/>
        <charset val="136"/>
      </rPr>
      <t>來義鄉</t>
    </r>
  </si>
  <si>
    <r>
      <rPr>
        <sz val="12"/>
        <rFont val="標楷體"/>
        <family val="4"/>
        <charset val="136"/>
      </rPr>
      <t>災區上游集水區及來社溪沿岸於莫拉克颱風時發生多處崩塌，土石嚴重淤積河道，本次凡那比颱風造成崩塌持續擴大，溪水挾帶土砂運移堆積災區形成洪水災害。</t>
    </r>
    <r>
      <rPr>
        <sz val="12"/>
        <rFont val="Times New Roman"/>
        <family val="1"/>
      </rPr>
      <t xml:space="preserve"> </t>
    </r>
    <r>
      <rPr>
        <sz val="12"/>
        <rFont val="標楷體"/>
        <family val="4"/>
        <charset val="136"/>
      </rPr>
      <t>莫拉克颱風後設置之臨時土堤潰決，洪水挾帶土砂溢淹至部落，使東、西部落內大部分民宅受災，掩埋深度最深約達</t>
    </r>
    <r>
      <rPr>
        <sz val="12"/>
        <rFont val="Times New Roman"/>
        <family val="1"/>
      </rPr>
      <t xml:space="preserve"> 1 </t>
    </r>
    <r>
      <rPr>
        <sz val="12"/>
        <rFont val="標楷體"/>
        <family val="4"/>
        <charset val="136"/>
      </rPr>
      <t>層樓高，來社橋遭沖毀。</t>
    </r>
    <r>
      <rPr>
        <sz val="12"/>
        <rFont val="Times New Roman"/>
        <family val="1"/>
      </rPr>
      <t xml:space="preserve"> </t>
    </r>
    <r>
      <rPr>
        <sz val="12"/>
        <rFont val="標楷體"/>
        <family val="4"/>
        <charset val="136"/>
      </rPr>
      <t>房屋受損：約</t>
    </r>
    <r>
      <rPr>
        <sz val="12"/>
        <rFont val="Times New Roman"/>
        <family val="1"/>
      </rPr>
      <t xml:space="preserve"> 52</t>
    </r>
    <r>
      <rPr>
        <sz val="12"/>
        <rFont val="標楷體"/>
        <family val="4"/>
        <charset val="136"/>
      </rPr>
      <t>棟。</t>
    </r>
    <r>
      <rPr>
        <sz val="12"/>
        <rFont val="Times New Roman"/>
        <family val="1"/>
      </rPr>
      <t xml:space="preserve"> </t>
    </r>
    <r>
      <rPr>
        <sz val="12"/>
        <rFont val="標楷體"/>
        <family val="4"/>
        <charset val="136"/>
      </rPr>
      <t>道路毀損：約</t>
    </r>
    <r>
      <rPr>
        <sz val="12"/>
        <rFont val="Times New Roman"/>
        <family val="1"/>
      </rPr>
      <t xml:space="preserve"> 3,000</t>
    </r>
    <r>
      <rPr>
        <sz val="12"/>
        <rFont val="標楷體"/>
        <family val="4"/>
        <charset val="136"/>
      </rPr>
      <t>公尺。</t>
    </r>
    <phoneticPr fontId="5" type="noConversion"/>
  </si>
  <si>
    <r>
      <rPr>
        <sz val="12"/>
        <rFont val="標楷體"/>
        <family val="4"/>
        <charset val="136"/>
      </rPr>
      <t>七堵區瑪東里</t>
    </r>
    <r>
      <rPr>
        <sz val="12"/>
        <rFont val="Times New Roman"/>
        <family val="1"/>
      </rPr>
      <t>(</t>
    </r>
    <r>
      <rPr>
        <sz val="12"/>
        <rFont val="標楷體"/>
        <family val="4"/>
        <charset val="136"/>
      </rPr>
      <t>國道</t>
    </r>
    <r>
      <rPr>
        <sz val="12"/>
        <rFont val="Times New Roman"/>
        <family val="1"/>
      </rPr>
      <t>3</t>
    </r>
    <r>
      <rPr>
        <sz val="12"/>
        <rFont val="標楷體"/>
        <family val="4"/>
        <charset val="136"/>
      </rPr>
      <t>號</t>
    </r>
    <r>
      <rPr>
        <sz val="12"/>
        <rFont val="Times New Roman"/>
        <family val="1"/>
      </rPr>
      <t>3.1K</t>
    </r>
    <r>
      <rPr>
        <sz val="12"/>
        <rFont val="標楷體"/>
        <family val="4"/>
        <charset val="136"/>
      </rPr>
      <t>處</t>
    </r>
    <r>
      <rPr>
        <sz val="12"/>
        <rFont val="Times New Roman"/>
        <family val="1"/>
      </rPr>
      <t>)</t>
    </r>
  </si>
  <si>
    <r>
      <rPr>
        <sz val="12"/>
        <rFont val="標楷體"/>
        <family val="4"/>
        <charset val="136"/>
      </rPr>
      <t>基隆市</t>
    </r>
  </si>
  <si>
    <r>
      <rPr>
        <sz val="12"/>
        <rFont val="標楷體"/>
        <family val="4"/>
        <charset val="136"/>
      </rPr>
      <t>七堵區</t>
    </r>
  </si>
  <si>
    <r>
      <rPr>
        <sz val="12"/>
        <rFont val="標楷體"/>
        <family val="4"/>
        <charset val="136"/>
      </rPr>
      <t>瑪東里</t>
    </r>
  </si>
  <si>
    <r>
      <rPr>
        <sz val="12"/>
        <rFont val="標楷體"/>
        <family val="4"/>
        <charset val="136"/>
      </rPr>
      <t>其他</t>
    </r>
  </si>
  <si>
    <r>
      <rPr>
        <sz val="12"/>
        <rFont val="標楷體"/>
        <family val="4"/>
        <charset val="136"/>
      </rPr>
      <t>國道</t>
    </r>
    <r>
      <rPr>
        <sz val="12"/>
        <rFont val="Times New Roman"/>
        <family val="1"/>
      </rPr>
      <t xml:space="preserve"> 3 </t>
    </r>
    <r>
      <rPr>
        <sz val="12"/>
        <rFont val="標楷體"/>
        <family val="4"/>
        <charset val="136"/>
      </rPr>
      <t>號</t>
    </r>
    <r>
      <rPr>
        <sz val="12"/>
        <rFont val="Times New Roman"/>
        <family val="1"/>
      </rPr>
      <t xml:space="preserve"> 3.1 </t>
    </r>
    <r>
      <rPr>
        <sz val="12"/>
        <rFont val="標楷體"/>
        <family val="4"/>
        <charset val="136"/>
      </rPr>
      <t>公里處瑪陵坑七堵路段，邊坡嚴重走山，整片山壁崩落在道路上，土石堆積長約</t>
    </r>
    <r>
      <rPr>
        <sz val="12"/>
        <rFont val="Times New Roman"/>
        <family val="1"/>
      </rPr>
      <t xml:space="preserve"> 300m</t>
    </r>
    <r>
      <rPr>
        <sz val="12"/>
        <rFont val="標楷體"/>
        <family val="4"/>
        <charset val="136"/>
      </rPr>
      <t>，寬約</t>
    </r>
    <r>
      <rPr>
        <sz val="12"/>
        <rFont val="Times New Roman"/>
        <family val="1"/>
      </rPr>
      <t xml:space="preserve"> 160m</t>
    </r>
    <r>
      <rPr>
        <sz val="12"/>
        <rFont val="標楷體"/>
        <family val="4"/>
        <charset val="136"/>
      </rPr>
      <t>，高約</t>
    </r>
    <r>
      <rPr>
        <sz val="12"/>
        <rFont val="Times New Roman"/>
        <family val="1"/>
      </rPr>
      <t>25m</t>
    </r>
    <r>
      <rPr>
        <sz val="12"/>
        <rFont val="標楷體"/>
        <family val="4"/>
        <charset val="136"/>
      </rPr>
      <t>，崩塌土石量約</t>
    </r>
    <r>
      <rPr>
        <sz val="12"/>
        <rFont val="Times New Roman"/>
        <family val="1"/>
      </rPr>
      <t xml:space="preserve"> 120</t>
    </r>
    <r>
      <rPr>
        <sz val="12"/>
        <rFont val="標楷體"/>
        <family val="4"/>
        <charset val="136"/>
      </rPr>
      <t>萬</t>
    </r>
    <r>
      <rPr>
        <sz val="12"/>
        <rFont val="Times New Roman"/>
        <family val="1"/>
      </rPr>
      <t>m3</t>
    </r>
    <r>
      <rPr>
        <sz val="12"/>
        <rFont val="標楷體"/>
        <family val="4"/>
        <charset val="136"/>
      </rPr>
      <t>，坍塌範圍約</t>
    </r>
    <r>
      <rPr>
        <sz val="12"/>
        <rFont val="Times New Roman"/>
        <family val="1"/>
      </rPr>
      <t xml:space="preserve"> 33,102 m2</t>
    </r>
    <r>
      <rPr>
        <sz val="12"/>
        <rFont val="標楷體"/>
        <family val="4"/>
        <charset val="136"/>
      </rPr>
      <t>；崩坍造成橫跨國道上方大埔跨越橋斷橋，土石及斷橋阻斷雙向通行，雙向車道封閉。</t>
    </r>
    <r>
      <rPr>
        <sz val="12"/>
        <rFont val="Times New Roman"/>
        <family val="1"/>
      </rPr>
      <t xml:space="preserve">  </t>
    </r>
    <r>
      <rPr>
        <sz val="12"/>
        <rFont val="標楷體"/>
        <family val="4"/>
        <charset val="136"/>
      </rPr>
      <t>人員傷亡：</t>
    </r>
    <r>
      <rPr>
        <sz val="12"/>
        <rFont val="Times New Roman"/>
        <family val="1"/>
      </rPr>
      <t>4</t>
    </r>
    <r>
      <rPr>
        <sz val="12"/>
        <rFont val="標楷體"/>
        <family val="4"/>
        <charset val="136"/>
      </rPr>
      <t>人。</t>
    </r>
    <r>
      <rPr>
        <sz val="12"/>
        <rFont val="Times New Roman"/>
        <family val="1"/>
      </rPr>
      <t>(</t>
    </r>
    <r>
      <rPr>
        <sz val="12"/>
        <rFont val="標楷體"/>
        <family val="4"/>
        <charset val="136"/>
      </rPr>
      <t>統計至</t>
    </r>
    <r>
      <rPr>
        <sz val="12"/>
        <rFont val="Times New Roman"/>
        <family val="1"/>
      </rPr>
      <t xml:space="preserve"> 4/30)  </t>
    </r>
    <r>
      <rPr>
        <sz val="12"/>
        <rFont val="標楷體"/>
        <family val="4"/>
        <charset val="136"/>
      </rPr>
      <t>房屋受損：無。</t>
    </r>
    <r>
      <rPr>
        <sz val="12"/>
        <rFont val="Times New Roman"/>
        <family val="1"/>
      </rPr>
      <t xml:space="preserve"> 
</t>
    </r>
    <phoneticPr fontId="5" type="noConversion"/>
  </si>
  <si>
    <t>01B031</t>
  </si>
  <si>
    <r>
      <rPr>
        <sz val="12"/>
        <rFont val="標楷體"/>
        <family val="4"/>
        <charset val="136"/>
      </rPr>
      <t>冷泉路</t>
    </r>
    <r>
      <rPr>
        <sz val="12"/>
        <rFont val="Times New Roman"/>
        <family val="1"/>
      </rPr>
      <t>9~12</t>
    </r>
    <r>
      <rPr>
        <sz val="12"/>
        <rFont val="標楷體"/>
        <family val="4"/>
        <charset val="136"/>
      </rPr>
      <t>號</t>
    </r>
    <phoneticPr fontId="5" type="noConversion"/>
  </si>
  <si>
    <r>
      <rPr>
        <sz val="12"/>
        <rFont val="標楷體"/>
        <family val="4"/>
        <charset val="136"/>
      </rPr>
      <t>蘇澳鎮</t>
    </r>
  </si>
  <si>
    <r>
      <rPr>
        <sz val="12"/>
        <rFont val="標楷體"/>
        <family val="4"/>
        <charset val="136"/>
      </rPr>
      <t>蘇北里</t>
    </r>
  </si>
  <si>
    <r>
      <rPr>
        <sz val="12"/>
        <rFont val="標楷體"/>
        <family val="4"/>
        <charset val="136"/>
      </rPr>
      <t>梅姬颱風</t>
    </r>
  </si>
  <si>
    <r>
      <rPr>
        <sz val="12"/>
        <rFont val="標楷體"/>
        <family val="4"/>
        <charset val="136"/>
      </rPr>
      <t>梅姬颱風期間，蘇澳鎮冷泉路</t>
    </r>
    <r>
      <rPr>
        <sz val="12"/>
        <rFont val="Times New Roman"/>
        <family val="1"/>
      </rPr>
      <t xml:space="preserve"> 9~12</t>
    </r>
    <r>
      <rPr>
        <sz val="12"/>
        <rFont val="標楷體"/>
        <family val="4"/>
        <charset val="136"/>
      </rPr>
      <t>號民宅後方坡地崩塌，豪雨挾帶大量土石沖入民宅內部，並穿越民宅間隙堆積於冷泉路上。道路毀損：冷泉路約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房屋受損：民宅</t>
    </r>
    <r>
      <rPr>
        <sz val="12"/>
        <rFont val="Times New Roman"/>
        <family val="1"/>
      </rPr>
      <t xml:space="preserve"> 9~12</t>
    </r>
    <r>
      <rPr>
        <sz val="12"/>
        <rFont val="標楷體"/>
        <family val="4"/>
        <charset val="136"/>
      </rPr>
      <t>號約</t>
    </r>
    <r>
      <rPr>
        <sz val="12"/>
        <rFont val="Times New Roman"/>
        <family val="1"/>
      </rPr>
      <t xml:space="preserve"> 20</t>
    </r>
    <r>
      <rPr>
        <sz val="12"/>
        <rFont val="標楷體"/>
        <family val="4"/>
        <charset val="136"/>
      </rPr>
      <t>戶。</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</si>
  <si>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t>C0U680</t>
  </si>
  <si>
    <r>
      <rPr>
        <sz val="12"/>
        <rFont val="標楷體"/>
        <family val="4"/>
        <charset val="136"/>
      </rPr>
      <t>冬山</t>
    </r>
    <phoneticPr fontId="5" type="noConversion"/>
  </si>
  <si>
    <r>
      <rPr>
        <sz val="12"/>
        <rFont val="標楷體"/>
        <family val="4"/>
        <charset val="136"/>
      </rPr>
      <t>大坑五號橋</t>
    </r>
    <r>
      <rPr>
        <sz val="12"/>
        <rFont val="Times New Roman"/>
        <family val="1"/>
      </rPr>
      <t>(</t>
    </r>
    <r>
      <rPr>
        <sz val="12"/>
        <rFont val="標楷體"/>
        <family val="4"/>
        <charset val="136"/>
      </rPr>
      <t>大坑路</t>
    </r>
    <r>
      <rPr>
        <sz val="12"/>
        <rFont val="Times New Roman"/>
        <family val="1"/>
      </rPr>
      <t xml:space="preserve">28 </t>
    </r>
    <r>
      <rPr>
        <sz val="12"/>
        <rFont val="標楷體"/>
        <family val="4"/>
        <charset val="136"/>
      </rPr>
      <t>號旁民宅旁</t>
    </r>
    <r>
      <rPr>
        <sz val="12"/>
        <rFont val="Times New Roman"/>
        <family val="1"/>
      </rPr>
      <t>)</t>
    </r>
    <phoneticPr fontId="5" type="noConversion"/>
  </si>
  <si>
    <r>
      <rPr>
        <sz val="12"/>
        <rFont val="標楷體"/>
        <family val="4"/>
        <charset val="136"/>
      </rPr>
      <t>拱照村</t>
    </r>
    <phoneticPr fontId="5" type="noConversion"/>
  </si>
  <si>
    <r>
      <rPr>
        <sz val="12"/>
        <rFont val="標楷體"/>
        <family val="4"/>
        <charset val="136"/>
      </rPr>
      <t>梅姬颱風期間，宜蘭地區降下長時間之豪大雨，三星鄉拱照村大坑路</t>
    </r>
    <r>
      <rPr>
        <sz val="12"/>
        <rFont val="Times New Roman"/>
        <family val="1"/>
      </rPr>
      <t xml:space="preserve"> 28</t>
    </r>
    <r>
      <rPr>
        <sz val="12"/>
        <rFont val="標楷體"/>
        <family val="4"/>
        <charset val="136"/>
      </rPr>
      <t>號旁之大坑溪河道宣洩不及致溪水暴漲，造成本次洪水災害。</t>
    </r>
    <r>
      <rPr>
        <sz val="12"/>
        <rFont val="Times New Roman"/>
        <family val="1"/>
      </rPr>
      <t xml:space="preserve">  </t>
    </r>
    <r>
      <rPr>
        <sz val="12"/>
        <rFont val="標楷體"/>
        <family val="4"/>
        <charset val="136"/>
      </rPr>
      <t>洪水淹：連通道路、大坑五號橋及大坑溪兩側農田遭洪水淹埋。</t>
    </r>
    <r>
      <rPr>
        <sz val="12"/>
        <rFont val="Times New Roman"/>
        <family val="1"/>
      </rPr>
      <t xml:space="preserve"> </t>
    </r>
    <r>
      <rPr>
        <sz val="12"/>
        <rFont val="標楷體"/>
        <family val="4"/>
        <charset val="136"/>
      </rPr>
      <t>道路受損：約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房屋受損：大坑路</t>
    </r>
    <r>
      <rPr>
        <sz val="12"/>
        <rFont val="Times New Roman"/>
        <family val="1"/>
      </rPr>
      <t xml:space="preserve"> 28 </t>
    </r>
    <r>
      <rPr>
        <sz val="12"/>
        <rFont val="標楷體"/>
        <family val="4"/>
        <charset val="136"/>
      </rPr>
      <t>號西南側房舍</t>
    </r>
    <r>
      <rPr>
        <sz val="12"/>
        <rFont val="Times New Roman"/>
        <family val="1"/>
      </rPr>
      <t xml:space="preserve"> 1 </t>
    </r>
    <r>
      <rPr>
        <sz val="12"/>
        <rFont val="標楷體"/>
        <family val="4"/>
        <charset val="136"/>
      </rPr>
      <t>戶。</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</si>
  <si>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宜</t>
    </r>
    <r>
      <rPr>
        <sz val="12"/>
        <rFont val="Times New Roman"/>
        <family val="1"/>
      </rPr>
      <t xml:space="preserve">33 </t>
    </r>
    <r>
      <rPr>
        <sz val="12"/>
        <rFont val="標楷體"/>
        <family val="4"/>
        <charset val="136"/>
      </rPr>
      <t>線</t>
    </r>
    <r>
      <rPr>
        <sz val="12"/>
        <rFont val="Times New Roman"/>
        <family val="1"/>
      </rPr>
      <t xml:space="preserve">11.2k </t>
    </r>
    <r>
      <rPr>
        <sz val="12"/>
        <rFont val="標楷體"/>
        <family val="4"/>
        <charset val="136"/>
      </rPr>
      <t>處</t>
    </r>
  </si>
  <si>
    <r>
      <rPr>
        <sz val="12"/>
        <rFont val="標楷體"/>
        <family val="4"/>
        <charset val="136"/>
      </rPr>
      <t>寒溪村</t>
    </r>
    <phoneticPr fontId="5" type="noConversion"/>
  </si>
  <si>
    <r>
      <rPr>
        <sz val="12"/>
        <rFont val="標楷體"/>
        <family val="4"/>
        <charset val="136"/>
      </rPr>
      <t>梅姬颱風期間，羅東溪溪水暴漲沖毀宜</t>
    </r>
    <r>
      <rPr>
        <sz val="12"/>
        <rFont val="Times New Roman"/>
        <family val="1"/>
      </rPr>
      <t>33</t>
    </r>
    <r>
      <rPr>
        <sz val="12"/>
        <rFont val="標楷體"/>
        <family val="4"/>
        <charset val="136"/>
      </rPr>
      <t>線</t>
    </r>
    <r>
      <rPr>
        <sz val="12"/>
        <rFont val="Times New Roman"/>
        <family val="1"/>
      </rPr>
      <t xml:space="preserve"> 11.2k </t>
    </r>
    <r>
      <rPr>
        <sz val="12"/>
        <rFont val="標楷體"/>
        <family val="4"/>
        <charset val="136"/>
      </rPr>
      <t>處路基，右側護岸亦毀損流失，本次洪水災害造成宜</t>
    </r>
    <r>
      <rPr>
        <sz val="12"/>
        <rFont val="Times New Roman"/>
        <family val="1"/>
      </rPr>
      <t xml:space="preserve"> 33 </t>
    </r>
    <r>
      <rPr>
        <sz val="12"/>
        <rFont val="標楷體"/>
        <family val="4"/>
        <charset val="136"/>
      </rPr>
      <t>線道路中斷。</t>
    </r>
    <r>
      <rPr>
        <sz val="12"/>
        <rFont val="Times New Roman"/>
        <family val="1"/>
      </rPr>
      <t xml:space="preserve"> </t>
    </r>
    <r>
      <rPr>
        <sz val="12"/>
        <rFont val="標楷體"/>
        <family val="4"/>
        <charset val="136"/>
      </rPr>
      <t>土石淤積：羅東溪河堆積大量土石及漂流木。土石沖刷：宜</t>
    </r>
    <r>
      <rPr>
        <sz val="12"/>
        <rFont val="Times New Roman"/>
        <family val="1"/>
      </rPr>
      <t>33</t>
    </r>
    <r>
      <rPr>
        <sz val="12"/>
        <rFont val="標楷體"/>
        <family val="4"/>
        <charset val="136"/>
      </rPr>
      <t>線</t>
    </r>
    <r>
      <rPr>
        <sz val="12"/>
        <rFont val="Times New Roman"/>
        <family val="1"/>
      </rPr>
      <t>11.2k</t>
    </r>
    <r>
      <rPr>
        <sz val="12"/>
        <rFont val="標楷體"/>
        <family val="4"/>
        <charset val="136"/>
      </rPr>
      <t>處路基及護岸。</t>
    </r>
    <r>
      <rPr>
        <sz val="12"/>
        <rFont val="Times New Roman"/>
        <family val="1"/>
      </rPr>
      <t xml:space="preserve"> </t>
    </r>
    <r>
      <rPr>
        <sz val="12"/>
        <rFont val="標楷體"/>
        <family val="4"/>
        <charset val="136"/>
      </rPr>
      <t>道路受損：約</t>
    </r>
    <r>
      <rPr>
        <sz val="12"/>
        <rFont val="Times New Roman"/>
        <family val="1"/>
      </rPr>
      <t xml:space="preserve"> 60</t>
    </r>
    <r>
      <rPr>
        <sz val="12"/>
        <rFont val="標楷體"/>
        <family val="4"/>
        <charset val="136"/>
      </rPr>
      <t>公尺。</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</si>
  <si>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古魯</t>
    </r>
    <phoneticPr fontId="5" type="noConversion"/>
  </si>
  <si>
    <r>
      <rPr>
        <sz val="12"/>
        <rFont val="標楷體"/>
        <family val="4"/>
        <charset val="136"/>
      </rPr>
      <t>佛光慈惠寺</t>
    </r>
    <r>
      <rPr>
        <sz val="12"/>
        <rFont val="Times New Roman"/>
        <family val="1"/>
      </rPr>
      <t>(</t>
    </r>
    <r>
      <rPr>
        <sz val="12"/>
        <rFont val="標楷體"/>
        <family val="4"/>
        <charset val="136"/>
      </rPr>
      <t>佛光路</t>
    </r>
    <r>
      <rPr>
        <sz val="12"/>
        <rFont val="Times New Roman"/>
        <family val="1"/>
      </rPr>
      <t xml:space="preserve">260 </t>
    </r>
    <r>
      <rPr>
        <sz val="12"/>
        <rFont val="標楷體"/>
        <family val="4"/>
        <charset val="136"/>
      </rPr>
      <t>號</t>
    </r>
    <r>
      <rPr>
        <sz val="12"/>
        <rFont val="Times New Roman"/>
        <family val="1"/>
      </rPr>
      <t>)</t>
    </r>
  </si>
  <si>
    <r>
      <rPr>
        <sz val="12"/>
        <rFont val="標楷體"/>
        <family val="4"/>
        <charset val="136"/>
      </rPr>
      <t>冬山鄉</t>
    </r>
    <phoneticPr fontId="5" type="noConversion"/>
  </si>
  <si>
    <r>
      <rPr>
        <sz val="12"/>
        <rFont val="標楷體"/>
        <family val="4"/>
        <charset val="136"/>
      </rPr>
      <t>東城村</t>
    </r>
    <phoneticPr fontId="5" type="noConversion"/>
  </si>
  <si>
    <r>
      <rPr>
        <sz val="12"/>
        <rFont val="標楷體"/>
        <family val="4"/>
        <charset val="136"/>
      </rPr>
      <t>宜縣</t>
    </r>
    <r>
      <rPr>
        <sz val="12"/>
        <rFont val="Times New Roman"/>
        <family val="1"/>
      </rPr>
      <t>DF129</t>
    </r>
  </si>
  <si>
    <r>
      <rPr>
        <sz val="12"/>
        <rFont val="標楷體"/>
        <family val="4"/>
        <charset val="136"/>
      </rPr>
      <t>梅姬颱風期間，冬山鄉東城村佛光慈惠寺旁發生洪水災情，土石流潛勢溪流宜縣</t>
    </r>
    <r>
      <rPr>
        <sz val="12"/>
        <rFont val="Times New Roman"/>
        <family val="1"/>
      </rPr>
      <t xml:space="preserve"> DF129</t>
    </r>
    <r>
      <rPr>
        <sz val="12"/>
        <rFont val="標楷體"/>
        <family val="4"/>
        <charset val="136"/>
      </rPr>
      <t>堤防遭洪水損壞，防砂壩之副壩破裂毀損，溪水淘刷河道兩岸造成佛光路路基流失。</t>
    </r>
    <r>
      <rPr>
        <sz val="12"/>
        <rFont val="Times New Roman"/>
        <family val="1"/>
      </rPr>
      <t xml:space="preserve"> </t>
    </r>
    <r>
      <rPr>
        <sz val="12"/>
        <rFont val="標楷體"/>
        <family val="4"/>
        <charset val="136"/>
      </rPr>
      <t>道路毀損：佛光路約</t>
    </r>
    <r>
      <rPr>
        <sz val="12"/>
        <rFont val="Times New Roman"/>
        <family val="1"/>
      </rPr>
      <t xml:space="preserve"> 30</t>
    </r>
    <r>
      <rPr>
        <sz val="12"/>
        <rFont val="標楷體"/>
        <family val="4"/>
        <charset val="136"/>
      </rPr>
      <t>公尺。</t>
    </r>
    <r>
      <rPr>
        <sz val="12"/>
        <rFont val="Times New Roman"/>
        <family val="1"/>
      </rPr>
      <t xml:space="preserve"> </t>
    </r>
    <r>
      <rPr>
        <sz val="12"/>
        <rFont val="標楷體"/>
        <family val="4"/>
        <charset val="136"/>
      </rPr>
      <t>房屋受損：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</si>
  <si>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照安宮橋</t>
    </r>
  </si>
  <si>
    <r>
      <rPr>
        <sz val="12"/>
        <rFont val="標楷體"/>
        <family val="4"/>
        <charset val="136"/>
      </rPr>
      <t>安平村</t>
    </r>
    <phoneticPr fontId="5" type="noConversion"/>
  </si>
  <si>
    <r>
      <rPr>
        <sz val="12"/>
        <rFont val="標楷體"/>
        <family val="4"/>
        <charset val="136"/>
      </rPr>
      <t>宜縣</t>
    </r>
    <r>
      <rPr>
        <sz val="12"/>
        <rFont val="Times New Roman"/>
        <family val="1"/>
      </rPr>
      <t>DF127</t>
    </r>
    <phoneticPr fontId="5" type="noConversion"/>
  </si>
  <si>
    <r>
      <rPr>
        <sz val="12"/>
        <rFont val="標楷體"/>
        <family val="4"/>
        <charset val="136"/>
      </rPr>
      <t>照安坑</t>
    </r>
    <r>
      <rPr>
        <sz val="12"/>
        <rFont val="Times New Roman"/>
        <family val="1"/>
      </rPr>
      <t>(</t>
    </r>
    <r>
      <rPr>
        <sz val="12"/>
        <rFont val="標楷體"/>
        <family val="4"/>
        <charset val="136"/>
      </rPr>
      <t>土石流潛勢溪流宜縣</t>
    </r>
    <r>
      <rPr>
        <sz val="12"/>
        <rFont val="Times New Roman"/>
        <family val="1"/>
      </rPr>
      <t xml:space="preserve"> DF127)</t>
    </r>
    <r>
      <rPr>
        <sz val="12"/>
        <rFont val="標楷體"/>
        <family val="4"/>
        <charset val="136"/>
      </rPr>
      <t>河道土砂嚴重淤積，已掩埋上游連續性固床工；中游段護岸老舊，經豪雨溪水暴漲淘刷損壞；下游段照安一路與安平路交會之無名橋，因土砂淤積橋涵，造成溪水溢流，阻斷主要道路及行車交通。</t>
    </r>
    <r>
      <rPr>
        <sz val="12"/>
        <rFont val="Times New Roman"/>
        <family val="1"/>
      </rPr>
      <t xml:space="preserve"> </t>
    </r>
    <r>
      <rPr>
        <sz val="12"/>
        <rFont val="標楷體"/>
        <family val="4"/>
        <charset val="136"/>
      </rPr>
      <t>道路毀損：共約</t>
    </r>
    <r>
      <rPr>
        <sz val="12"/>
        <rFont val="Times New Roman"/>
        <family val="1"/>
      </rPr>
      <t xml:space="preserve"> 60</t>
    </r>
    <r>
      <rPr>
        <sz val="12"/>
        <rFont val="標楷體"/>
        <family val="4"/>
        <charset val="136"/>
      </rPr>
      <t>公尺。</t>
    </r>
    <r>
      <rPr>
        <sz val="12"/>
        <rFont val="Times New Roman"/>
        <family val="1"/>
      </rPr>
      <t xml:space="preserve"> </t>
    </r>
    <r>
      <rPr>
        <sz val="12"/>
        <rFont val="標楷體"/>
        <family val="4"/>
        <charset val="136"/>
      </rPr>
      <t>房屋受損：</t>
    </r>
    <r>
      <rPr>
        <sz val="12"/>
        <rFont val="Times New Roman"/>
        <family val="1"/>
      </rPr>
      <t>0</t>
    </r>
    <r>
      <rPr>
        <sz val="12"/>
        <rFont val="標楷體"/>
        <family val="4"/>
        <charset val="136"/>
      </rPr>
      <t>棟。</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</si>
  <si>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玉皇宮</t>
    </r>
  </si>
  <si>
    <r>
      <rPr>
        <sz val="12"/>
        <rFont val="標楷體"/>
        <family val="4"/>
        <charset val="136"/>
      </rPr>
      <t>蘇澳鎮</t>
    </r>
    <phoneticPr fontId="5" type="noConversion"/>
  </si>
  <si>
    <r>
      <rPr>
        <sz val="12"/>
        <rFont val="標楷體"/>
        <family val="4"/>
        <charset val="136"/>
      </rPr>
      <t>新城里</t>
    </r>
    <phoneticPr fontId="5" type="noConversion"/>
  </si>
  <si>
    <r>
      <rPr>
        <sz val="12"/>
        <rFont val="標楷體"/>
        <family val="4"/>
        <charset val="136"/>
      </rPr>
      <t>梅姬颱風期間，蘇澳鎮新城里玉皇宮後方蝕溝逕流，淘刷坡地擋土牆造成破裂及數處裂縫，洪水漫流至排水溝及下方邊坡，造成排水溝堵塞，農田遭細沙淤埋，所幸洪水未侵入下方民宅及武荖坑軍營內。</t>
    </r>
    <r>
      <rPr>
        <sz val="12"/>
        <rFont val="Times New Roman"/>
        <family val="1"/>
      </rPr>
      <t xml:space="preserve"> </t>
    </r>
    <r>
      <rPr>
        <sz val="12"/>
        <rFont val="標楷體"/>
        <family val="4"/>
        <charset val="136"/>
      </rPr>
      <t>農林用地：約</t>
    </r>
    <r>
      <rPr>
        <sz val="12"/>
        <rFont val="Times New Roman"/>
        <family val="1"/>
      </rPr>
      <t xml:space="preserve"> 2~3</t>
    </r>
    <r>
      <rPr>
        <sz val="12"/>
        <rFont val="標楷體"/>
        <family val="4"/>
        <charset val="136"/>
      </rPr>
      <t>公頃遭細沙淤埋。</t>
    </r>
    <r>
      <rPr>
        <sz val="12"/>
        <rFont val="Times New Roman"/>
        <family val="1"/>
      </rPr>
      <t xml:space="preserve"> </t>
    </r>
    <r>
      <rPr>
        <sz val="12"/>
        <rFont val="標楷體"/>
        <family val="4"/>
        <charset val="136"/>
      </rPr>
      <t>寺廟教堂：玉皇宮淹水。</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</si>
  <si>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t>C0U680</t>
    <phoneticPr fontId="5" type="noConversion"/>
  </si>
  <si>
    <r>
      <rPr>
        <sz val="12"/>
        <rFont val="標楷體"/>
        <family val="4"/>
        <charset val="136"/>
      </rPr>
      <t>聖湖里</t>
    </r>
    <r>
      <rPr>
        <sz val="12"/>
        <rFont val="Times New Roman"/>
        <family val="1"/>
      </rPr>
      <t xml:space="preserve">29~33 </t>
    </r>
    <r>
      <rPr>
        <sz val="12"/>
        <rFont val="標楷體"/>
        <family val="4"/>
        <charset val="136"/>
      </rPr>
      <t>鄰</t>
    </r>
    <r>
      <rPr>
        <sz val="12"/>
        <rFont val="Times New Roman"/>
        <family val="1"/>
      </rPr>
      <t>(</t>
    </r>
    <r>
      <rPr>
        <sz val="12"/>
        <rFont val="標楷體"/>
        <family val="4"/>
        <charset val="136"/>
      </rPr>
      <t>台</t>
    </r>
    <r>
      <rPr>
        <sz val="12"/>
        <rFont val="Times New Roman"/>
        <family val="1"/>
      </rPr>
      <t xml:space="preserve">9 </t>
    </r>
    <r>
      <rPr>
        <sz val="12"/>
        <rFont val="標楷體"/>
        <family val="4"/>
        <charset val="136"/>
      </rPr>
      <t>線</t>
    </r>
    <r>
      <rPr>
        <sz val="12"/>
        <rFont val="Times New Roman"/>
        <family val="1"/>
      </rPr>
      <t xml:space="preserve">102.5K </t>
    </r>
    <r>
      <rPr>
        <sz val="12"/>
        <rFont val="標楷體"/>
        <family val="4"/>
        <charset val="136"/>
      </rPr>
      <t>處</t>
    </r>
    <r>
      <rPr>
        <sz val="12"/>
        <rFont val="Times New Roman"/>
        <family val="1"/>
      </rPr>
      <t>)</t>
    </r>
    <phoneticPr fontId="5" type="noConversion"/>
  </si>
  <si>
    <r>
      <rPr>
        <sz val="12"/>
        <rFont val="標楷體"/>
        <family val="4"/>
        <charset val="136"/>
      </rPr>
      <t>聖湖里</t>
    </r>
    <phoneticPr fontId="5" type="noConversion"/>
  </si>
  <si>
    <r>
      <rPr>
        <sz val="12"/>
        <rFont val="標楷體"/>
        <family val="4"/>
        <charset val="136"/>
      </rPr>
      <t>梅姬颱風期間，蘇澳鎮聖湖里</t>
    </r>
    <r>
      <rPr>
        <sz val="12"/>
        <rFont val="Times New Roman"/>
        <family val="1"/>
      </rPr>
      <t xml:space="preserve"> 29~33</t>
    </r>
    <r>
      <rPr>
        <sz val="12"/>
        <rFont val="標楷體"/>
        <family val="4"/>
        <charset val="136"/>
      </rPr>
      <t>鄰後方坡地逕流宣洩不及而發生洪水災情，造成約</t>
    </r>
    <r>
      <rPr>
        <sz val="12"/>
        <rFont val="Times New Roman"/>
        <family val="1"/>
      </rPr>
      <t xml:space="preserve">100 </t>
    </r>
    <r>
      <rPr>
        <sz val="12"/>
        <rFont val="標楷體"/>
        <family val="4"/>
        <charset val="136"/>
      </rPr>
      <t>戶民宅遭洪水泥流入侵，淹水高度達</t>
    </r>
    <r>
      <rPr>
        <sz val="12"/>
        <rFont val="Times New Roman"/>
        <family val="1"/>
      </rPr>
      <t xml:space="preserve"> 1</t>
    </r>
    <r>
      <rPr>
        <sz val="12"/>
        <rFont val="標楷體"/>
        <family val="4"/>
        <charset val="136"/>
      </rPr>
      <t>層樓，積水已數日尚未退去。道路毀損：洪水溢淹聖賢路約</t>
    </r>
    <r>
      <rPr>
        <sz val="12"/>
        <rFont val="Times New Roman"/>
        <family val="1"/>
      </rPr>
      <t xml:space="preserve"> 600</t>
    </r>
    <r>
      <rPr>
        <sz val="12"/>
        <rFont val="標楷體"/>
        <family val="4"/>
        <charset val="136"/>
      </rPr>
      <t>公尺。房屋受損：約有</t>
    </r>
    <r>
      <rPr>
        <sz val="12"/>
        <rFont val="Times New Roman"/>
        <family val="1"/>
      </rPr>
      <t xml:space="preserve"> 100</t>
    </r>
    <r>
      <rPr>
        <sz val="12"/>
        <rFont val="標楷體"/>
        <family val="4"/>
        <charset val="136"/>
      </rPr>
      <t>戶民宅淹水。</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</si>
  <si>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永樂里</t>
    </r>
    <r>
      <rPr>
        <sz val="12"/>
        <rFont val="Times New Roman"/>
        <family val="1"/>
      </rPr>
      <t>11</t>
    </r>
    <r>
      <rPr>
        <sz val="12"/>
        <rFont val="標楷體"/>
        <family val="4"/>
        <charset val="136"/>
      </rPr>
      <t>鄰</t>
    </r>
    <r>
      <rPr>
        <sz val="12"/>
        <rFont val="Times New Roman"/>
        <family val="1"/>
      </rPr>
      <t>(</t>
    </r>
    <r>
      <rPr>
        <sz val="12"/>
        <rFont val="標楷體"/>
        <family val="4"/>
        <charset val="136"/>
      </rPr>
      <t>永樂南路</t>
    </r>
    <r>
      <rPr>
        <sz val="12"/>
        <rFont val="Times New Roman"/>
        <family val="1"/>
      </rPr>
      <t xml:space="preserve">151 </t>
    </r>
    <r>
      <rPr>
        <sz val="12"/>
        <rFont val="標楷體"/>
        <family val="4"/>
        <charset val="136"/>
      </rPr>
      <t>號民宅</t>
    </r>
    <r>
      <rPr>
        <sz val="12"/>
        <rFont val="Times New Roman"/>
        <family val="1"/>
      </rPr>
      <t>)</t>
    </r>
    <phoneticPr fontId="5" type="noConversion"/>
  </si>
  <si>
    <r>
      <rPr>
        <sz val="12"/>
        <rFont val="標楷體"/>
        <family val="4"/>
        <charset val="136"/>
      </rPr>
      <t>永樂里</t>
    </r>
  </si>
  <si>
    <r>
      <rPr>
        <sz val="12"/>
        <rFont val="標楷體"/>
        <family val="4"/>
        <charset val="136"/>
      </rPr>
      <t>圳頭坑溪溪水暴漲挾帶上游土砂及漂流木淤積河床，河床抬昇至防砂壩壩頂，水流淘刷防砂壩左翼基礎，造成圳頭路路基淘空，通往溪底之卡便道亦遭洪水沖毀。水流順沿圳頭路及永樂南路溢淹，造成</t>
    </r>
    <r>
      <rPr>
        <sz val="12"/>
        <rFont val="Times New Roman"/>
        <family val="1"/>
      </rPr>
      <t xml:space="preserve"> 11</t>
    </r>
    <r>
      <rPr>
        <sz val="12"/>
        <rFont val="標楷體"/>
        <family val="4"/>
        <charset val="136"/>
      </rPr>
      <t>鄰民宅遭洪水泥流入侵。</t>
    </r>
    <r>
      <rPr>
        <sz val="12"/>
        <rFont val="Times New Roman"/>
        <family val="1"/>
      </rPr>
      <t xml:space="preserve">  </t>
    </r>
    <r>
      <rPr>
        <sz val="12"/>
        <rFont val="標楷體"/>
        <family val="4"/>
        <charset val="136"/>
      </rPr>
      <t>房屋受損：約</t>
    </r>
    <r>
      <rPr>
        <sz val="12"/>
        <rFont val="Times New Roman"/>
        <family val="1"/>
      </rPr>
      <t xml:space="preserve"> 10 </t>
    </r>
    <r>
      <rPr>
        <sz val="12"/>
        <rFont val="標楷體"/>
        <family val="4"/>
        <charset val="136"/>
      </rPr>
      <t>棟</t>
    </r>
    <r>
      <rPr>
        <sz val="12"/>
        <rFont val="Times New Roman"/>
        <family val="1"/>
      </rPr>
      <t xml:space="preserve"> </t>
    </r>
    <r>
      <rPr>
        <sz val="12"/>
        <rFont val="標楷體"/>
        <family val="4"/>
        <charset val="136"/>
      </rPr>
      <t>。</t>
    </r>
    <r>
      <rPr>
        <sz val="12"/>
        <rFont val="Times New Roman"/>
        <family val="1"/>
      </rPr>
      <t xml:space="preserve"> </t>
    </r>
    <r>
      <rPr>
        <sz val="12"/>
        <rFont val="標楷體"/>
        <family val="4"/>
        <charset val="136"/>
      </rPr>
      <t>道路毀損：卡車便道及圳頭路約</t>
    </r>
    <r>
      <rPr>
        <sz val="12"/>
        <rFont val="Times New Roman"/>
        <family val="1"/>
      </rPr>
      <t xml:space="preserve"> 100 </t>
    </r>
    <r>
      <rPr>
        <sz val="12"/>
        <rFont val="標楷體"/>
        <family val="4"/>
        <charset val="136"/>
      </rPr>
      <t>公尺。</t>
    </r>
    <r>
      <rPr>
        <sz val="12"/>
        <rFont val="Times New Roman"/>
        <family val="1"/>
      </rPr>
      <t xml:space="preserve"> </t>
    </r>
    <r>
      <rPr>
        <sz val="12"/>
        <rFont val="標楷體"/>
        <family val="4"/>
        <charset val="136"/>
      </rPr>
      <t>農林用地：葡萄果園</t>
    </r>
    <r>
      <rPr>
        <sz val="12"/>
        <rFont val="Times New Roman"/>
        <family val="1"/>
      </rPr>
      <t xml:space="preserve"> 0.5 </t>
    </r>
    <r>
      <rPr>
        <sz val="12"/>
        <rFont val="標楷體"/>
        <family val="4"/>
        <charset val="136"/>
      </rPr>
      <t>公頃。</t>
    </r>
    <phoneticPr fontId="5" type="noConversion"/>
  </si>
  <si>
    <t>C0U681</t>
  </si>
  <si>
    <r>
      <rPr>
        <sz val="12"/>
        <rFont val="標楷體"/>
        <family val="4"/>
        <charset val="136"/>
      </rPr>
      <t>佬濃山莊</t>
    </r>
  </si>
  <si>
    <r>
      <rPr>
        <sz val="12"/>
        <rFont val="標楷體"/>
        <family val="4"/>
        <charset val="136"/>
      </rPr>
      <t>永春里</t>
    </r>
  </si>
  <si>
    <r>
      <rPr>
        <sz val="12"/>
        <rFont val="標楷體"/>
        <family val="4"/>
        <charset val="136"/>
      </rPr>
      <t>白米河溪水暴漲，淘刷右側野溪匯流處護岸，並阻塞野溪排水箱涵，導致野溪下游溪水無法順利匯流至白米河，土石淤埋原河道及無名橋一座，溪水因而漫淹至永春里</t>
    </r>
    <r>
      <rPr>
        <sz val="12"/>
        <rFont val="Times New Roman"/>
        <family val="1"/>
      </rPr>
      <t xml:space="preserve"> 9 </t>
    </r>
    <r>
      <rPr>
        <sz val="12"/>
        <rFont val="標楷體"/>
        <family val="4"/>
        <charset val="136"/>
      </rPr>
      <t>鄰，民宅及道路農田遭泥流淤埋，造成本次洪水災害。房屋受損：約</t>
    </r>
    <r>
      <rPr>
        <sz val="12"/>
        <rFont val="Times New Roman"/>
        <family val="1"/>
      </rPr>
      <t>7</t>
    </r>
    <r>
      <rPr>
        <sz val="12"/>
        <rFont val="標楷體"/>
        <family val="4"/>
        <charset val="136"/>
      </rPr>
      <t>棟</t>
    </r>
    <r>
      <rPr>
        <sz val="12"/>
        <rFont val="Times New Roman"/>
        <family val="1"/>
      </rPr>
      <t xml:space="preserve"> </t>
    </r>
    <r>
      <rPr>
        <sz val="12"/>
        <rFont val="標楷體"/>
        <family val="4"/>
        <charset val="136"/>
      </rPr>
      <t>。道路毀損：湖南路及農用便道約</t>
    </r>
    <r>
      <rPr>
        <sz val="12"/>
        <rFont val="Times New Roman"/>
        <family val="1"/>
      </rPr>
      <t>400</t>
    </r>
    <r>
      <rPr>
        <sz val="12"/>
        <rFont val="標楷體"/>
        <family val="4"/>
        <charset val="136"/>
      </rPr>
      <t>公尺。</t>
    </r>
    <phoneticPr fontId="5" type="noConversion"/>
  </si>
  <si>
    <r>
      <rPr>
        <sz val="12"/>
        <rFont val="標楷體"/>
        <family val="4"/>
        <charset val="136"/>
      </rPr>
      <t>中山路一段</t>
    </r>
    <r>
      <rPr>
        <sz val="12"/>
        <rFont val="Times New Roman"/>
        <family val="1"/>
      </rPr>
      <t xml:space="preserve">206 </t>
    </r>
    <r>
      <rPr>
        <sz val="12"/>
        <rFont val="標楷體"/>
        <family val="4"/>
        <charset val="136"/>
      </rPr>
      <t>巷</t>
    </r>
    <r>
      <rPr>
        <sz val="12"/>
        <rFont val="Times New Roman"/>
        <family val="1"/>
      </rPr>
      <t>(</t>
    </r>
    <r>
      <rPr>
        <sz val="12"/>
        <rFont val="標楷體"/>
        <family val="4"/>
        <charset val="136"/>
      </rPr>
      <t>台</t>
    </r>
    <r>
      <rPr>
        <sz val="12"/>
        <rFont val="Times New Roman"/>
        <family val="1"/>
      </rPr>
      <t xml:space="preserve">9 </t>
    </r>
    <r>
      <rPr>
        <sz val="12"/>
        <rFont val="標楷體"/>
        <family val="4"/>
        <charset val="136"/>
      </rPr>
      <t>線</t>
    </r>
    <r>
      <rPr>
        <sz val="12"/>
        <rFont val="Times New Roman"/>
        <family val="1"/>
      </rPr>
      <t xml:space="preserve">104k </t>
    </r>
    <r>
      <rPr>
        <sz val="12"/>
        <rFont val="標楷體"/>
        <family val="4"/>
        <charset val="136"/>
      </rPr>
      <t>處</t>
    </r>
    <r>
      <rPr>
        <sz val="12"/>
        <rFont val="Times New Roman"/>
        <family val="1"/>
      </rPr>
      <t>)</t>
    </r>
    <phoneticPr fontId="5" type="noConversion"/>
  </si>
  <si>
    <r>
      <rPr>
        <sz val="12"/>
        <rFont val="標楷體"/>
        <family val="4"/>
        <charset val="136"/>
      </rPr>
      <t>蘇西里</t>
    </r>
    <phoneticPr fontId="5" type="noConversion"/>
  </si>
  <si>
    <r>
      <rPr>
        <sz val="12"/>
        <rFont val="標楷體"/>
        <family val="4"/>
        <charset val="136"/>
      </rPr>
      <t>梅姬颱風期間，大量降雨導致山區坡面逕流宣洩不及，雨水排放至地勢低窪之中山路、中原路及蘇南路，造成約</t>
    </r>
    <r>
      <rPr>
        <sz val="12"/>
        <rFont val="Times New Roman"/>
        <family val="1"/>
      </rPr>
      <t xml:space="preserve"> 200</t>
    </r>
    <r>
      <rPr>
        <sz val="12"/>
        <rFont val="標楷體"/>
        <family val="4"/>
        <charset val="136"/>
      </rPr>
      <t>戶以上民宅遭洪水泥流入侵，尤以中山路一段</t>
    </r>
    <r>
      <rPr>
        <sz val="12"/>
        <rFont val="Times New Roman"/>
        <family val="1"/>
      </rPr>
      <t>206</t>
    </r>
    <r>
      <rPr>
        <sz val="12"/>
        <rFont val="標楷體"/>
        <family val="4"/>
        <charset val="136"/>
      </rPr>
      <t>巷最為嚴重，最高淹水達</t>
    </r>
    <r>
      <rPr>
        <sz val="12"/>
        <rFont val="Times New Roman"/>
        <family val="1"/>
      </rPr>
      <t xml:space="preserve"> 3.4</t>
    </r>
    <r>
      <rPr>
        <sz val="12"/>
        <rFont val="標楷體"/>
        <family val="4"/>
        <charset val="136"/>
      </rPr>
      <t>公尺，本次災害造成交通阻斷。</t>
    </r>
    <r>
      <rPr>
        <sz val="12"/>
        <rFont val="Times New Roman"/>
        <family val="1"/>
      </rPr>
      <t xml:space="preserve"> </t>
    </r>
    <r>
      <rPr>
        <sz val="12"/>
        <rFont val="標楷體"/>
        <family val="4"/>
        <charset val="136"/>
      </rPr>
      <t>道路毀損：共約</t>
    </r>
    <r>
      <rPr>
        <sz val="12"/>
        <rFont val="Times New Roman"/>
        <family val="1"/>
      </rPr>
      <t xml:space="preserve"> 4</t>
    </r>
    <r>
      <rPr>
        <sz val="12"/>
        <rFont val="標楷體"/>
        <family val="4"/>
        <charset val="136"/>
      </rPr>
      <t>公里。</t>
    </r>
    <r>
      <rPr>
        <sz val="12"/>
        <rFont val="Times New Roman"/>
        <family val="1"/>
      </rPr>
      <t xml:space="preserve"> </t>
    </r>
    <r>
      <rPr>
        <sz val="12"/>
        <rFont val="標楷體"/>
        <family val="4"/>
        <charset val="136"/>
      </rPr>
      <t>房屋受損：約有</t>
    </r>
    <r>
      <rPr>
        <sz val="12"/>
        <rFont val="Times New Roman"/>
        <family val="1"/>
      </rPr>
      <t xml:space="preserve"> 200</t>
    </r>
    <r>
      <rPr>
        <sz val="12"/>
        <rFont val="標楷體"/>
        <family val="4"/>
        <charset val="136"/>
      </rPr>
      <t>戶以上民宅淹水。</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phoneticPr fontId="5" type="noConversion"/>
  </si>
  <si>
    <r>
      <rPr>
        <sz val="12"/>
        <rFont val="標楷體"/>
        <family val="4"/>
        <charset val="136"/>
      </rPr>
      <t>武荖坑</t>
    </r>
    <r>
      <rPr>
        <sz val="12"/>
        <rFont val="Times New Roman"/>
        <family val="1"/>
      </rPr>
      <t xml:space="preserve">32 </t>
    </r>
    <r>
      <rPr>
        <sz val="12"/>
        <rFont val="標楷體"/>
        <family val="4"/>
        <charset val="136"/>
      </rPr>
      <t>號</t>
    </r>
  </si>
  <si>
    <r>
      <rPr>
        <sz val="12"/>
        <rFont val="標楷體"/>
        <family val="4"/>
        <charset val="136"/>
      </rPr>
      <t>梅姬颱風期間，蘇澳鎮新城里武荖坑</t>
    </r>
    <r>
      <rPr>
        <sz val="12"/>
        <rFont val="Times New Roman"/>
        <family val="1"/>
      </rPr>
      <t xml:space="preserve"> 32 </t>
    </r>
    <r>
      <rPr>
        <sz val="12"/>
        <rFont val="標楷體"/>
        <family val="4"/>
        <charset val="136"/>
      </rPr>
      <t>號後方坑溝逕流宣洩不及而發生洪水災情，造成約</t>
    </r>
    <r>
      <rPr>
        <sz val="12"/>
        <rFont val="Times New Roman"/>
        <family val="1"/>
      </rPr>
      <t xml:space="preserve"> 10 </t>
    </r>
    <r>
      <rPr>
        <sz val="12"/>
        <rFont val="標楷體"/>
        <family val="4"/>
        <charset val="136"/>
      </rPr>
      <t>戶民宅遭洪水泥流入侵，淹水高度達</t>
    </r>
    <r>
      <rPr>
        <sz val="12"/>
        <rFont val="Times New Roman"/>
        <family val="1"/>
      </rPr>
      <t xml:space="preserve"> 30cm</t>
    </r>
    <r>
      <rPr>
        <sz val="12"/>
        <rFont val="標楷體"/>
        <family val="4"/>
        <charset val="136"/>
      </rPr>
      <t>深，部份民宅及道路上仍有堆積泥沙，所幸未造成人員傷亡。</t>
    </r>
    <r>
      <rPr>
        <sz val="12"/>
        <rFont val="Times New Roman"/>
        <family val="1"/>
      </rPr>
      <t xml:space="preserve"> </t>
    </r>
    <r>
      <rPr>
        <sz val="12"/>
        <rFont val="標楷體"/>
        <family val="4"/>
        <charset val="136"/>
      </rPr>
      <t>道路損毀：初估約</t>
    </r>
    <r>
      <rPr>
        <sz val="12"/>
        <rFont val="Times New Roman"/>
        <family val="1"/>
      </rPr>
      <t xml:space="preserve"> 200m </t>
    </r>
    <r>
      <rPr>
        <sz val="12"/>
        <rFont val="標楷體"/>
        <family val="4"/>
        <charset val="136"/>
      </rPr>
      <t>積水。</t>
    </r>
    <r>
      <rPr>
        <sz val="12"/>
        <rFont val="Times New Roman"/>
        <family val="1"/>
      </rPr>
      <t xml:space="preserve"> </t>
    </r>
    <r>
      <rPr>
        <sz val="12"/>
        <rFont val="標楷體"/>
        <family val="4"/>
        <charset val="136"/>
      </rPr>
      <t>房屋受損：約有</t>
    </r>
    <r>
      <rPr>
        <sz val="12"/>
        <rFont val="Times New Roman"/>
        <family val="1"/>
      </rPr>
      <t xml:space="preserve"> 10</t>
    </r>
    <r>
      <rPr>
        <sz val="12"/>
        <rFont val="標楷體"/>
        <family val="4"/>
        <charset val="136"/>
      </rPr>
      <t>戶民宅淹水。</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</si>
  <si>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東城村</t>
    </r>
    <r>
      <rPr>
        <sz val="12"/>
        <rFont val="Times New Roman"/>
        <family val="1"/>
      </rPr>
      <t>223-1</t>
    </r>
    <r>
      <rPr>
        <sz val="12"/>
        <rFont val="標楷體"/>
        <family val="4"/>
        <charset val="136"/>
      </rPr>
      <t>號</t>
    </r>
  </si>
  <si>
    <r>
      <rPr>
        <sz val="12"/>
        <rFont val="標楷體"/>
        <family val="4"/>
        <charset val="136"/>
      </rPr>
      <t>冬山鄉</t>
    </r>
  </si>
  <si>
    <r>
      <rPr>
        <sz val="12"/>
        <rFont val="標楷體"/>
        <family val="4"/>
        <charset val="136"/>
      </rPr>
      <t>東城村</t>
    </r>
  </si>
  <si>
    <r>
      <rPr>
        <sz val="12"/>
        <rFont val="標楷體"/>
        <family val="4"/>
        <charset val="136"/>
      </rPr>
      <t>梅姬颱風期間，冬山鄉東城村發生崩塌災情，造成坡面上一戶民宅、一間鐵皮屋及兩個貨櫃屋遭土石淤埋，崩塌區域長約</t>
    </r>
    <r>
      <rPr>
        <sz val="12"/>
        <rFont val="Times New Roman"/>
        <family val="1"/>
      </rPr>
      <t xml:space="preserve">150m </t>
    </r>
    <r>
      <rPr>
        <sz val="12"/>
        <rFont val="標楷體"/>
        <family val="4"/>
        <charset val="136"/>
      </rPr>
      <t>寬約</t>
    </r>
    <r>
      <rPr>
        <sz val="12"/>
        <rFont val="Times New Roman"/>
        <family val="1"/>
      </rPr>
      <t xml:space="preserve"> 90m</t>
    </r>
    <r>
      <rPr>
        <sz val="12"/>
        <rFont val="標楷體"/>
        <family val="4"/>
        <charset val="136"/>
      </rPr>
      <t>，所幸無人員傷亡。</t>
    </r>
    <r>
      <rPr>
        <sz val="12"/>
        <rFont val="Times New Roman"/>
        <family val="1"/>
      </rPr>
      <t xml:space="preserve">  </t>
    </r>
    <r>
      <rPr>
        <sz val="12"/>
        <rFont val="標楷體"/>
        <family val="4"/>
        <charset val="136"/>
      </rPr>
      <t>道路毀損：台</t>
    </r>
    <r>
      <rPr>
        <sz val="12"/>
        <rFont val="Times New Roman"/>
        <family val="1"/>
      </rPr>
      <t>9</t>
    </r>
    <r>
      <rPr>
        <sz val="12"/>
        <rFont val="標楷體"/>
        <family val="4"/>
        <charset val="136"/>
      </rPr>
      <t>線約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房屋受損：</t>
    </r>
    <r>
      <rPr>
        <sz val="12"/>
        <rFont val="Times New Roman"/>
        <family val="1"/>
      </rPr>
      <t>4</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</si>
  <si>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武荖坑度假山莊。冬山路</t>
    </r>
    <r>
      <rPr>
        <sz val="12"/>
        <rFont val="Times New Roman"/>
        <family val="1"/>
      </rPr>
      <t>1</t>
    </r>
    <r>
      <rPr>
        <sz val="12"/>
        <rFont val="標楷體"/>
        <family val="4"/>
        <charset val="136"/>
      </rPr>
      <t>段</t>
    </r>
    <r>
      <rPr>
        <sz val="12"/>
        <rFont val="Times New Roman"/>
        <family val="1"/>
      </rPr>
      <t>9</t>
    </r>
    <r>
      <rPr>
        <sz val="12"/>
        <rFont val="標楷體"/>
        <family val="4"/>
        <charset val="136"/>
      </rPr>
      <t>弄</t>
    </r>
    <r>
      <rPr>
        <sz val="12"/>
        <rFont val="Times New Roman"/>
        <family val="1"/>
      </rPr>
      <t>28</t>
    </r>
    <r>
      <rPr>
        <sz val="12"/>
        <rFont val="標楷體"/>
        <family val="4"/>
        <charset val="136"/>
      </rPr>
      <t>號</t>
    </r>
  </si>
  <si>
    <r>
      <rPr>
        <sz val="12"/>
        <rFont val="標楷體"/>
        <family val="4"/>
        <charset val="136"/>
      </rPr>
      <t>梅姬颱風期間，東城村武荖坑渡假山莊旁邊坡發生崩塌災情，土石淤埋佛光路及駁坎，有三位居民遭落石砸傷，其中一位遭土石淤埋，經搶救幸無生命威脅。</t>
    </r>
    <r>
      <rPr>
        <sz val="12"/>
        <rFont val="Times New Roman"/>
        <family val="1"/>
      </rPr>
      <t xml:space="preserve"> </t>
    </r>
    <r>
      <rPr>
        <sz val="12"/>
        <rFont val="標楷體"/>
        <family val="4"/>
        <charset val="136"/>
      </rPr>
      <t>佛光路沿線上邊坡有多處零星崩塌，雨水沖刷坡面鬆散土砂造成佛光路路面遍布泥流。道路毀損：約</t>
    </r>
    <r>
      <rPr>
        <sz val="12"/>
        <rFont val="Times New Roman"/>
        <family val="1"/>
      </rPr>
      <t xml:space="preserve"> 500</t>
    </r>
    <r>
      <rPr>
        <sz val="12"/>
        <rFont val="標楷體"/>
        <family val="4"/>
        <charset val="136"/>
      </rPr>
      <t>公尺。</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人員傷亡：</t>
    </r>
    <r>
      <rPr>
        <sz val="12"/>
        <rFont val="Times New Roman"/>
        <family val="1"/>
      </rPr>
      <t>3</t>
    </r>
    <r>
      <rPr>
        <sz val="12"/>
        <rFont val="標楷體"/>
        <family val="4"/>
        <charset val="136"/>
      </rPr>
      <t>人受傷。</t>
    </r>
    <r>
      <rPr>
        <sz val="12"/>
        <rFont val="Times New Roman"/>
        <family val="1"/>
      </rPr>
      <t xml:space="preserve"> </t>
    </r>
    <phoneticPr fontId="5" type="noConversion"/>
  </si>
  <si>
    <r>
      <rPr>
        <sz val="12"/>
        <rFont val="標楷體"/>
        <family val="4"/>
        <charset val="136"/>
      </rPr>
      <t>湖東路</t>
    </r>
    <r>
      <rPr>
        <sz val="12"/>
        <rFont val="Times New Roman"/>
        <family val="1"/>
      </rPr>
      <t>26</t>
    </r>
    <r>
      <rPr>
        <sz val="12"/>
        <rFont val="標楷體"/>
        <family val="4"/>
        <charset val="136"/>
      </rPr>
      <t>至</t>
    </r>
    <r>
      <rPr>
        <sz val="12"/>
        <rFont val="Times New Roman"/>
        <family val="1"/>
      </rPr>
      <t>28</t>
    </r>
    <r>
      <rPr>
        <sz val="12"/>
        <rFont val="標楷體"/>
        <family val="4"/>
        <charset val="136"/>
      </rPr>
      <t>號民宅</t>
    </r>
  </si>
  <si>
    <r>
      <rPr>
        <sz val="12"/>
        <rFont val="標楷體"/>
        <family val="4"/>
        <charset val="136"/>
      </rPr>
      <t>梅姬颱風期間，造成永春里湖東路</t>
    </r>
    <r>
      <rPr>
        <sz val="12"/>
        <rFont val="Times New Roman"/>
        <family val="1"/>
      </rPr>
      <t xml:space="preserve"> 26</t>
    </r>
    <r>
      <rPr>
        <sz val="12"/>
        <rFont val="標楷體"/>
        <family val="4"/>
        <charset val="136"/>
      </rPr>
      <t>號至</t>
    </r>
    <r>
      <rPr>
        <sz val="12"/>
        <rFont val="Times New Roman"/>
        <family val="1"/>
      </rPr>
      <t xml:space="preserve">28 </t>
    </r>
    <r>
      <rPr>
        <sz val="12"/>
        <rFont val="標楷體"/>
        <family val="4"/>
        <charset val="136"/>
      </rPr>
      <t>號民宅後方坡地崩塌，大量土石掩埋果園及</t>
    </r>
    <r>
      <rPr>
        <sz val="12"/>
        <rFont val="Times New Roman"/>
        <family val="1"/>
      </rPr>
      <t xml:space="preserve"> 3</t>
    </r>
    <r>
      <rPr>
        <sz val="12"/>
        <rFont val="標楷體"/>
        <family val="4"/>
        <charset val="136"/>
      </rPr>
      <t>戶民宅，約</t>
    </r>
    <r>
      <rPr>
        <sz val="12"/>
        <rFont val="Times New Roman"/>
        <family val="1"/>
      </rPr>
      <t xml:space="preserve"> 20</t>
    </r>
    <r>
      <rPr>
        <sz val="12"/>
        <rFont val="標楷體"/>
        <family val="4"/>
        <charset val="136"/>
      </rPr>
      <t>人進行避難；此外大量土石堆積原有猴猴坑溪河道，迫使流路改變，河水漫流至下游漁塭，造成養殖漁業損失；猴猴坑溪護岸傾倒損毀，崩塌土方堆積於河道。</t>
    </r>
    <r>
      <rPr>
        <sz val="12"/>
        <rFont val="Times New Roman"/>
        <family val="1"/>
      </rPr>
      <t xml:space="preserve"> </t>
    </r>
    <r>
      <rPr>
        <sz val="12"/>
        <rFont val="標楷體"/>
        <family val="4"/>
        <charset val="136"/>
      </rPr>
      <t>道路毀損：約</t>
    </r>
    <r>
      <rPr>
        <sz val="12"/>
        <rFont val="Times New Roman"/>
        <family val="1"/>
      </rPr>
      <t xml:space="preserve"> 500</t>
    </r>
    <r>
      <rPr>
        <sz val="12"/>
        <rFont val="標楷體"/>
        <family val="4"/>
        <charset val="136"/>
      </rPr>
      <t>公尺。房屋受損：共</t>
    </r>
    <r>
      <rPr>
        <sz val="12"/>
        <rFont val="Times New Roman"/>
        <family val="1"/>
      </rPr>
      <t>8</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</si>
  <si>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湧泉休閒農場</t>
    </r>
  </si>
  <si>
    <r>
      <rPr>
        <sz val="12"/>
        <rFont val="標楷體"/>
        <family val="4"/>
        <charset val="136"/>
      </rPr>
      <t>梅姬颱風期間，永春里湖東路湧泉休閒農場園區內多處崩塌，大量土石掩埋農場設施及果園，豪雨亦造成附近漁塭旁坡地崩塌，土石入侵漁塭，造成養殖漁業損失；同時土砂進入河道，導致猴猴坑溪護岸傾倒損毀，泥砂堆積河道。</t>
    </r>
    <r>
      <rPr>
        <sz val="12"/>
        <rFont val="Times New Roman"/>
        <family val="1"/>
      </rPr>
      <t xml:space="preserve"> </t>
    </r>
    <r>
      <rPr>
        <sz val="12"/>
        <rFont val="標楷體"/>
        <family val="4"/>
        <charset val="136"/>
      </rPr>
      <t>道路毀損：約</t>
    </r>
    <r>
      <rPr>
        <sz val="12"/>
        <rFont val="Times New Roman"/>
        <family val="1"/>
      </rPr>
      <t xml:space="preserve"> 300</t>
    </r>
    <r>
      <rPr>
        <sz val="12"/>
        <rFont val="標楷體"/>
        <family val="4"/>
        <charset val="136"/>
      </rPr>
      <t>公尺。</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</si>
  <si>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湖東路</t>
    </r>
    <r>
      <rPr>
        <sz val="12"/>
        <rFont val="Times New Roman"/>
        <family val="1"/>
      </rPr>
      <t>25</t>
    </r>
    <r>
      <rPr>
        <sz val="12"/>
        <rFont val="標楷體"/>
        <family val="4"/>
        <charset val="136"/>
      </rPr>
      <t>號民宅</t>
    </r>
    <r>
      <rPr>
        <sz val="12"/>
        <rFont val="Times New Roman"/>
        <family val="1"/>
      </rPr>
      <t>(</t>
    </r>
    <r>
      <rPr>
        <sz val="12"/>
        <rFont val="標楷體"/>
        <family val="4"/>
        <charset val="136"/>
      </rPr>
      <t>土雞城</t>
    </r>
    <r>
      <rPr>
        <sz val="12"/>
        <rFont val="Times New Roman"/>
        <family val="1"/>
      </rPr>
      <t>)</t>
    </r>
  </si>
  <si>
    <r>
      <rPr>
        <sz val="12"/>
        <rFont val="標楷體"/>
        <family val="4"/>
        <charset val="136"/>
      </rPr>
      <t>梅姬颱風期間，永春里湖東路湧泉休閒農場園區內多處崩塌，大量土石掩埋農場設施及果園，豪雨亦造成附近漁塭旁坡地崩塌，土石入侵漁塭，造成養殖漁業損失；同時土砂進入河道，導致猴猴坑溪護岸傾倒損毀，泥砂堆積河道。</t>
    </r>
    <r>
      <rPr>
        <sz val="12"/>
        <rFont val="Times New Roman"/>
        <family val="1"/>
      </rPr>
      <t xml:space="preserve"> </t>
    </r>
    <r>
      <rPr>
        <sz val="12"/>
        <rFont val="標楷體"/>
        <family val="4"/>
        <charset val="136"/>
      </rPr>
      <t>道路毀損：約</t>
    </r>
    <r>
      <rPr>
        <sz val="12"/>
        <rFont val="Times New Roman"/>
        <family val="1"/>
      </rPr>
      <t xml:space="preserve"> 300</t>
    </r>
    <r>
      <rPr>
        <sz val="12"/>
        <rFont val="標楷體"/>
        <family val="4"/>
        <charset val="136"/>
      </rPr>
      <t>公尺。</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</si>
  <si>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天主巷盡頭山坡地</t>
    </r>
  </si>
  <si>
    <r>
      <rPr>
        <sz val="12"/>
        <rFont val="標楷體"/>
        <family val="4"/>
        <charset val="136"/>
      </rPr>
      <t>南正里</t>
    </r>
  </si>
  <si>
    <r>
      <rPr>
        <sz val="12"/>
        <rFont val="標楷體"/>
        <family val="4"/>
        <charset val="136"/>
      </rPr>
      <t>梅姬颱風造成天主堂後方坡地崩塌，崩塌地下方兩戶民宅受損，崩落土石堆積天主巷約</t>
    </r>
    <r>
      <rPr>
        <sz val="12"/>
        <rFont val="Times New Roman"/>
        <family val="1"/>
      </rPr>
      <t xml:space="preserve"> 120</t>
    </r>
    <r>
      <rPr>
        <sz val="12"/>
        <rFont val="標楷體"/>
        <family val="4"/>
        <charset val="136"/>
      </rPr>
      <t>公尺。土石堆積：文化巷道路與周邊民宅淤埋。房屋受損：約</t>
    </r>
    <r>
      <rPr>
        <sz val="12"/>
        <rFont val="Times New Roman"/>
        <family val="1"/>
      </rPr>
      <t xml:space="preserve"> 25</t>
    </r>
    <r>
      <rPr>
        <sz val="12"/>
        <rFont val="標楷體"/>
        <family val="4"/>
        <charset val="136"/>
      </rPr>
      <t>棟。</t>
    </r>
    <r>
      <rPr>
        <sz val="12"/>
        <rFont val="Times New Roman"/>
        <family val="1"/>
      </rPr>
      <t xml:space="preserve"> </t>
    </r>
    <r>
      <rPr>
        <sz val="12"/>
        <rFont val="標楷體"/>
        <family val="4"/>
        <charset val="136"/>
      </rPr>
      <t>道路毀損：約</t>
    </r>
    <r>
      <rPr>
        <sz val="12"/>
        <rFont val="Times New Roman"/>
        <family val="1"/>
      </rPr>
      <t xml:space="preserve"> 120</t>
    </r>
    <r>
      <rPr>
        <sz val="12"/>
        <rFont val="標楷體"/>
        <family val="4"/>
        <charset val="136"/>
      </rPr>
      <t>公尺。</t>
    </r>
    <phoneticPr fontId="5" type="noConversion"/>
  </si>
  <si>
    <r>
      <rPr>
        <sz val="12"/>
        <rFont val="標楷體"/>
        <family val="4"/>
        <charset val="136"/>
      </rPr>
      <t>進安宮。台</t>
    </r>
    <r>
      <rPr>
        <sz val="12"/>
        <rFont val="Times New Roman"/>
        <family val="1"/>
      </rPr>
      <t>2</t>
    </r>
    <r>
      <rPr>
        <sz val="12"/>
        <rFont val="標楷體"/>
        <family val="4"/>
        <charset val="136"/>
      </rPr>
      <t>戊線</t>
    </r>
    <r>
      <rPr>
        <sz val="12"/>
        <rFont val="Times New Roman"/>
        <family val="1"/>
      </rPr>
      <t>13k</t>
    </r>
    <r>
      <rPr>
        <sz val="12"/>
        <rFont val="標楷體"/>
        <family val="4"/>
        <charset val="136"/>
      </rPr>
      <t>處</t>
    </r>
  </si>
  <si>
    <r>
      <rPr>
        <sz val="12"/>
        <rFont val="標楷體"/>
        <family val="4"/>
        <charset val="136"/>
      </rPr>
      <t>梅姬颱風期間，蘇南公路上邊坡發生崩塌災情，崩塌土石阻斷蘇南公路通行。</t>
    </r>
    <r>
      <rPr>
        <sz val="12"/>
        <rFont val="Times New Roman"/>
        <family val="1"/>
      </rPr>
      <t xml:space="preserve"> </t>
    </r>
    <r>
      <rPr>
        <sz val="12"/>
        <rFont val="標楷體"/>
        <family val="4"/>
        <charset val="136"/>
      </rPr>
      <t>蘇南公路下邊坡崩塌，造成蘇南公路路基流失，擋土牆損毀。</t>
    </r>
    <r>
      <rPr>
        <sz val="12"/>
        <rFont val="Times New Roman"/>
        <family val="1"/>
      </rPr>
      <t xml:space="preserve"> </t>
    </r>
    <r>
      <rPr>
        <sz val="12"/>
        <rFont val="標楷體"/>
        <family val="4"/>
        <charset val="136"/>
      </rPr>
      <t>土砂泥流入侵進安宮及興建中之遊客中心，並堆積於進安宮後方。</t>
    </r>
    <r>
      <rPr>
        <sz val="12"/>
        <rFont val="Times New Roman"/>
        <family val="1"/>
      </rPr>
      <t xml:space="preserve"> </t>
    </r>
    <r>
      <rPr>
        <sz val="12"/>
        <rFont val="標楷體"/>
        <family val="4"/>
        <charset val="136"/>
      </rPr>
      <t>道路毀損：蘇南公路約</t>
    </r>
    <r>
      <rPr>
        <sz val="12"/>
        <rFont val="Times New Roman"/>
        <family val="1"/>
      </rPr>
      <t xml:space="preserve"> 150m</t>
    </r>
    <r>
      <rPr>
        <sz val="12"/>
        <rFont val="標楷體"/>
        <family val="4"/>
        <charset val="136"/>
      </rPr>
      <t>。</t>
    </r>
    <r>
      <rPr>
        <sz val="12"/>
        <rFont val="Times New Roman"/>
        <family val="1"/>
      </rPr>
      <t xml:space="preserve">  </t>
    </r>
    <r>
      <rPr>
        <sz val="12"/>
        <rFont val="標楷體"/>
        <family val="4"/>
        <charset val="136"/>
      </rPr>
      <t>房屋受損：進安宮及遊客中心</t>
    </r>
    <r>
      <rPr>
        <sz val="12"/>
        <rFont val="Times New Roman"/>
        <family val="1"/>
      </rPr>
      <t xml:space="preserve"> 2</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</si>
  <si>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文化巷</t>
    </r>
    <r>
      <rPr>
        <sz val="12"/>
        <rFont val="Times New Roman"/>
        <family val="1"/>
      </rPr>
      <t>(</t>
    </r>
    <r>
      <rPr>
        <sz val="12"/>
        <rFont val="標楷體"/>
        <family val="4"/>
        <charset val="136"/>
      </rPr>
      <t>台</t>
    </r>
    <r>
      <rPr>
        <sz val="12"/>
        <rFont val="Times New Roman"/>
        <family val="1"/>
      </rPr>
      <t>2</t>
    </r>
    <r>
      <rPr>
        <sz val="12"/>
        <rFont val="標楷體"/>
        <family val="4"/>
        <charset val="136"/>
      </rPr>
      <t>戊轉力行街盡頭</t>
    </r>
    <r>
      <rPr>
        <sz val="12"/>
        <rFont val="Times New Roman"/>
        <family val="1"/>
      </rPr>
      <t>)</t>
    </r>
  </si>
  <si>
    <r>
      <rPr>
        <sz val="12"/>
        <rFont val="標楷體"/>
        <family val="4"/>
        <charset val="136"/>
      </rPr>
      <t>南成里</t>
    </r>
  </si>
  <si>
    <r>
      <rPr>
        <sz val="12"/>
        <rFont val="標楷體"/>
        <family val="4"/>
        <charset val="136"/>
      </rPr>
      <t>梅姬颱風期間，文化巷多起崩塌地土石崩落，其中</t>
    </r>
    <r>
      <rPr>
        <sz val="12"/>
        <rFont val="Times New Roman"/>
        <family val="1"/>
      </rPr>
      <t xml:space="preserve"> 19</t>
    </r>
    <r>
      <rPr>
        <sz val="12"/>
        <rFont val="標楷體"/>
        <family val="4"/>
        <charset val="136"/>
      </rPr>
      <t>到</t>
    </r>
    <r>
      <rPr>
        <sz val="12"/>
        <rFont val="Times New Roman"/>
        <family val="1"/>
      </rPr>
      <t xml:space="preserve"> 22</t>
    </r>
    <r>
      <rPr>
        <sz val="12"/>
        <rFont val="標楷體"/>
        <family val="4"/>
        <charset val="136"/>
      </rPr>
      <t>民宅後方崩塌，造成</t>
    </r>
    <r>
      <rPr>
        <sz val="12"/>
        <rFont val="Times New Roman"/>
        <family val="1"/>
      </rPr>
      <t xml:space="preserve"> 20</t>
    </r>
    <r>
      <rPr>
        <sz val="12"/>
        <rFont val="標楷體"/>
        <family val="4"/>
        <charset val="136"/>
      </rPr>
      <t>號民宅損壞，文化巷多數民宅遭崩塌土石堆積，部份土石衝入民宅導致民宅損壞。</t>
    </r>
    <r>
      <rPr>
        <sz val="12"/>
        <rFont val="Times New Roman"/>
        <family val="1"/>
      </rPr>
      <t xml:space="preserve"> </t>
    </r>
    <r>
      <rPr>
        <sz val="12"/>
        <rFont val="標楷體"/>
        <family val="4"/>
        <charset val="136"/>
      </rPr>
      <t>土石淤埋：文化巷道路與周邊民宅淤埋。</t>
    </r>
    <r>
      <rPr>
        <sz val="12"/>
        <rFont val="Times New Roman"/>
        <family val="1"/>
      </rPr>
      <t xml:space="preserve"> </t>
    </r>
    <r>
      <rPr>
        <sz val="12"/>
        <rFont val="標楷體"/>
        <family val="4"/>
        <charset val="136"/>
      </rPr>
      <t>房屋受損：約</t>
    </r>
    <r>
      <rPr>
        <sz val="12"/>
        <rFont val="Times New Roman"/>
        <family val="1"/>
      </rPr>
      <t xml:space="preserve"> 35</t>
    </r>
    <r>
      <rPr>
        <sz val="12"/>
        <rFont val="標楷體"/>
        <family val="4"/>
        <charset val="136"/>
      </rPr>
      <t>棟。</t>
    </r>
    <r>
      <rPr>
        <sz val="12"/>
        <rFont val="Times New Roman"/>
        <family val="1"/>
      </rPr>
      <t xml:space="preserve">  </t>
    </r>
    <r>
      <rPr>
        <sz val="12"/>
        <rFont val="標楷體"/>
        <family val="4"/>
        <charset val="136"/>
      </rPr>
      <t>道路毀損：文化巷約</t>
    </r>
    <r>
      <rPr>
        <sz val="12"/>
        <rFont val="Times New Roman"/>
        <family val="1"/>
      </rPr>
      <t xml:space="preserve"> 120</t>
    </r>
    <r>
      <rPr>
        <sz val="12"/>
        <rFont val="標楷體"/>
        <family val="4"/>
        <charset val="136"/>
      </rPr>
      <t>公尺土石堆積。</t>
    </r>
    <phoneticPr fontId="5" type="noConversion"/>
  </si>
  <si>
    <r>
      <rPr>
        <sz val="12"/>
        <rFont val="標楷體"/>
        <family val="4"/>
        <charset val="136"/>
      </rPr>
      <t>白雲寺旁民宅。台</t>
    </r>
    <r>
      <rPr>
        <sz val="12"/>
        <rFont val="Times New Roman"/>
        <family val="1"/>
      </rPr>
      <t>9</t>
    </r>
    <r>
      <rPr>
        <sz val="12"/>
        <rFont val="標楷體"/>
        <family val="4"/>
        <charset val="136"/>
      </rPr>
      <t>線台</t>
    </r>
    <r>
      <rPr>
        <sz val="12"/>
        <rFont val="Times New Roman"/>
        <family val="1"/>
      </rPr>
      <t>2</t>
    </r>
    <r>
      <rPr>
        <sz val="12"/>
        <rFont val="標楷體"/>
        <family val="4"/>
        <charset val="136"/>
      </rPr>
      <t>戊共線道路轉冷泉路約</t>
    </r>
    <r>
      <rPr>
        <sz val="12"/>
        <rFont val="Times New Roman"/>
        <family val="1"/>
      </rPr>
      <t>1</t>
    </r>
    <r>
      <rPr>
        <sz val="12"/>
        <rFont val="標楷體"/>
        <family val="4"/>
        <charset val="136"/>
      </rPr>
      <t>公里</t>
    </r>
  </si>
  <si>
    <r>
      <rPr>
        <sz val="12"/>
        <rFont val="標楷體"/>
        <family val="4"/>
        <charset val="136"/>
      </rPr>
      <t>梅姬颱風期間，蘇澳鎮白雲寺旁民宅後方坡地發生崩塌災情，崩塌土石損毀廟宇別棟，並摧毀寺廟旁兩戶民宅，房舍內避難人員</t>
    </r>
    <r>
      <rPr>
        <sz val="12"/>
        <rFont val="Times New Roman"/>
        <family val="1"/>
      </rPr>
      <t xml:space="preserve"> 9</t>
    </r>
    <r>
      <rPr>
        <sz val="12"/>
        <rFont val="標楷體"/>
        <family val="4"/>
        <charset val="136"/>
      </rPr>
      <t>員全數罹難。</t>
    </r>
    <r>
      <rPr>
        <sz val="12"/>
        <rFont val="Times New Roman"/>
        <family val="1"/>
      </rPr>
      <t xml:space="preserve"> </t>
    </r>
    <r>
      <rPr>
        <sz val="12"/>
        <rFont val="標楷體"/>
        <family val="4"/>
        <charset val="136"/>
      </rPr>
      <t>土石淤埋：寺廟周圍土石淤埋阻斷道路。房屋受損：白雲寺別棟與東側民宅</t>
    </r>
    <r>
      <rPr>
        <sz val="12"/>
        <rFont val="Times New Roman"/>
        <family val="1"/>
      </rPr>
      <t xml:space="preserve"> 2</t>
    </r>
    <r>
      <rPr>
        <sz val="12"/>
        <rFont val="標楷體"/>
        <family val="4"/>
        <charset val="136"/>
      </rPr>
      <t>戶。人員傷亡：廟方人員與避難民眾共</t>
    </r>
    <r>
      <rPr>
        <sz val="12"/>
        <rFont val="Times New Roman"/>
        <family val="1"/>
      </rPr>
      <t xml:space="preserve"> 9</t>
    </r>
    <r>
      <rPr>
        <sz val="12"/>
        <rFont val="標楷體"/>
        <family val="4"/>
        <charset val="136"/>
      </rPr>
      <t xml:space="preserve">人。
</t>
    </r>
    <phoneticPr fontId="5" type="noConversion"/>
  </si>
  <si>
    <r>
      <rPr>
        <sz val="12"/>
        <rFont val="標楷體"/>
        <family val="4"/>
        <charset val="136"/>
      </rPr>
      <t>中山路一段</t>
    </r>
    <r>
      <rPr>
        <sz val="12"/>
        <rFont val="Times New Roman"/>
        <family val="1"/>
      </rPr>
      <t>264</t>
    </r>
    <r>
      <rPr>
        <sz val="12"/>
        <rFont val="標楷體"/>
        <family val="4"/>
        <charset val="136"/>
      </rPr>
      <t>巷。蘇澳分局及戶政事務所後方山坡</t>
    </r>
  </si>
  <si>
    <r>
      <rPr>
        <sz val="12"/>
        <rFont val="標楷體"/>
        <family val="4"/>
        <charset val="136"/>
      </rPr>
      <t>梅姬颱風期間，大量降雨導致蘇澳分局及中山路</t>
    </r>
    <r>
      <rPr>
        <sz val="12"/>
        <rFont val="Times New Roman"/>
        <family val="1"/>
      </rPr>
      <t xml:space="preserve"> 264</t>
    </r>
    <r>
      <rPr>
        <sz val="12"/>
        <rFont val="標楷體"/>
        <family val="4"/>
        <charset val="136"/>
      </rPr>
      <t>巷後方山坡崩塌，造成</t>
    </r>
    <r>
      <rPr>
        <sz val="12"/>
        <rFont val="Times New Roman"/>
        <family val="1"/>
      </rPr>
      <t xml:space="preserve"> 5</t>
    </r>
    <r>
      <rPr>
        <sz val="12"/>
        <rFont val="標楷體"/>
        <family val="4"/>
        <charset val="136"/>
      </rPr>
      <t>棟房屋全毀，</t>
    </r>
    <r>
      <rPr>
        <sz val="12"/>
        <rFont val="Times New Roman"/>
        <family val="1"/>
      </rPr>
      <t xml:space="preserve">10 </t>
    </r>
    <r>
      <rPr>
        <sz val="12"/>
        <rFont val="標楷體"/>
        <family val="4"/>
        <charset val="136"/>
      </rPr>
      <t>戶民宅部份遭土砂泥流入侵，阻斷道路約</t>
    </r>
    <r>
      <rPr>
        <sz val="12"/>
        <rFont val="Times New Roman"/>
        <family val="1"/>
      </rPr>
      <t xml:space="preserve"> 300</t>
    </r>
    <r>
      <rPr>
        <sz val="12"/>
        <rFont val="標楷體"/>
        <family val="4"/>
        <charset val="136"/>
      </rPr>
      <t>公尺。道路毀損：中山路遭土砂阻斷約</t>
    </r>
    <r>
      <rPr>
        <sz val="12"/>
        <rFont val="Times New Roman"/>
        <family val="1"/>
      </rPr>
      <t xml:space="preserve"> 300 </t>
    </r>
    <r>
      <rPr>
        <sz val="12"/>
        <rFont val="標楷體"/>
        <family val="4"/>
        <charset val="136"/>
      </rPr>
      <t>公尺。</t>
    </r>
    <r>
      <rPr>
        <sz val="12"/>
        <rFont val="Times New Roman"/>
        <family val="1"/>
      </rPr>
      <t xml:space="preserve"> </t>
    </r>
    <r>
      <rPr>
        <sz val="12"/>
        <rFont val="標楷體"/>
        <family val="4"/>
        <charset val="136"/>
      </rPr>
      <t>房屋受損：約有</t>
    </r>
    <r>
      <rPr>
        <sz val="12"/>
        <rFont val="Times New Roman"/>
        <family val="1"/>
      </rPr>
      <t xml:space="preserve"> 15</t>
    </r>
    <r>
      <rPr>
        <sz val="12"/>
        <rFont val="標楷體"/>
        <family val="4"/>
        <charset val="136"/>
      </rPr>
      <t>棟民宅受損。</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</si>
  <si>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城隍廟。埤岸路</t>
    </r>
    <r>
      <rPr>
        <sz val="12"/>
        <rFont val="Times New Roman"/>
        <family val="1"/>
      </rPr>
      <t>31</t>
    </r>
    <r>
      <rPr>
        <sz val="12"/>
        <rFont val="標楷體"/>
        <family val="4"/>
        <charset val="136"/>
      </rPr>
      <t>號</t>
    </r>
  </si>
  <si>
    <r>
      <rPr>
        <sz val="12"/>
        <rFont val="標楷體"/>
        <family val="4"/>
        <charset val="136"/>
      </rPr>
      <t>蘇東里</t>
    </r>
  </si>
  <si>
    <r>
      <rPr>
        <sz val="12"/>
        <rFont val="標楷體"/>
        <family val="4"/>
        <charset val="136"/>
      </rPr>
      <t>梅姬颱風期間，蘇東里城隍廟後方坡地崩塌，毀損林森路路基及道路圍牆，崩塌土石堆積於道路下邊坡，並沖入</t>
    </r>
    <r>
      <rPr>
        <sz val="12"/>
        <rFont val="Times New Roman"/>
        <family val="1"/>
      </rPr>
      <t xml:space="preserve"> 20~31 </t>
    </r>
    <r>
      <rPr>
        <sz val="12"/>
        <rFont val="標楷體"/>
        <family val="4"/>
        <charset val="136"/>
      </rPr>
      <t>號民宅內，其中兩戶民宅遭土石淤埋。</t>
    </r>
    <r>
      <rPr>
        <sz val="12"/>
        <rFont val="Times New Roman"/>
        <family val="1"/>
      </rPr>
      <t xml:space="preserve"> </t>
    </r>
    <r>
      <rPr>
        <sz val="12"/>
        <rFont val="標楷體"/>
        <family val="4"/>
        <charset val="136"/>
      </rPr>
      <t>道路毀損：林森路約</t>
    </r>
    <r>
      <rPr>
        <sz val="12"/>
        <rFont val="Times New Roman"/>
        <family val="1"/>
      </rPr>
      <t xml:space="preserve"> 50</t>
    </r>
    <r>
      <rPr>
        <sz val="12"/>
        <rFont val="標楷體"/>
        <family val="4"/>
        <charset val="136"/>
      </rPr>
      <t>公尺。</t>
    </r>
    <r>
      <rPr>
        <sz val="12"/>
        <rFont val="Times New Roman"/>
        <family val="1"/>
      </rPr>
      <t xml:space="preserve"> </t>
    </r>
    <r>
      <rPr>
        <sz val="12"/>
        <rFont val="標楷體"/>
        <family val="4"/>
        <charset val="136"/>
      </rPr>
      <t>房屋受損：約</t>
    </r>
    <r>
      <rPr>
        <sz val="12"/>
        <rFont val="Times New Roman"/>
        <family val="1"/>
      </rPr>
      <t xml:space="preserve"> 10</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</si>
  <si>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崩塌、土石流</t>
    </r>
  </si>
  <si>
    <r>
      <rPr>
        <sz val="12"/>
        <rFont val="標楷體"/>
        <family val="4"/>
        <charset val="136"/>
      </rPr>
      <t>漢聖宮及南仙宮。新化巷盡頭</t>
    </r>
  </si>
  <si>
    <r>
      <rPr>
        <sz val="12"/>
        <rFont val="標楷體"/>
        <family val="4"/>
        <charset val="136"/>
      </rPr>
      <t>梅姬颱風期間，南成里漢聖宮及南仙宮邊坡發生崩塌，豪雨挾帶崩塌土石造成土石流災害。</t>
    </r>
    <r>
      <rPr>
        <sz val="12"/>
        <rFont val="Times New Roman"/>
        <family val="1"/>
      </rPr>
      <t xml:space="preserve"> </t>
    </r>
    <r>
      <rPr>
        <sz val="12"/>
        <rFont val="標楷體"/>
        <family val="4"/>
        <charset val="136"/>
      </rPr>
      <t>土石堆積：土石堆積於漢聖宮及南仙宮。土石淤埋：新化巷及周邊民宅</t>
    </r>
    <r>
      <rPr>
        <sz val="12"/>
        <rFont val="Times New Roman"/>
        <family val="1"/>
      </rPr>
      <t xml:space="preserve"> 40</t>
    </r>
    <r>
      <rPr>
        <sz val="12"/>
        <rFont val="標楷體"/>
        <family val="4"/>
        <charset val="136"/>
      </rPr>
      <t>餘戶。</t>
    </r>
    <r>
      <rPr>
        <sz val="12"/>
        <rFont val="Times New Roman"/>
        <family val="1"/>
      </rPr>
      <t xml:space="preserve"> </t>
    </r>
    <r>
      <rPr>
        <sz val="12"/>
        <rFont val="標楷體"/>
        <family val="4"/>
        <charset val="136"/>
      </rPr>
      <t>房屋受損：約</t>
    </r>
    <r>
      <rPr>
        <sz val="12"/>
        <rFont val="Times New Roman"/>
        <family val="1"/>
      </rPr>
      <t xml:space="preserve"> 40</t>
    </r>
    <r>
      <rPr>
        <sz val="12"/>
        <rFont val="標楷體"/>
        <family val="4"/>
        <charset val="136"/>
      </rPr>
      <t>棟。</t>
    </r>
    <r>
      <rPr>
        <sz val="12"/>
        <rFont val="Times New Roman"/>
        <family val="1"/>
      </rPr>
      <t xml:space="preserve"> </t>
    </r>
    <r>
      <rPr>
        <sz val="12"/>
        <rFont val="標楷體"/>
        <family val="4"/>
        <charset val="136"/>
      </rPr>
      <t>道路毀損：約</t>
    </r>
    <r>
      <rPr>
        <sz val="12"/>
        <rFont val="Times New Roman"/>
        <family val="1"/>
      </rPr>
      <t xml:space="preserve"> 300</t>
    </r>
    <r>
      <rPr>
        <sz val="12"/>
        <rFont val="標楷體"/>
        <family val="4"/>
        <charset val="136"/>
      </rPr>
      <t>公尺。</t>
    </r>
    <phoneticPr fontId="5" type="noConversion"/>
  </si>
  <si>
    <r>
      <rPr>
        <sz val="12"/>
        <rFont val="標楷體"/>
        <family val="4"/>
        <charset val="136"/>
      </rPr>
      <t>指南宮</t>
    </r>
    <r>
      <rPr>
        <sz val="12"/>
        <rFont val="Times New Roman"/>
        <family val="1"/>
      </rPr>
      <t>(</t>
    </r>
    <r>
      <rPr>
        <sz val="12"/>
        <rFont val="標楷體"/>
        <family val="4"/>
        <charset val="136"/>
      </rPr>
      <t>台</t>
    </r>
    <r>
      <rPr>
        <sz val="12"/>
        <rFont val="Times New Roman"/>
        <family val="1"/>
      </rPr>
      <t>9</t>
    </r>
    <r>
      <rPr>
        <sz val="12"/>
        <rFont val="標楷體"/>
        <family val="4"/>
        <charset val="136"/>
      </rPr>
      <t>線台</t>
    </r>
    <r>
      <rPr>
        <sz val="12"/>
        <rFont val="Times New Roman"/>
        <family val="1"/>
      </rPr>
      <t>2</t>
    </r>
    <r>
      <rPr>
        <sz val="12"/>
        <rFont val="標楷體"/>
        <family val="4"/>
        <charset val="136"/>
      </rPr>
      <t>戊貢獻道路轉冷泉路約</t>
    </r>
    <r>
      <rPr>
        <sz val="12"/>
        <rFont val="Times New Roman"/>
        <family val="1"/>
      </rPr>
      <t>1</t>
    </r>
    <r>
      <rPr>
        <sz val="12"/>
        <rFont val="標楷體"/>
        <family val="4"/>
        <charset val="136"/>
      </rPr>
      <t>公里</t>
    </r>
    <r>
      <rPr>
        <sz val="12"/>
        <rFont val="Times New Roman"/>
        <family val="1"/>
      </rPr>
      <t>)</t>
    </r>
  </si>
  <si>
    <r>
      <rPr>
        <sz val="12"/>
        <rFont val="標楷體"/>
        <family val="4"/>
        <charset val="136"/>
      </rPr>
      <t>宜縣</t>
    </r>
    <r>
      <rPr>
        <sz val="12"/>
        <rFont val="Times New Roman"/>
        <family val="1"/>
      </rPr>
      <t>DF102</t>
    </r>
  </si>
  <si>
    <r>
      <rPr>
        <sz val="12"/>
        <rFont val="標楷體"/>
        <family val="4"/>
        <charset val="136"/>
      </rPr>
      <t>宜縣</t>
    </r>
    <r>
      <rPr>
        <sz val="12"/>
        <rFont val="Times New Roman"/>
        <family val="1"/>
      </rPr>
      <t>DF102</t>
    </r>
    <r>
      <rPr>
        <sz val="12"/>
        <rFont val="標楷體"/>
        <family val="4"/>
        <charset val="136"/>
      </rPr>
      <t>於梅姬颱風因上游山區長時間之豪大雨，指南宮後方山壁出現崩塌災情，崩塌土石堆積於指南宮後方廣場，並造成宜縣</t>
    </r>
    <r>
      <rPr>
        <sz val="12"/>
        <rFont val="Times New Roman"/>
        <family val="1"/>
      </rPr>
      <t xml:space="preserve"> DF102</t>
    </r>
    <r>
      <rPr>
        <sz val="12"/>
        <rFont val="標楷體"/>
        <family val="4"/>
        <charset val="136"/>
      </rPr>
      <t>爆發土石流災情，將土石運移至下方冷泉運動公園。</t>
    </r>
    <r>
      <rPr>
        <sz val="12"/>
        <rFont val="Times New Roman"/>
        <family val="1"/>
      </rPr>
      <t xml:space="preserve"> </t>
    </r>
    <r>
      <rPr>
        <sz val="12"/>
        <rFont val="標楷體"/>
        <family val="4"/>
        <charset val="136"/>
      </rPr>
      <t>土石淤埋：寺廟周圍土石淤埋阻斷道路。</t>
    </r>
    <r>
      <rPr>
        <sz val="12"/>
        <rFont val="Times New Roman"/>
        <family val="1"/>
      </rPr>
      <t xml:space="preserve"> </t>
    </r>
    <r>
      <rPr>
        <sz val="12"/>
        <rFont val="標楷體"/>
        <family val="4"/>
        <charset val="136"/>
      </rPr>
      <t>道路受損：指南宮前方聯通道路遭土石阻斷約</t>
    </r>
    <r>
      <rPr>
        <sz val="12"/>
        <rFont val="Times New Roman"/>
        <family val="1"/>
      </rPr>
      <t xml:space="preserve"> 130</t>
    </r>
    <r>
      <rPr>
        <sz val="12"/>
        <rFont val="標楷體"/>
        <family val="4"/>
        <charset val="136"/>
      </rPr>
      <t>公尺。</t>
    </r>
    <r>
      <rPr>
        <sz val="12"/>
        <rFont val="Times New Roman"/>
        <family val="1"/>
      </rPr>
      <t xml:space="preserve"> </t>
    </r>
    <phoneticPr fontId="5" type="noConversion"/>
  </si>
  <si>
    <r>
      <rPr>
        <sz val="12"/>
        <rFont val="標楷體"/>
        <family val="4"/>
        <charset val="136"/>
      </rPr>
      <t>猴猴坑溪</t>
    </r>
    <r>
      <rPr>
        <sz val="12"/>
        <rFont val="Times New Roman"/>
        <family val="1"/>
      </rPr>
      <t>(</t>
    </r>
    <r>
      <rPr>
        <sz val="12"/>
        <rFont val="標楷體"/>
        <family val="4"/>
        <charset val="136"/>
      </rPr>
      <t>永春路左轉湖東路約</t>
    </r>
    <r>
      <rPr>
        <sz val="12"/>
        <rFont val="Times New Roman"/>
        <family val="1"/>
      </rPr>
      <t>200</t>
    </r>
    <r>
      <rPr>
        <sz val="12"/>
        <rFont val="標楷體"/>
        <family val="4"/>
        <charset val="136"/>
      </rPr>
      <t>公尺</t>
    </r>
    <r>
      <rPr>
        <sz val="12"/>
        <rFont val="Times New Roman"/>
        <family val="1"/>
      </rPr>
      <t>)</t>
    </r>
  </si>
  <si>
    <r>
      <rPr>
        <sz val="12"/>
        <rFont val="標楷體"/>
        <family val="4"/>
        <charset val="136"/>
      </rPr>
      <t>梅姬颱風期間，猴猴坑溪溪水暴漲，洪水沿坡面挾帶上游大量細料土砂並往下游流動，隨之溢淹至湖東路。</t>
    </r>
    <r>
      <rPr>
        <sz val="12"/>
        <rFont val="Times New Roman"/>
        <family val="1"/>
      </rPr>
      <t xml:space="preserve"> </t>
    </r>
    <r>
      <rPr>
        <sz val="12"/>
        <rFont val="標楷體"/>
        <family val="4"/>
        <charset val="136"/>
      </rPr>
      <t>淹水高度約一層樓高</t>
    </r>
    <r>
      <rPr>
        <sz val="12"/>
        <rFont val="Times New Roman"/>
        <family val="1"/>
      </rPr>
      <t>(</t>
    </r>
    <r>
      <rPr>
        <sz val="12"/>
        <rFont val="標楷體"/>
        <family val="4"/>
        <charset val="136"/>
      </rPr>
      <t>約</t>
    </r>
    <r>
      <rPr>
        <sz val="12"/>
        <rFont val="Times New Roman"/>
        <family val="1"/>
      </rPr>
      <t xml:space="preserve"> 3m)</t>
    </r>
    <r>
      <rPr>
        <sz val="12"/>
        <rFont val="標楷體"/>
        <family val="4"/>
        <charset val="136"/>
      </rPr>
      <t>，居需以橡皮艇作為之交通工具，渠道沿岸民宅皆遭泥流入侵。</t>
    </r>
    <r>
      <rPr>
        <sz val="12"/>
        <rFont val="Times New Roman"/>
        <family val="1"/>
      </rPr>
      <t xml:space="preserve"> </t>
    </r>
    <r>
      <rPr>
        <sz val="12"/>
        <rFont val="標楷體"/>
        <family val="4"/>
        <charset val="136"/>
      </rPr>
      <t>房屋受損：約</t>
    </r>
    <r>
      <rPr>
        <sz val="12"/>
        <rFont val="Times New Roman"/>
        <family val="1"/>
      </rPr>
      <t xml:space="preserve"> 20 </t>
    </r>
    <r>
      <rPr>
        <sz val="12"/>
        <rFont val="標楷體"/>
        <family val="4"/>
        <charset val="136"/>
      </rPr>
      <t>棟</t>
    </r>
    <r>
      <rPr>
        <sz val="12"/>
        <rFont val="Times New Roman"/>
        <family val="1"/>
      </rPr>
      <t xml:space="preserve"> </t>
    </r>
    <r>
      <rPr>
        <sz val="12"/>
        <rFont val="標楷體"/>
        <family val="4"/>
        <charset val="136"/>
      </rPr>
      <t>。</t>
    </r>
    <r>
      <rPr>
        <sz val="12"/>
        <rFont val="Times New Roman"/>
        <family val="1"/>
      </rPr>
      <t xml:space="preserve"> </t>
    </r>
    <r>
      <rPr>
        <sz val="12"/>
        <rFont val="標楷體"/>
        <family val="4"/>
        <charset val="136"/>
      </rPr>
      <t>道路毀損：湖東路約</t>
    </r>
    <r>
      <rPr>
        <sz val="12"/>
        <rFont val="Times New Roman"/>
        <family val="1"/>
      </rPr>
      <t xml:space="preserve"> 200</t>
    </r>
    <r>
      <rPr>
        <sz val="12"/>
        <rFont val="標楷體"/>
        <family val="4"/>
        <charset val="136"/>
      </rPr>
      <t>公尺。</t>
    </r>
    <phoneticPr fontId="5" type="noConversion"/>
  </si>
  <si>
    <r>
      <rPr>
        <sz val="12"/>
        <rFont val="標楷體"/>
        <family val="4"/>
        <charset val="136"/>
      </rPr>
      <t>永春里第</t>
    </r>
    <r>
      <rPr>
        <sz val="12"/>
        <rFont val="Times New Roman"/>
        <family val="1"/>
      </rPr>
      <t>9</t>
    </r>
    <r>
      <rPr>
        <sz val="12"/>
        <rFont val="標楷體"/>
        <family val="4"/>
        <charset val="136"/>
      </rPr>
      <t>鄰。</t>
    </r>
    <r>
      <rPr>
        <sz val="12"/>
        <rFont val="Times New Roman"/>
        <family val="1"/>
      </rPr>
      <t>8</t>
    </r>
    <r>
      <rPr>
        <sz val="12"/>
        <rFont val="標楷體"/>
        <family val="4"/>
        <charset val="136"/>
      </rPr>
      <t>、</t>
    </r>
    <r>
      <rPr>
        <sz val="12"/>
        <rFont val="Times New Roman"/>
        <family val="1"/>
      </rPr>
      <t>9</t>
    </r>
    <r>
      <rPr>
        <sz val="12"/>
        <rFont val="標楷體"/>
        <family val="4"/>
        <charset val="136"/>
      </rPr>
      <t>、</t>
    </r>
    <r>
      <rPr>
        <sz val="12"/>
        <rFont val="Times New Roman"/>
        <family val="1"/>
      </rPr>
      <t>10</t>
    </r>
    <r>
      <rPr>
        <sz val="12"/>
        <rFont val="標楷體"/>
        <family val="4"/>
        <charset val="136"/>
      </rPr>
      <t>號民宅後方</t>
    </r>
  </si>
  <si>
    <r>
      <rPr>
        <sz val="12"/>
        <rFont val="標楷體"/>
        <family val="4"/>
        <charset val="136"/>
      </rPr>
      <t>梅姬颱風期間，永春里</t>
    </r>
    <r>
      <rPr>
        <sz val="12"/>
        <rFont val="Times New Roman"/>
        <family val="1"/>
      </rPr>
      <t xml:space="preserve"> 8</t>
    </r>
    <r>
      <rPr>
        <sz val="12"/>
        <rFont val="標楷體"/>
        <family val="4"/>
        <charset val="136"/>
      </rPr>
      <t>、</t>
    </r>
    <r>
      <rPr>
        <sz val="12"/>
        <rFont val="Times New Roman"/>
        <family val="1"/>
      </rPr>
      <t>9</t>
    </r>
    <r>
      <rPr>
        <sz val="12"/>
        <rFont val="標楷體"/>
        <family val="4"/>
        <charset val="136"/>
      </rPr>
      <t>、</t>
    </r>
    <r>
      <rPr>
        <sz val="12"/>
        <rFont val="Times New Roman"/>
        <family val="1"/>
      </rPr>
      <t>10</t>
    </r>
    <r>
      <rPr>
        <sz val="12"/>
        <rFont val="標楷體"/>
        <family val="4"/>
        <charset val="136"/>
      </rPr>
      <t>號民宅後方坡地崩塌，豪雨沿坡面坑溝沖蝕搬運土砂，堆積於</t>
    </r>
    <r>
      <rPr>
        <sz val="12"/>
        <rFont val="Times New Roman"/>
        <family val="1"/>
      </rPr>
      <t xml:space="preserve"> 9</t>
    </r>
    <r>
      <rPr>
        <sz val="12"/>
        <rFont val="標楷體"/>
        <family val="4"/>
        <charset val="136"/>
      </rPr>
      <t>號民宅後方。坡面逕流沿坡面坑溝集中宣洩而，造成下方民宅淹水，土砂泥流淤埋民宅及農田。</t>
    </r>
    <r>
      <rPr>
        <sz val="12"/>
        <rFont val="Times New Roman"/>
        <family val="1"/>
      </rPr>
      <t xml:space="preserve"> </t>
    </r>
    <r>
      <rPr>
        <sz val="12"/>
        <rFont val="標楷體"/>
        <family val="4"/>
        <charset val="136"/>
      </rPr>
      <t>道路毀損：約</t>
    </r>
    <r>
      <rPr>
        <sz val="12"/>
        <rFont val="Times New Roman"/>
        <family val="1"/>
      </rPr>
      <t xml:space="preserve"> 50</t>
    </r>
    <r>
      <rPr>
        <sz val="12"/>
        <rFont val="標楷體"/>
        <family val="4"/>
        <charset val="136"/>
      </rPr>
      <t>公尺。</t>
    </r>
    <r>
      <rPr>
        <sz val="12"/>
        <rFont val="Times New Roman"/>
        <family val="1"/>
      </rPr>
      <t xml:space="preserve"> </t>
    </r>
    <r>
      <rPr>
        <sz val="12"/>
        <rFont val="標楷體"/>
        <family val="4"/>
        <charset val="136"/>
      </rPr>
      <t>房屋受損：約</t>
    </r>
    <r>
      <rPr>
        <sz val="12"/>
        <rFont val="Times New Roman"/>
        <family val="1"/>
      </rPr>
      <t xml:space="preserve"> 10</t>
    </r>
    <r>
      <rPr>
        <sz val="12"/>
        <rFont val="標楷體"/>
        <family val="4"/>
        <charset val="136"/>
      </rPr>
      <t>棟。</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</si>
  <si>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白米木屐館。永春路</t>
    </r>
    <r>
      <rPr>
        <sz val="12"/>
        <rFont val="Times New Roman"/>
        <family val="1"/>
      </rPr>
      <t>134</t>
    </r>
    <r>
      <rPr>
        <sz val="12"/>
        <rFont val="標楷體"/>
        <family val="4"/>
        <charset val="136"/>
      </rPr>
      <t>巷</t>
    </r>
    <r>
      <rPr>
        <sz val="12"/>
        <rFont val="Times New Roman"/>
        <family val="1"/>
      </rPr>
      <t>15</t>
    </r>
    <r>
      <rPr>
        <sz val="12"/>
        <rFont val="標楷體"/>
        <family val="4"/>
        <charset val="136"/>
      </rPr>
      <t>號</t>
    </r>
  </si>
  <si>
    <r>
      <rPr>
        <sz val="12"/>
        <rFont val="標楷體"/>
        <family val="4"/>
        <charset val="136"/>
      </rPr>
      <t>梅姬颱風期間，永春路</t>
    </r>
    <r>
      <rPr>
        <sz val="12"/>
        <rFont val="Times New Roman"/>
        <family val="1"/>
      </rPr>
      <t xml:space="preserve"> 134 </t>
    </r>
    <r>
      <rPr>
        <sz val="12"/>
        <rFont val="標楷體"/>
        <family val="4"/>
        <charset val="136"/>
      </rPr>
      <t>巷後方民宅坡地崩塌損壞原有蛇籠擋土牆，土砂泥流入侵民宅。</t>
    </r>
    <r>
      <rPr>
        <sz val="12"/>
        <rFont val="Times New Roman"/>
        <family val="1"/>
      </rPr>
      <t xml:space="preserve">  </t>
    </r>
    <r>
      <rPr>
        <sz val="12"/>
        <rFont val="標楷體"/>
        <family val="4"/>
        <charset val="136"/>
      </rPr>
      <t>永春路前方排水溝渠遭漂流木阻塞造成第</t>
    </r>
    <r>
      <rPr>
        <sz val="12"/>
        <rFont val="Times New Roman"/>
        <family val="1"/>
      </rPr>
      <t>5</t>
    </r>
    <r>
      <rPr>
        <sz val="12"/>
        <rFont val="標楷體"/>
        <family val="4"/>
        <charset val="136"/>
      </rPr>
      <t>、</t>
    </r>
    <r>
      <rPr>
        <sz val="12"/>
        <rFont val="Times New Roman"/>
        <family val="1"/>
      </rPr>
      <t>6</t>
    </r>
    <r>
      <rPr>
        <sz val="12"/>
        <rFont val="標楷體"/>
        <family val="4"/>
        <charset val="136"/>
      </rPr>
      <t>鄰洪水災害，並造成永春路淹水阻斷。</t>
    </r>
    <r>
      <rPr>
        <sz val="12"/>
        <rFont val="Times New Roman"/>
        <family val="1"/>
      </rPr>
      <t xml:space="preserve">  </t>
    </r>
    <r>
      <rPr>
        <sz val="12"/>
        <rFont val="標楷體"/>
        <family val="4"/>
        <charset val="136"/>
      </rPr>
      <t>道路毀損：約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房屋受損：第</t>
    </r>
    <r>
      <rPr>
        <sz val="12"/>
        <rFont val="Times New Roman"/>
        <family val="1"/>
      </rPr>
      <t xml:space="preserve"> 5</t>
    </r>
    <r>
      <rPr>
        <sz val="12"/>
        <rFont val="標楷體"/>
        <family val="4"/>
        <charset val="136"/>
      </rPr>
      <t>、</t>
    </r>
    <r>
      <rPr>
        <sz val="12"/>
        <rFont val="Times New Roman"/>
        <family val="1"/>
      </rPr>
      <t>6</t>
    </r>
    <r>
      <rPr>
        <sz val="12"/>
        <rFont val="標楷體"/>
        <family val="4"/>
        <charset val="136"/>
      </rPr>
      <t>鄰民宅</t>
    </r>
    <r>
      <rPr>
        <sz val="12"/>
        <rFont val="Times New Roman"/>
        <family val="1"/>
      </rPr>
      <t xml:space="preserve"> 60</t>
    </r>
    <r>
      <rPr>
        <sz val="12"/>
        <rFont val="標楷體"/>
        <family val="4"/>
        <charset val="136"/>
      </rPr>
      <t>餘棟。</t>
    </r>
    <phoneticPr fontId="5" type="noConversion"/>
  </si>
  <si>
    <r>
      <rPr>
        <sz val="12"/>
        <rFont val="標楷體"/>
        <family val="4"/>
        <charset val="136"/>
      </rPr>
      <t>永樂活動中心</t>
    </r>
    <r>
      <rPr>
        <sz val="12"/>
        <rFont val="Times New Roman"/>
        <family val="1"/>
      </rPr>
      <t>(</t>
    </r>
    <r>
      <rPr>
        <sz val="12"/>
        <rFont val="標楷體"/>
        <family val="4"/>
        <charset val="136"/>
      </rPr>
      <t>永樂路</t>
    </r>
    <r>
      <rPr>
        <sz val="12"/>
        <rFont val="Times New Roman"/>
        <family val="1"/>
      </rPr>
      <t>234</t>
    </r>
    <r>
      <rPr>
        <sz val="12"/>
        <rFont val="標楷體"/>
        <family val="4"/>
        <charset val="136"/>
      </rPr>
      <t>巷</t>
    </r>
    <r>
      <rPr>
        <sz val="12"/>
        <rFont val="Times New Roman"/>
        <family val="1"/>
      </rPr>
      <t>1~3</t>
    </r>
    <r>
      <rPr>
        <sz val="12"/>
        <rFont val="標楷體"/>
        <family val="4"/>
        <charset val="136"/>
      </rPr>
      <t>鄰</t>
    </r>
    <r>
      <rPr>
        <sz val="12"/>
        <rFont val="Times New Roman"/>
        <family val="1"/>
      </rPr>
      <t>)</t>
    </r>
  </si>
  <si>
    <r>
      <rPr>
        <sz val="12"/>
        <rFont val="標楷體"/>
        <family val="4"/>
        <charset val="136"/>
      </rPr>
      <t>宜縣</t>
    </r>
    <r>
      <rPr>
        <sz val="12"/>
        <rFont val="Times New Roman"/>
        <family val="1"/>
      </rPr>
      <t>DF142</t>
    </r>
  </si>
  <si>
    <r>
      <rPr>
        <sz val="12"/>
        <rFont val="標楷體"/>
        <family val="4"/>
        <charset val="136"/>
      </rPr>
      <t>梅姬颱風期間，永樂路</t>
    </r>
    <r>
      <rPr>
        <sz val="12"/>
        <rFont val="Times New Roman"/>
        <family val="1"/>
      </rPr>
      <t xml:space="preserve"> 234</t>
    </r>
    <r>
      <rPr>
        <sz val="12"/>
        <rFont val="標楷體"/>
        <family val="4"/>
        <charset val="136"/>
      </rPr>
      <t>巷沿線坡地發生多處崩塌，雨水挾帶崩塌土石溢淹永樂路，泥流入侵民宅</t>
    </r>
    <r>
      <rPr>
        <sz val="12"/>
        <rFont val="Times New Roman"/>
        <family val="1"/>
      </rPr>
      <t xml:space="preserve"> 1~3 </t>
    </r>
    <r>
      <rPr>
        <sz val="12"/>
        <rFont val="標楷體"/>
        <family val="4"/>
        <charset val="136"/>
      </rPr>
      <t>鄰民宅，永樂里</t>
    </r>
    <r>
      <rPr>
        <sz val="12"/>
        <rFont val="Times New Roman"/>
        <family val="1"/>
      </rPr>
      <t xml:space="preserve"> 3</t>
    </r>
    <r>
      <rPr>
        <sz val="12"/>
        <rFont val="標楷體"/>
        <family val="4"/>
        <charset val="136"/>
      </rPr>
      <t>鄰</t>
    </r>
    <r>
      <rPr>
        <sz val="12"/>
        <rFont val="Times New Roman"/>
        <family val="1"/>
      </rPr>
      <t xml:space="preserve"> 8~52</t>
    </r>
    <r>
      <rPr>
        <sz val="12"/>
        <rFont val="標楷體"/>
        <family val="4"/>
        <charset val="136"/>
      </rPr>
      <t>號民宅淹水。永樂里</t>
    </r>
    <r>
      <rPr>
        <sz val="12"/>
        <rFont val="Times New Roman"/>
        <family val="1"/>
      </rPr>
      <t xml:space="preserve"> 2 </t>
    </r>
    <r>
      <rPr>
        <sz val="12"/>
        <rFont val="標楷體"/>
        <family val="4"/>
        <charset val="136"/>
      </rPr>
      <t>鄰土石流潛勢溪流宜縣</t>
    </r>
    <r>
      <rPr>
        <sz val="12"/>
        <rFont val="Times New Roman"/>
        <family val="1"/>
      </rPr>
      <t xml:space="preserve"> DF110
</t>
    </r>
    <r>
      <rPr>
        <sz val="12"/>
        <rFont val="標楷體"/>
        <family val="4"/>
        <charset val="136"/>
      </rPr>
      <t>河道淤滿土石，道路箱涵堵塞。</t>
    </r>
    <r>
      <rPr>
        <sz val="12"/>
        <rFont val="Times New Roman"/>
        <family val="1"/>
      </rPr>
      <t xml:space="preserve"> </t>
    </r>
    <r>
      <rPr>
        <sz val="12"/>
        <rFont val="標楷體"/>
        <family val="4"/>
        <charset val="136"/>
      </rPr>
      <t>永樂里</t>
    </r>
    <r>
      <rPr>
        <sz val="12"/>
        <rFont val="Times New Roman"/>
        <family val="1"/>
      </rPr>
      <t xml:space="preserve"> 1</t>
    </r>
    <r>
      <rPr>
        <sz val="12"/>
        <rFont val="標楷體"/>
        <family val="4"/>
        <charset val="136"/>
      </rPr>
      <t>鄰永樂活動中心後方坡地崩塌，
土砂泥流淤埋活動中心及福德宮，淤積深
度達</t>
    </r>
    <r>
      <rPr>
        <sz val="12"/>
        <rFont val="Times New Roman"/>
        <family val="1"/>
      </rPr>
      <t xml:space="preserve"> 50</t>
    </r>
    <r>
      <rPr>
        <sz val="12"/>
        <rFont val="標楷體"/>
        <family val="4"/>
        <charset val="136"/>
      </rPr>
      <t>公分。房屋受損：約</t>
    </r>
    <r>
      <rPr>
        <sz val="12"/>
        <rFont val="Times New Roman"/>
        <family val="1"/>
      </rPr>
      <t xml:space="preserve"> 25 </t>
    </r>
    <r>
      <rPr>
        <sz val="12"/>
        <rFont val="標楷體"/>
        <family val="4"/>
        <charset val="136"/>
      </rPr>
      <t>棟。道路毀損：永樂路約</t>
    </r>
    <r>
      <rPr>
        <sz val="12"/>
        <rFont val="Times New Roman"/>
        <family val="1"/>
      </rPr>
      <t xml:space="preserve"> 600</t>
    </r>
    <r>
      <rPr>
        <sz val="12"/>
        <rFont val="標楷體"/>
        <family val="4"/>
        <charset val="136"/>
      </rPr>
      <t>公尺。</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</si>
  <si>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永樂里</t>
    </r>
    <r>
      <rPr>
        <sz val="12"/>
        <rFont val="Times New Roman"/>
        <family val="1"/>
      </rPr>
      <t>10</t>
    </r>
    <r>
      <rPr>
        <sz val="12"/>
        <rFont val="標楷體"/>
        <family val="4"/>
        <charset val="136"/>
      </rPr>
      <t>鄰</t>
    </r>
    <r>
      <rPr>
        <sz val="12"/>
        <rFont val="Times New Roman"/>
        <family val="1"/>
      </rPr>
      <t>(</t>
    </r>
    <r>
      <rPr>
        <sz val="12"/>
        <rFont val="標楷體"/>
        <family val="4"/>
        <charset val="136"/>
      </rPr>
      <t>永樂南路</t>
    </r>
    <r>
      <rPr>
        <sz val="12"/>
        <rFont val="Times New Roman"/>
        <family val="1"/>
      </rPr>
      <t>96~99</t>
    </r>
    <r>
      <rPr>
        <sz val="12"/>
        <rFont val="標楷體"/>
        <family val="4"/>
        <charset val="136"/>
      </rPr>
      <t>號</t>
    </r>
    <r>
      <rPr>
        <sz val="12"/>
        <rFont val="Times New Roman"/>
        <family val="1"/>
      </rPr>
      <t>)</t>
    </r>
  </si>
  <si>
    <r>
      <rPr>
        <sz val="12"/>
        <rFont val="標楷體"/>
        <family val="4"/>
        <charset val="136"/>
      </rPr>
      <t>永樂南路</t>
    </r>
    <r>
      <rPr>
        <sz val="12"/>
        <rFont val="Times New Roman"/>
        <family val="1"/>
      </rPr>
      <t xml:space="preserve"> 96~98 </t>
    </r>
    <r>
      <rPr>
        <sz val="12"/>
        <rFont val="標楷體"/>
        <family val="4"/>
        <charset val="136"/>
      </rPr>
      <t>號民宅後方發生崩塌災害，崩塌土石堆積於</t>
    </r>
    <r>
      <rPr>
        <sz val="12"/>
        <rFont val="Times New Roman"/>
        <family val="1"/>
      </rPr>
      <t xml:space="preserve"> 96</t>
    </r>
    <r>
      <rPr>
        <sz val="12"/>
        <rFont val="標楷體"/>
        <family val="4"/>
        <charset val="136"/>
      </rPr>
      <t>號民宅後方約一層樓高；雨水挾帶坡面土砂入侵民宅及永樂南路路面，造成房後方遭土砂泥流淤埋。</t>
    </r>
    <r>
      <rPr>
        <sz val="12"/>
        <rFont val="Times New Roman"/>
        <family val="1"/>
      </rPr>
      <t xml:space="preserve"> </t>
    </r>
    <r>
      <rPr>
        <sz val="12"/>
        <rFont val="標楷體"/>
        <family val="4"/>
        <charset val="136"/>
      </rPr>
      <t>永樂南路</t>
    </r>
    <r>
      <rPr>
        <sz val="12"/>
        <rFont val="Times New Roman"/>
        <family val="1"/>
      </rPr>
      <t xml:space="preserve"> 99 </t>
    </r>
    <r>
      <rPr>
        <sz val="12"/>
        <rFont val="標楷體"/>
        <family val="4"/>
        <charset val="136"/>
      </rPr>
      <t>號民宅後方坑溝溪水暴漲，混合土砂溢淹至永樂南路路面及房舍內。</t>
    </r>
    <r>
      <rPr>
        <sz val="12"/>
        <rFont val="Times New Roman"/>
        <family val="1"/>
      </rPr>
      <t xml:space="preserve"> </t>
    </r>
    <r>
      <rPr>
        <sz val="12"/>
        <rFont val="標楷體"/>
        <family val="4"/>
        <charset val="136"/>
      </rPr>
      <t>房屋受損：約</t>
    </r>
    <r>
      <rPr>
        <sz val="12"/>
        <rFont val="Times New Roman"/>
        <family val="1"/>
      </rPr>
      <t>5</t>
    </r>
    <r>
      <rPr>
        <sz val="12"/>
        <rFont val="標楷體"/>
        <family val="4"/>
        <charset val="136"/>
      </rPr>
      <t>棟。</t>
    </r>
    <r>
      <rPr>
        <sz val="12"/>
        <rFont val="Times New Roman"/>
        <family val="1"/>
      </rPr>
      <t xml:space="preserve"> </t>
    </r>
    <r>
      <rPr>
        <sz val="12"/>
        <rFont val="標楷體"/>
        <family val="4"/>
        <charset val="136"/>
      </rPr>
      <t>道路毀損：約</t>
    </r>
    <r>
      <rPr>
        <sz val="12"/>
        <rFont val="Times New Roman"/>
        <family val="1"/>
      </rPr>
      <t xml:space="preserve"> 200</t>
    </r>
    <r>
      <rPr>
        <sz val="12"/>
        <rFont val="標楷體"/>
        <family val="4"/>
        <charset val="136"/>
      </rPr>
      <t>公尺。</t>
    </r>
    <phoneticPr fontId="5" type="noConversion"/>
  </si>
  <si>
    <r>
      <rPr>
        <sz val="12"/>
        <rFont val="標楷體"/>
        <family val="4"/>
        <charset val="136"/>
      </rPr>
      <t>蘇南公路水道巷</t>
    </r>
  </si>
  <si>
    <r>
      <rPr>
        <sz val="12"/>
        <rFont val="標楷體"/>
        <family val="4"/>
        <charset val="136"/>
      </rPr>
      <t>梅姬颱風帶來長時間之豪大雨，蘇南公路水道巷多處邊坡崩塌，雨水挾帶崩塌土砂堵塞排水渠道，泥水宣洩不及於水道巷內發生洪水災情，約</t>
    </r>
    <r>
      <rPr>
        <sz val="12"/>
        <rFont val="Times New Roman"/>
        <family val="1"/>
      </rPr>
      <t xml:space="preserve"> 20 </t>
    </r>
    <r>
      <rPr>
        <sz val="12"/>
        <rFont val="標楷體"/>
        <family val="4"/>
        <charset val="136"/>
      </rPr>
      <t>戶民宅遭洪水泥流入侵，積水泥濘已數日，現在進行清除。</t>
    </r>
    <r>
      <rPr>
        <sz val="12"/>
        <rFont val="Times New Roman"/>
        <family val="1"/>
      </rPr>
      <t xml:space="preserve"> </t>
    </r>
    <r>
      <rPr>
        <sz val="12"/>
        <rFont val="標楷體"/>
        <family val="4"/>
        <charset val="136"/>
      </rPr>
      <t>道路毀損：水道巷及蘇南公路約</t>
    </r>
    <r>
      <rPr>
        <sz val="12"/>
        <rFont val="Times New Roman"/>
        <family val="1"/>
      </rPr>
      <t xml:space="preserve"> 600 </t>
    </r>
    <r>
      <rPr>
        <sz val="12"/>
        <rFont val="標楷體"/>
        <family val="4"/>
        <charset val="136"/>
      </rPr>
      <t>公尺。</t>
    </r>
    <r>
      <rPr>
        <sz val="12"/>
        <rFont val="Times New Roman"/>
        <family val="1"/>
      </rPr>
      <t xml:space="preserve"> </t>
    </r>
    <r>
      <rPr>
        <sz val="12"/>
        <rFont val="標楷體"/>
        <family val="4"/>
        <charset val="136"/>
      </rPr>
      <t>房屋受損：約</t>
    </r>
    <r>
      <rPr>
        <sz val="12"/>
        <rFont val="Times New Roman"/>
        <family val="1"/>
      </rPr>
      <t xml:space="preserve"> 20</t>
    </r>
    <r>
      <rPr>
        <sz val="12"/>
        <rFont val="標楷體"/>
        <family val="4"/>
        <charset val="136"/>
      </rPr>
      <t>棟。</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</si>
  <si>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鎮南廟。文化巷盡頭</t>
    </r>
  </si>
  <si>
    <r>
      <rPr>
        <sz val="12"/>
        <rFont val="標楷體"/>
        <family val="4"/>
        <charset val="136"/>
      </rPr>
      <t>梅姬颱風期間，鎮南廟後方坡地崩塌，損壞廟宇圍牆及下方民宅，崩塌土石堆積於鎮南廟及文化巷。</t>
    </r>
    <r>
      <rPr>
        <sz val="12"/>
        <rFont val="Times New Roman"/>
        <family val="1"/>
      </rPr>
      <t xml:space="preserve"> </t>
    </r>
    <r>
      <rPr>
        <sz val="12"/>
        <rFont val="標楷體"/>
        <family val="4"/>
        <charset val="136"/>
      </rPr>
      <t>崩塌地旁水道溢淹，將鎮南廟旁崩落土石沖刷至下方民宅處，造成文化巷民宅損壞，道路基礎沖刷。</t>
    </r>
    <r>
      <rPr>
        <sz val="12"/>
        <rFont val="Times New Roman"/>
        <family val="1"/>
      </rPr>
      <t xml:space="preserve"> </t>
    </r>
    <r>
      <rPr>
        <sz val="12"/>
        <rFont val="標楷體"/>
        <family val="4"/>
        <charset val="136"/>
      </rPr>
      <t>房屋受損：約</t>
    </r>
    <r>
      <rPr>
        <sz val="12"/>
        <rFont val="Times New Roman"/>
        <family val="1"/>
      </rPr>
      <t xml:space="preserve"> 15</t>
    </r>
    <r>
      <rPr>
        <sz val="12"/>
        <rFont val="標楷體"/>
        <family val="4"/>
        <charset val="136"/>
      </rPr>
      <t>棟。</t>
    </r>
    <r>
      <rPr>
        <sz val="12"/>
        <rFont val="Times New Roman"/>
        <family val="1"/>
      </rPr>
      <t xml:space="preserve">  </t>
    </r>
    <r>
      <rPr>
        <sz val="12"/>
        <rFont val="標楷體"/>
        <family val="4"/>
        <charset val="136"/>
      </rPr>
      <t>道路毀損：約</t>
    </r>
    <r>
      <rPr>
        <sz val="12"/>
        <rFont val="Times New Roman"/>
        <family val="1"/>
      </rPr>
      <t xml:space="preserve"> 120</t>
    </r>
    <r>
      <rPr>
        <sz val="12"/>
        <rFont val="標楷體"/>
        <family val="4"/>
        <charset val="136"/>
      </rPr>
      <t>公尺。</t>
    </r>
    <r>
      <rPr>
        <sz val="12"/>
        <rFont val="Times New Roman"/>
        <family val="1"/>
      </rPr>
      <t xml:space="preserve"> </t>
    </r>
    <phoneticPr fontId="5" type="noConversion"/>
  </si>
  <si>
    <r>
      <rPr>
        <sz val="12"/>
        <rFont val="標楷體"/>
        <family val="4"/>
        <charset val="136"/>
      </rPr>
      <t>南順宮及聖愛路</t>
    </r>
    <r>
      <rPr>
        <sz val="12"/>
        <rFont val="Times New Roman"/>
        <family val="1"/>
      </rPr>
      <t>97</t>
    </r>
    <r>
      <rPr>
        <sz val="12"/>
        <rFont val="標楷體"/>
        <family val="4"/>
        <charset val="136"/>
      </rPr>
      <t>號</t>
    </r>
    <r>
      <rPr>
        <sz val="12"/>
        <rFont val="Times New Roman"/>
        <family val="1"/>
      </rPr>
      <t>(</t>
    </r>
    <r>
      <rPr>
        <sz val="12"/>
        <rFont val="標楷體"/>
        <family val="4"/>
        <charset val="136"/>
      </rPr>
      <t>台</t>
    </r>
    <r>
      <rPr>
        <sz val="12"/>
        <rFont val="Times New Roman"/>
        <family val="1"/>
      </rPr>
      <t>9</t>
    </r>
    <r>
      <rPr>
        <sz val="12"/>
        <rFont val="標楷體"/>
        <family val="4"/>
        <charset val="136"/>
      </rPr>
      <t>線右轉聖愛路約</t>
    </r>
    <r>
      <rPr>
        <sz val="12"/>
        <rFont val="Times New Roman"/>
        <family val="1"/>
      </rPr>
      <t>0.5K</t>
    </r>
    <r>
      <rPr>
        <sz val="12"/>
        <rFont val="標楷體"/>
        <family val="4"/>
        <charset val="136"/>
      </rPr>
      <t>及</t>
    </r>
    <r>
      <rPr>
        <sz val="12"/>
        <rFont val="Times New Roman"/>
        <family val="1"/>
      </rPr>
      <t>1K</t>
    </r>
    <r>
      <rPr>
        <sz val="12"/>
        <rFont val="標楷體"/>
        <family val="4"/>
        <charset val="136"/>
      </rPr>
      <t>處</t>
    </r>
    <r>
      <rPr>
        <sz val="12"/>
        <rFont val="Times New Roman"/>
        <family val="1"/>
      </rPr>
      <t>)</t>
    </r>
  </si>
  <si>
    <r>
      <rPr>
        <sz val="12"/>
        <rFont val="標楷體"/>
        <family val="4"/>
        <charset val="136"/>
      </rPr>
      <t>聖湖里</t>
    </r>
  </si>
  <si>
    <r>
      <rPr>
        <sz val="12"/>
        <rFont val="標楷體"/>
        <family val="4"/>
        <charset val="136"/>
      </rPr>
      <t>梅姬颱風期間，大量降雨導致南順宮後方及聖愛路</t>
    </r>
    <r>
      <rPr>
        <sz val="12"/>
        <rFont val="Times New Roman"/>
        <family val="1"/>
      </rPr>
      <t xml:space="preserve"> 97 </t>
    </r>
    <r>
      <rPr>
        <sz val="12"/>
        <rFont val="標楷體"/>
        <family val="4"/>
        <charset val="136"/>
      </rPr>
      <t>號民宅對面山坡崩塌，崩塌土石淤埋南順宮、倉庫及擋土牆，並阻斷道路</t>
    </r>
    <r>
      <rPr>
        <sz val="12"/>
        <rFont val="Times New Roman"/>
        <family val="1"/>
      </rPr>
      <t>150</t>
    </r>
    <r>
      <rPr>
        <sz val="12"/>
        <rFont val="標楷體"/>
        <family val="4"/>
        <charset val="136"/>
      </rPr>
      <t>公尺；</t>
    </r>
    <r>
      <rPr>
        <sz val="12"/>
        <rFont val="Times New Roman"/>
        <family val="1"/>
      </rPr>
      <t>6~7</t>
    </r>
    <r>
      <rPr>
        <sz val="12"/>
        <rFont val="標楷體"/>
        <family val="4"/>
        <charset val="136"/>
      </rPr>
      <t>戶民宅部份遭洪水入侵，淹水高度達</t>
    </r>
    <r>
      <rPr>
        <sz val="12"/>
        <rFont val="Times New Roman"/>
        <family val="1"/>
      </rPr>
      <t xml:space="preserve"> 50</t>
    </r>
    <r>
      <rPr>
        <sz val="12"/>
        <rFont val="標楷體"/>
        <family val="4"/>
        <charset val="136"/>
      </rPr>
      <t>公分。</t>
    </r>
    <r>
      <rPr>
        <sz val="12"/>
        <rFont val="Times New Roman"/>
        <family val="1"/>
      </rPr>
      <t xml:space="preserve">  </t>
    </r>
    <r>
      <rPr>
        <sz val="12"/>
        <rFont val="標楷體"/>
        <family val="4"/>
        <charset val="136"/>
      </rPr>
      <t>道路毀損：聖愛路遭土砂阻斷約</t>
    </r>
    <r>
      <rPr>
        <sz val="12"/>
        <rFont val="Times New Roman"/>
        <family val="1"/>
      </rPr>
      <t xml:space="preserve"> 150 </t>
    </r>
    <r>
      <rPr>
        <sz val="12"/>
        <rFont val="標楷體"/>
        <family val="4"/>
        <charset val="136"/>
      </rPr>
      <t>公尺。</t>
    </r>
    <r>
      <rPr>
        <sz val="12"/>
        <rFont val="Times New Roman"/>
        <family val="1"/>
      </rPr>
      <t xml:space="preserve"> </t>
    </r>
    <r>
      <rPr>
        <sz val="12"/>
        <rFont val="標楷體"/>
        <family val="4"/>
        <charset val="136"/>
      </rPr>
      <t>房屋受損：南順宮及民宅共</t>
    </r>
    <r>
      <rPr>
        <sz val="12"/>
        <rFont val="Times New Roman"/>
        <family val="1"/>
      </rPr>
      <t xml:space="preserve"> 9</t>
    </r>
    <r>
      <rPr>
        <sz val="12"/>
        <rFont val="標楷體"/>
        <family val="4"/>
        <charset val="136"/>
      </rPr>
      <t>棟。</t>
    </r>
    <r>
      <rPr>
        <sz val="12"/>
        <rFont val="Times New Roman"/>
        <family val="1"/>
      </rPr>
      <t xml:space="preserve"> </t>
    </r>
    <r>
      <rPr>
        <sz val="12"/>
        <rFont val="標楷體"/>
        <family val="4"/>
        <charset val="136"/>
      </rPr>
      <t>人員傷亡：</t>
    </r>
    <r>
      <rPr>
        <sz val="12"/>
        <rFont val="Times New Roman"/>
        <family val="1"/>
      </rPr>
      <t>0</t>
    </r>
    <r>
      <rPr>
        <sz val="12"/>
        <rFont val="標楷體"/>
        <family val="4"/>
        <charset val="136"/>
      </rPr>
      <t>人。</t>
    </r>
    <r>
      <rPr>
        <sz val="12"/>
        <rFont val="Times New Roman"/>
        <family val="1"/>
      </rPr>
      <t xml:space="preserve"> </t>
    </r>
    <phoneticPr fontId="5" type="noConversion"/>
  </si>
  <si>
    <r>
      <rPr>
        <sz val="12"/>
        <rFont val="標楷體"/>
        <family val="4"/>
        <charset val="136"/>
      </rPr>
      <t>崩塌、洪水、土石流</t>
    </r>
  </si>
  <si>
    <r>
      <rPr>
        <sz val="12"/>
        <rFont val="標楷體"/>
        <family val="4"/>
        <charset val="136"/>
      </rPr>
      <t>南安國中</t>
    </r>
    <r>
      <rPr>
        <sz val="12"/>
        <rFont val="Times New Roman"/>
        <family val="1"/>
      </rPr>
      <t>(</t>
    </r>
    <r>
      <rPr>
        <sz val="12"/>
        <rFont val="標楷體"/>
        <family val="4"/>
        <charset val="136"/>
      </rPr>
      <t>南方澳學府路尾端</t>
    </r>
    <r>
      <rPr>
        <sz val="12"/>
        <rFont val="Times New Roman"/>
        <family val="1"/>
      </rPr>
      <t>)</t>
    </r>
  </si>
  <si>
    <r>
      <rPr>
        <sz val="12"/>
        <rFont val="標楷體"/>
        <family val="4"/>
        <charset val="136"/>
      </rPr>
      <t>宜縣</t>
    </r>
    <r>
      <rPr>
        <sz val="12"/>
        <rFont val="Times New Roman"/>
        <family val="1"/>
      </rPr>
      <t>DF100</t>
    </r>
  </si>
  <si>
    <r>
      <rPr>
        <sz val="12"/>
        <rFont val="標楷體"/>
        <family val="4"/>
        <charset val="136"/>
      </rPr>
      <t>宜縣</t>
    </r>
    <r>
      <rPr>
        <sz val="12"/>
        <rFont val="Times New Roman"/>
        <family val="1"/>
      </rPr>
      <t>DF100</t>
    </r>
    <r>
      <rPr>
        <sz val="12"/>
        <rFont val="標楷體"/>
        <family val="4"/>
        <charset val="136"/>
      </rPr>
      <t>旁山壁於</t>
    </r>
    <r>
      <rPr>
        <sz val="12"/>
        <rFont val="Times New Roman"/>
        <family val="1"/>
      </rPr>
      <t>21</t>
    </r>
    <r>
      <rPr>
        <sz val="12"/>
        <rFont val="標楷體"/>
        <family val="4"/>
        <charset val="136"/>
      </rPr>
      <t>日上午</t>
    </r>
    <r>
      <rPr>
        <sz val="12"/>
        <rFont val="Times New Roman"/>
        <family val="1"/>
      </rPr>
      <t>11</t>
    </r>
    <r>
      <rPr>
        <sz val="12"/>
        <rFont val="標楷體"/>
        <family val="4"/>
        <charset val="136"/>
      </rPr>
      <t>時因梅姬颱風產生土石流災情，土石堵塞宜縣</t>
    </r>
    <r>
      <rPr>
        <sz val="12"/>
        <rFont val="Times New Roman"/>
        <family val="1"/>
      </rPr>
      <t xml:space="preserve">DF100 </t>
    </r>
    <r>
      <rPr>
        <sz val="12"/>
        <rFont val="標楷體"/>
        <family val="4"/>
        <charset val="136"/>
      </rPr>
      <t>河道排水箱涵，溪水挾帶土石衝擊校舍，水流排入南安國中操場造成積水，所幸校方即時將師生撤離，並未造成傷亡。</t>
    </r>
    <r>
      <rPr>
        <sz val="12"/>
        <rFont val="Times New Roman"/>
        <family val="1"/>
      </rPr>
      <t xml:space="preserve"> </t>
    </r>
    <r>
      <rPr>
        <sz val="12"/>
        <rFont val="標楷體"/>
        <family val="4"/>
        <charset val="136"/>
      </rPr>
      <t>南安國中內城隍廟後方崩塌，造成廟宇受到土石淤埋，寺廟屋頂損壞。土石淤埋校舍後方防砂壩遭土砂淤滿，土石流淤積於校舍。</t>
    </r>
    <r>
      <rPr>
        <sz val="12"/>
        <rFont val="Times New Roman"/>
        <family val="1"/>
      </rPr>
      <t xml:space="preserve">  </t>
    </r>
    <r>
      <rPr>
        <sz val="12"/>
        <rFont val="標楷體"/>
        <family val="4"/>
        <charset val="136"/>
      </rPr>
      <t>土石堵塞：崩落土石堵塞宜縣</t>
    </r>
    <r>
      <rPr>
        <sz val="12"/>
        <rFont val="Times New Roman"/>
        <family val="1"/>
      </rPr>
      <t>DF100</t>
    </r>
    <r>
      <rPr>
        <sz val="12"/>
        <rFont val="標楷體"/>
        <family val="4"/>
        <charset val="136"/>
      </rPr>
      <t>箱涵。</t>
    </r>
    <phoneticPr fontId="5" type="noConversion"/>
  </si>
  <si>
    <r>
      <rPr>
        <sz val="12"/>
        <rFont val="標楷體"/>
        <family val="4"/>
        <charset val="136"/>
      </rPr>
      <t>愛國蒲部落。台</t>
    </r>
    <r>
      <rPr>
        <sz val="12"/>
        <rFont val="Times New Roman"/>
        <family val="1"/>
      </rPr>
      <t>9</t>
    </r>
    <r>
      <rPr>
        <sz val="12"/>
        <rFont val="標楷體"/>
        <family val="4"/>
        <charset val="136"/>
      </rPr>
      <t>線</t>
    </r>
    <r>
      <rPr>
        <sz val="12"/>
        <rFont val="Times New Roman"/>
        <family val="1"/>
      </rPr>
      <t>423.5k</t>
    </r>
    <r>
      <rPr>
        <sz val="12"/>
        <rFont val="標楷體"/>
        <family val="4"/>
        <charset val="136"/>
      </rPr>
      <t>處愛國蒲產業道路內</t>
    </r>
  </si>
  <si>
    <r>
      <rPr>
        <sz val="12"/>
        <rFont val="標楷體"/>
        <family val="4"/>
        <charset val="136"/>
      </rPr>
      <t>大武鄉</t>
    </r>
  </si>
  <si>
    <r>
      <rPr>
        <sz val="12"/>
        <rFont val="標楷體"/>
        <family val="4"/>
        <charset val="136"/>
      </rPr>
      <t>萊羅克颱風</t>
    </r>
  </si>
  <si>
    <r>
      <rPr>
        <sz val="12"/>
        <rFont val="標楷體"/>
        <family val="4"/>
        <charset val="136"/>
      </rPr>
      <t>愛國蒲部落後方山壁於莫拉克颱風時發生崩塌，萊羅克颱風來臨時於崩塌處所施作之坡治理工程尚未完成，雨水造成崩塌範圍擴大，裸露坡面遭受雨水沖刷產生蝕溝，將土石帶往愛國蒲部落，造成部落內民宅與道路遭受崩塌土石淤積，深度約</t>
    </r>
    <r>
      <rPr>
        <sz val="12"/>
        <rFont val="Times New Roman"/>
        <family val="1"/>
      </rPr>
      <t xml:space="preserve"> 70</t>
    </r>
    <r>
      <rPr>
        <sz val="12"/>
        <rFont val="標楷體"/>
        <family val="4"/>
        <charset val="136"/>
      </rPr>
      <t>公分。</t>
    </r>
    <r>
      <rPr>
        <sz val="12"/>
        <rFont val="Times New Roman"/>
        <family val="1"/>
      </rPr>
      <t xml:space="preserve">  </t>
    </r>
    <r>
      <rPr>
        <sz val="12"/>
        <rFont val="標楷體"/>
        <family val="4"/>
        <charset val="136"/>
      </rPr>
      <t>土石淤埋：愛國蒲部落內聯通道與民宅</t>
    </r>
    <r>
      <rPr>
        <sz val="12"/>
        <rFont val="Times New Roman"/>
        <family val="1"/>
      </rPr>
      <t xml:space="preserve"> 6</t>
    </r>
    <r>
      <rPr>
        <sz val="12"/>
        <rFont val="標楷體"/>
        <family val="4"/>
        <charset val="136"/>
      </rPr>
      <t>戶遭受淤埋，深度最深約</t>
    </r>
    <r>
      <rPr>
        <sz val="12"/>
        <rFont val="Times New Roman"/>
        <family val="1"/>
      </rPr>
      <t xml:space="preserve"> 70</t>
    </r>
    <r>
      <rPr>
        <sz val="12"/>
        <rFont val="標楷體"/>
        <family val="4"/>
        <charset val="136"/>
      </rPr>
      <t>公分。</t>
    </r>
    <r>
      <rPr>
        <sz val="12"/>
        <rFont val="Times New Roman"/>
        <family val="1"/>
      </rPr>
      <t xml:space="preserve"> </t>
    </r>
    <r>
      <rPr>
        <sz val="12"/>
        <rFont val="標楷體"/>
        <family val="4"/>
        <charset val="136"/>
      </rPr>
      <t>房屋受損：約</t>
    </r>
    <r>
      <rPr>
        <sz val="12"/>
        <rFont val="Times New Roman"/>
        <family val="1"/>
      </rPr>
      <t>6</t>
    </r>
    <r>
      <rPr>
        <sz val="12"/>
        <rFont val="標楷體"/>
        <family val="4"/>
        <charset val="136"/>
      </rPr>
      <t>棟。</t>
    </r>
    <r>
      <rPr>
        <sz val="12"/>
        <rFont val="Times New Roman"/>
        <family val="1"/>
      </rPr>
      <t xml:space="preserve"> </t>
    </r>
    <phoneticPr fontId="5" type="noConversion"/>
  </si>
  <si>
    <r>
      <rPr>
        <sz val="12"/>
        <rFont val="標楷體"/>
        <family val="4"/>
        <charset val="136"/>
      </rPr>
      <t>舊碼崙橋</t>
    </r>
    <r>
      <rPr>
        <sz val="12"/>
        <rFont val="Times New Roman"/>
        <family val="1"/>
      </rPr>
      <t xml:space="preserve"> (</t>
    </r>
    <r>
      <rPr>
        <sz val="12"/>
        <rFont val="標楷體"/>
        <family val="4"/>
        <charset val="136"/>
      </rPr>
      <t>大同鄉樂水村宜</t>
    </r>
    <r>
      <rPr>
        <sz val="12"/>
        <rFont val="Times New Roman"/>
        <family val="1"/>
      </rPr>
      <t>51</t>
    </r>
    <r>
      <rPr>
        <sz val="12"/>
        <rFont val="標楷體"/>
        <family val="4"/>
        <charset val="136"/>
      </rPr>
      <t>線約</t>
    </r>
    <r>
      <rPr>
        <sz val="12"/>
        <rFont val="Times New Roman"/>
        <family val="1"/>
      </rPr>
      <t xml:space="preserve"> 12.5k </t>
    </r>
    <r>
      <rPr>
        <sz val="12"/>
        <rFont val="標楷體"/>
        <family val="4"/>
        <charset val="136"/>
      </rPr>
      <t>處</t>
    </r>
    <r>
      <rPr>
        <sz val="12"/>
        <rFont val="Times New Roman"/>
        <family val="1"/>
      </rPr>
      <t xml:space="preserve">)
</t>
    </r>
    <phoneticPr fontId="5" type="noConversion"/>
  </si>
  <si>
    <r>
      <rPr>
        <sz val="12"/>
        <rFont val="標楷體"/>
        <family val="4"/>
        <charset val="136"/>
      </rPr>
      <t>樂水村</t>
    </r>
    <phoneticPr fontId="5" type="noConversion"/>
  </si>
  <si>
    <r>
      <rPr>
        <sz val="12"/>
        <rFont val="標楷體"/>
        <family val="4"/>
        <charset val="136"/>
      </rPr>
      <t>宜縣</t>
    </r>
    <r>
      <rPr>
        <sz val="12"/>
        <rFont val="Times New Roman"/>
        <family val="1"/>
      </rPr>
      <t>DF060</t>
    </r>
  </si>
  <si>
    <r>
      <rPr>
        <sz val="12"/>
        <rFont val="標楷體"/>
        <family val="4"/>
        <charset val="136"/>
      </rPr>
      <t>梅姬颱風期間，碼崙溪</t>
    </r>
    <r>
      <rPr>
        <sz val="12"/>
        <rFont val="Times New Roman"/>
        <family val="1"/>
      </rPr>
      <t>(</t>
    </r>
    <r>
      <rPr>
        <sz val="12"/>
        <rFont val="標楷體"/>
        <family val="4"/>
        <charset val="136"/>
      </rPr>
      <t>宜縣</t>
    </r>
    <r>
      <rPr>
        <sz val="12"/>
        <rFont val="Times New Roman"/>
        <family val="1"/>
      </rPr>
      <t xml:space="preserve"> DF060)</t>
    </r>
    <r>
      <rPr>
        <sz val="12"/>
        <rFont val="標楷體"/>
        <family val="4"/>
        <charset val="136"/>
      </rPr>
      <t>溪水暴漲，嚴重淘空舊碼崙橋上游左岸路基，造成通往太平山之大同產業道路中斷，簡易自來水基座基礎失。</t>
    </r>
    <r>
      <rPr>
        <sz val="12"/>
        <rFont val="Times New Roman"/>
        <family val="1"/>
      </rPr>
      <t xml:space="preserve"> </t>
    </r>
    <r>
      <rPr>
        <sz val="12"/>
        <rFont val="標楷體"/>
        <family val="4"/>
        <charset val="136"/>
      </rPr>
      <t>土石淤積：碼崙溪河床抬昇至產業道路路面高度，下游與蘭陽溪匯流處河床抬昇至碼崙橋上部結構。</t>
    </r>
    <r>
      <rPr>
        <sz val="12"/>
        <rFont val="Times New Roman"/>
        <family val="1"/>
      </rPr>
      <t xml:space="preserve"> </t>
    </r>
    <r>
      <rPr>
        <sz val="12"/>
        <rFont val="標楷體"/>
        <family val="4"/>
        <charset val="136"/>
      </rPr>
      <t>土石淘刷：通往太平山之大同產業道路於舊碼崙橋處路基淘空流失。</t>
    </r>
    <r>
      <rPr>
        <sz val="12"/>
        <rFont val="Times New Roman"/>
        <family val="1"/>
      </rPr>
      <t xml:space="preserve"> </t>
    </r>
    <r>
      <rPr>
        <sz val="12"/>
        <rFont val="標楷體"/>
        <family val="4"/>
        <charset val="136"/>
      </rPr>
      <t>道路受損：約</t>
    </r>
    <r>
      <rPr>
        <sz val="12"/>
        <rFont val="Times New Roman"/>
        <family val="1"/>
      </rPr>
      <t xml:space="preserve"> 200</t>
    </r>
    <r>
      <rPr>
        <sz val="12"/>
        <rFont val="標楷體"/>
        <family val="4"/>
        <charset val="136"/>
      </rPr>
      <t>公尺。</t>
    </r>
    <r>
      <rPr>
        <sz val="12"/>
        <rFont val="Times New Roman"/>
        <family val="1"/>
      </rPr>
      <t xml:space="preserve"> </t>
    </r>
    <r>
      <rPr>
        <sz val="12"/>
        <rFont val="標楷體"/>
        <family val="4"/>
        <charset val="136"/>
      </rPr>
      <t>人員傷亡：無。</t>
    </r>
    <phoneticPr fontId="5" type="noConversion"/>
  </si>
  <si>
    <t>C1U501</t>
    <phoneticPr fontId="5" type="noConversion"/>
  </si>
  <si>
    <r>
      <rPr>
        <sz val="12"/>
        <rFont val="標楷體"/>
        <family val="4"/>
        <charset val="136"/>
      </rPr>
      <t>牛鬥</t>
    </r>
    <phoneticPr fontId="5" type="noConversion"/>
  </si>
  <si>
    <r>
      <rPr>
        <sz val="12"/>
        <rFont val="標楷體"/>
        <family val="4"/>
        <charset val="136"/>
      </rPr>
      <t>神木大橋</t>
    </r>
    <phoneticPr fontId="5" type="noConversion"/>
  </si>
  <si>
    <r>
      <t>0719</t>
    </r>
    <r>
      <rPr>
        <sz val="12"/>
        <rFont val="標楷體"/>
        <family val="4"/>
        <charset val="136"/>
      </rPr>
      <t>豪雨</t>
    </r>
    <phoneticPr fontId="5" type="noConversion"/>
  </si>
  <si>
    <r>
      <rPr>
        <sz val="12"/>
        <rFont val="標楷體"/>
        <family val="4"/>
        <charset val="136"/>
      </rPr>
      <t>愛玉子溪</t>
    </r>
    <r>
      <rPr>
        <sz val="12"/>
        <rFont val="Times New Roman"/>
        <family val="1"/>
      </rPr>
      <t>(</t>
    </r>
    <r>
      <rPr>
        <sz val="12"/>
        <rFont val="標楷體"/>
        <family val="4"/>
        <charset val="136"/>
      </rPr>
      <t>投縣</t>
    </r>
    <r>
      <rPr>
        <sz val="12"/>
        <rFont val="Times New Roman"/>
        <family val="1"/>
      </rPr>
      <t xml:space="preserve"> DF226)</t>
    </r>
    <r>
      <rPr>
        <sz val="12"/>
        <rFont val="標楷體"/>
        <family val="4"/>
        <charset val="136"/>
      </rPr>
      <t>於</t>
    </r>
    <r>
      <rPr>
        <sz val="12"/>
        <rFont val="Times New Roman"/>
        <family val="1"/>
      </rPr>
      <t xml:space="preserve"> 7 </t>
    </r>
    <r>
      <rPr>
        <sz val="12"/>
        <rFont val="標楷體"/>
        <family val="4"/>
        <charset val="136"/>
      </rPr>
      <t>月</t>
    </r>
    <r>
      <rPr>
        <sz val="12"/>
        <rFont val="Times New Roman"/>
        <family val="1"/>
      </rPr>
      <t xml:space="preserve"> 18 </t>
    </r>
    <r>
      <rPr>
        <sz val="12"/>
        <rFont val="標楷體"/>
        <family val="4"/>
        <charset val="136"/>
      </rPr>
      <t>日晚間發生土石流災情，造成道路及民宅商家受損，</t>
    </r>
    <r>
      <rPr>
        <sz val="12"/>
        <rFont val="Times New Roman"/>
        <family val="1"/>
      </rPr>
      <t xml:space="preserve">4 </t>
    </r>
    <r>
      <rPr>
        <sz val="12"/>
        <rFont val="標楷體"/>
        <family val="4"/>
        <charset val="136"/>
      </rPr>
      <t>部怪手及</t>
    </r>
    <r>
      <rPr>
        <sz val="12"/>
        <rFont val="Times New Roman"/>
        <family val="1"/>
      </rPr>
      <t xml:space="preserve"> 2 </t>
    </r>
    <r>
      <rPr>
        <sz val="12"/>
        <rFont val="標楷體"/>
        <family val="4"/>
        <charset val="136"/>
      </rPr>
      <t>輛砂石車受困，幸無人員傷亡。</t>
    </r>
    <phoneticPr fontId="5" type="noConversion"/>
  </si>
  <si>
    <r>
      <rPr>
        <sz val="12"/>
        <rFont val="標楷體"/>
        <family val="4"/>
        <charset val="136"/>
      </rPr>
      <t>梅山鄉太和村</t>
    </r>
    <r>
      <rPr>
        <sz val="12"/>
        <rFont val="Times New Roman"/>
        <family val="1"/>
      </rPr>
      <t>(</t>
    </r>
    <r>
      <rPr>
        <sz val="12"/>
        <rFont val="標楷體"/>
        <family val="4"/>
        <charset val="136"/>
      </rPr>
      <t>社興橋原址</t>
    </r>
    <r>
      <rPr>
        <sz val="12"/>
        <rFont val="Times New Roman"/>
        <family val="1"/>
      </rPr>
      <t>)</t>
    </r>
  </si>
  <si>
    <r>
      <rPr>
        <sz val="12"/>
        <rFont val="標楷體"/>
        <family val="4"/>
        <charset val="136"/>
      </rPr>
      <t>梅山鄉</t>
    </r>
  </si>
  <si>
    <r>
      <t>0719</t>
    </r>
    <r>
      <rPr>
        <sz val="12"/>
        <rFont val="標楷體"/>
        <family val="4"/>
        <charset val="136"/>
      </rPr>
      <t>豪雨</t>
    </r>
  </si>
  <si>
    <r>
      <rPr>
        <sz val="12"/>
        <rFont val="標楷體"/>
        <family val="4"/>
        <charset val="136"/>
      </rPr>
      <t>阿里山溪於</t>
    </r>
    <r>
      <rPr>
        <sz val="12"/>
        <rFont val="Times New Roman"/>
        <family val="1"/>
      </rPr>
      <t>7</t>
    </r>
    <r>
      <rPr>
        <sz val="12"/>
        <rFont val="標楷體"/>
        <family val="4"/>
        <charset val="136"/>
      </rPr>
      <t>月</t>
    </r>
    <r>
      <rPr>
        <sz val="12"/>
        <rFont val="Times New Roman"/>
        <family val="1"/>
      </rPr>
      <t>19</t>
    </r>
    <r>
      <rPr>
        <sz val="12"/>
        <rFont val="標楷體"/>
        <family val="4"/>
        <charset val="136"/>
      </rPr>
      <t>日發生洪水災情，導致溪底便道流失，溪水夾帶溪床堆積土差，磨損溪底便橋橋墩，沖毀農舍</t>
    </r>
    <r>
      <rPr>
        <sz val="12"/>
        <rFont val="Times New Roman"/>
        <family val="1"/>
      </rPr>
      <t>1</t>
    </r>
    <r>
      <rPr>
        <sz val="12"/>
        <rFont val="標楷體"/>
        <family val="4"/>
        <charset val="136"/>
      </rPr>
      <t>戶，</t>
    </r>
    <r>
      <rPr>
        <sz val="12"/>
        <rFont val="Times New Roman"/>
        <family val="1"/>
      </rPr>
      <t>7</t>
    </r>
    <r>
      <rPr>
        <sz val="12"/>
        <rFont val="標楷體"/>
        <family val="4"/>
        <charset val="136"/>
      </rPr>
      <t>部怪手遭土石淤埋，無人員傷亡；嘉</t>
    </r>
    <r>
      <rPr>
        <sz val="12"/>
        <rFont val="Times New Roman"/>
        <family val="1"/>
      </rPr>
      <t>169</t>
    </r>
    <r>
      <rPr>
        <sz val="12"/>
        <rFont val="標楷體"/>
        <family val="4"/>
        <charset val="136"/>
      </rPr>
      <t>縣道上邊坡發生零星崩塌，土砂堆積於道路。</t>
    </r>
    <r>
      <rPr>
        <sz val="12"/>
        <rFont val="Times New Roman"/>
        <family val="1"/>
      </rPr>
      <t xml:space="preserve"> </t>
    </r>
    <r>
      <rPr>
        <sz val="12"/>
        <rFont val="標楷體"/>
        <family val="4"/>
        <charset val="136"/>
      </rPr>
      <t>房屋毀損；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道路損毀：溪底便道流失約</t>
    </r>
    <r>
      <rPr>
        <sz val="12"/>
        <rFont val="Times New Roman"/>
        <family val="1"/>
      </rPr>
      <t>150</t>
    </r>
    <r>
      <rPr>
        <sz val="12"/>
        <rFont val="標楷體"/>
        <family val="4"/>
        <charset val="136"/>
      </rPr>
      <t>公尺，現已恢復通行。縣道嘉</t>
    </r>
    <r>
      <rPr>
        <sz val="12"/>
        <rFont val="Times New Roman"/>
        <family val="1"/>
      </rPr>
      <t>169</t>
    </r>
    <r>
      <rPr>
        <sz val="12"/>
        <rFont val="標楷體"/>
        <family val="4"/>
        <charset val="136"/>
      </rPr>
      <t>線遭崩落土石堆積約</t>
    </r>
    <r>
      <rPr>
        <sz val="12"/>
        <rFont val="Times New Roman"/>
        <family val="1"/>
      </rPr>
      <t xml:space="preserve"> 20</t>
    </r>
    <r>
      <rPr>
        <sz val="12"/>
        <rFont val="標楷體"/>
        <family val="4"/>
        <charset val="136"/>
      </rPr>
      <t>公尺，土石已清理恢復通行。</t>
    </r>
    <r>
      <rPr>
        <sz val="12"/>
        <rFont val="Times New Roman"/>
        <family val="1"/>
      </rPr>
      <t xml:space="preserve"> </t>
    </r>
    <phoneticPr fontId="5" type="noConversion"/>
  </si>
  <si>
    <r>
      <rPr>
        <sz val="12"/>
        <rFont val="標楷體"/>
        <family val="4"/>
        <charset val="136"/>
      </rPr>
      <t>泰雅一路</t>
    </r>
    <r>
      <rPr>
        <sz val="12"/>
        <rFont val="Times New Roman"/>
        <family val="1"/>
      </rPr>
      <t>451</t>
    </r>
    <r>
      <rPr>
        <sz val="12"/>
        <rFont val="標楷體"/>
        <family val="4"/>
        <charset val="136"/>
      </rPr>
      <t>巷</t>
    </r>
    <r>
      <rPr>
        <sz val="12"/>
        <rFont val="Times New Roman"/>
        <family val="1"/>
      </rPr>
      <t>157</t>
    </r>
    <r>
      <rPr>
        <sz val="12"/>
        <rFont val="標楷體"/>
        <family val="4"/>
        <charset val="136"/>
      </rPr>
      <t>號</t>
    </r>
    <phoneticPr fontId="5" type="noConversion"/>
  </si>
  <si>
    <r>
      <rPr>
        <sz val="12"/>
        <rFont val="標楷體"/>
        <family val="4"/>
        <charset val="136"/>
      </rPr>
      <t>復興村</t>
    </r>
    <phoneticPr fontId="5" type="noConversion"/>
  </si>
  <si>
    <r>
      <rPr>
        <sz val="12"/>
        <rFont val="標楷體"/>
        <family val="4"/>
        <charset val="136"/>
      </rPr>
      <t>宜縣</t>
    </r>
    <r>
      <rPr>
        <sz val="12"/>
        <rFont val="Times New Roman"/>
        <family val="1"/>
      </rPr>
      <t>DF143</t>
    </r>
    <phoneticPr fontId="5" type="noConversion"/>
  </si>
  <si>
    <r>
      <t>1001</t>
    </r>
    <r>
      <rPr>
        <sz val="12"/>
        <rFont val="標楷體"/>
        <family val="4"/>
        <charset val="136"/>
      </rPr>
      <t>豪雨</t>
    </r>
    <phoneticPr fontId="5" type="noConversion"/>
  </si>
  <si>
    <r>
      <rPr>
        <sz val="12"/>
        <rFont val="標楷體"/>
        <family val="4"/>
        <charset val="136"/>
      </rPr>
      <t>奈格颱風環流加上東北季風的共伴效應，二坑溪支流野溪上游坡地發生崩塌，大量雨水沖刷崩積土體形成料源，造成土石流災情。</t>
    </r>
    <r>
      <rPr>
        <sz val="12"/>
        <rFont val="Times New Roman"/>
        <family val="1"/>
      </rPr>
      <t xml:space="preserve"> </t>
    </r>
    <r>
      <rPr>
        <sz val="12"/>
        <rFont val="標楷體"/>
        <family val="4"/>
        <charset val="136"/>
      </rPr>
      <t>下游農舍、果園及既有防砂壩糟土石流淤埋。土石淤埋</t>
    </r>
    <r>
      <rPr>
        <sz val="12"/>
        <rFont val="Times New Roman"/>
        <family val="1"/>
      </rPr>
      <t xml:space="preserve"> 157</t>
    </r>
    <r>
      <rPr>
        <sz val="12"/>
        <rFont val="標楷體"/>
        <family val="4"/>
        <charset val="136"/>
      </rPr>
      <t>號民宅旁果園及農舍</t>
    </r>
    <r>
      <rPr>
        <sz val="12"/>
        <rFont val="Times New Roman"/>
        <family val="1"/>
      </rPr>
      <t xml:space="preserve">    </t>
    </r>
    <r>
      <rPr>
        <sz val="12"/>
        <rFont val="標楷體"/>
        <family val="4"/>
        <charset val="136"/>
      </rPr>
      <t>土石撞擊：防砂壩及野溪旁蓄水池遭土石撞毀並淤埋。</t>
    </r>
    <r>
      <rPr>
        <sz val="12"/>
        <rFont val="Times New Roman"/>
        <family val="1"/>
      </rPr>
      <t xml:space="preserve">   </t>
    </r>
    <r>
      <rPr>
        <sz val="12"/>
        <rFont val="標楷體"/>
        <family val="4"/>
        <charset val="136"/>
      </rPr>
      <t>房屋受損：農舍</t>
    </r>
    <r>
      <rPr>
        <sz val="12"/>
        <rFont val="Times New Roman"/>
        <family val="1"/>
      </rPr>
      <t xml:space="preserve"> 1</t>
    </r>
    <r>
      <rPr>
        <sz val="12"/>
        <rFont val="標楷體"/>
        <family val="4"/>
        <charset val="136"/>
      </rPr>
      <t>棟。</t>
    </r>
    <r>
      <rPr>
        <sz val="12"/>
        <rFont val="Times New Roman"/>
        <family val="1"/>
      </rPr>
      <t xml:space="preserve">  </t>
    </r>
    <r>
      <rPr>
        <sz val="12"/>
        <rFont val="標楷體"/>
        <family val="4"/>
        <charset val="136"/>
      </rPr>
      <t>道路毀損：無。</t>
    </r>
    <r>
      <rPr>
        <sz val="12"/>
        <rFont val="Times New Roman"/>
        <family val="1"/>
      </rPr>
      <t xml:space="preserve"> </t>
    </r>
    <r>
      <rPr>
        <sz val="12"/>
        <rFont val="標楷體"/>
        <family val="4"/>
        <charset val="136"/>
      </rPr>
      <t>人員傷亡：無</t>
    </r>
    <phoneticPr fontId="5" type="noConversion"/>
  </si>
  <si>
    <r>
      <rPr>
        <sz val="12"/>
        <rFont val="標楷體"/>
        <family val="4"/>
        <charset val="136"/>
      </rPr>
      <t>泰雅一路</t>
    </r>
    <r>
      <rPr>
        <sz val="12"/>
        <rFont val="Times New Roman"/>
        <family val="1"/>
      </rPr>
      <t>451</t>
    </r>
    <r>
      <rPr>
        <sz val="12"/>
        <rFont val="標楷體"/>
        <family val="4"/>
        <charset val="136"/>
      </rPr>
      <t>巷</t>
    </r>
    <r>
      <rPr>
        <sz val="12"/>
        <rFont val="Times New Roman"/>
        <family val="1"/>
      </rPr>
      <t>37</t>
    </r>
    <r>
      <rPr>
        <sz val="12"/>
        <rFont val="標楷體"/>
        <family val="4"/>
        <charset val="136"/>
      </rPr>
      <t>號</t>
    </r>
    <phoneticPr fontId="5" type="noConversion"/>
  </si>
  <si>
    <r>
      <rPr>
        <sz val="12"/>
        <rFont val="標楷體"/>
        <family val="4"/>
        <charset val="136"/>
      </rPr>
      <t>員山村</t>
    </r>
    <phoneticPr fontId="5" type="noConversion"/>
  </si>
  <si>
    <r>
      <rPr>
        <sz val="12"/>
        <rFont val="標楷體"/>
        <family val="4"/>
        <charset val="136"/>
      </rPr>
      <t>宜縣</t>
    </r>
    <r>
      <rPr>
        <sz val="12"/>
        <rFont val="Times New Roman"/>
        <family val="1"/>
      </rPr>
      <t>DF143</t>
    </r>
  </si>
  <si>
    <r>
      <rPr>
        <sz val="12"/>
        <rFont val="標楷體"/>
        <family val="4"/>
        <charset val="136"/>
      </rPr>
      <t>奈格颱風環流加上東北季風的共伴效應，造成本災區降下超過</t>
    </r>
    <r>
      <rPr>
        <sz val="12"/>
        <rFont val="Times New Roman"/>
        <family val="1"/>
      </rPr>
      <t xml:space="preserve"> 1600mm </t>
    </r>
    <r>
      <rPr>
        <sz val="12"/>
        <rFont val="標楷體"/>
        <family val="4"/>
        <charset val="136"/>
      </rPr>
      <t>雨量，二坑溪上游坡地崩塌，並造成土石流災情。</t>
    </r>
    <r>
      <rPr>
        <sz val="12"/>
        <rFont val="Times New Roman"/>
        <family val="1"/>
      </rPr>
      <t xml:space="preserve"> </t>
    </r>
    <r>
      <rPr>
        <sz val="12"/>
        <rFont val="標楷體"/>
        <family val="4"/>
        <charset val="136"/>
      </rPr>
      <t>土石堵塞：漂流木及土石堵塞下游河道。</t>
    </r>
    <r>
      <rPr>
        <sz val="12"/>
        <rFont val="Times New Roman"/>
        <family val="1"/>
      </rPr>
      <t xml:space="preserve"> </t>
    </r>
    <r>
      <rPr>
        <sz val="12"/>
        <rFont val="標楷體"/>
        <family val="4"/>
        <charset val="136"/>
      </rPr>
      <t>土石漫流改道：土石於下游漫流改道。</t>
    </r>
    <r>
      <rPr>
        <sz val="12"/>
        <rFont val="Times New Roman"/>
        <family val="1"/>
      </rPr>
      <t xml:space="preserve"> </t>
    </r>
    <r>
      <rPr>
        <sz val="12"/>
        <rFont val="標楷體"/>
        <family val="4"/>
        <charset val="136"/>
      </rPr>
      <t>土石淤埋：土石淤埋</t>
    </r>
    <r>
      <rPr>
        <sz val="12"/>
        <rFont val="Times New Roman"/>
        <family val="1"/>
      </rPr>
      <t xml:space="preserve"> 37</t>
    </r>
    <r>
      <rPr>
        <sz val="12"/>
        <rFont val="標楷體"/>
        <family val="4"/>
        <charset val="136"/>
      </rPr>
      <t>號民宅果園及古舍古鄉民宿</t>
    </r>
    <r>
      <rPr>
        <sz val="12"/>
        <rFont val="Times New Roman"/>
        <family val="1"/>
      </rPr>
      <t>(</t>
    </r>
    <r>
      <rPr>
        <sz val="12"/>
        <rFont val="標楷體"/>
        <family val="4"/>
        <charset val="136"/>
      </rPr>
      <t>下游一坑溪、二坑溪匯流處</t>
    </r>
    <r>
      <rPr>
        <sz val="12"/>
        <rFont val="Times New Roman"/>
        <family val="1"/>
      </rPr>
      <t>)</t>
    </r>
    <r>
      <rPr>
        <sz val="12"/>
        <rFont val="標楷體"/>
        <family val="4"/>
        <charset val="136"/>
      </rPr>
      <t>。</t>
    </r>
    <r>
      <rPr>
        <sz val="12"/>
        <rFont val="Times New Roman"/>
        <family val="1"/>
      </rPr>
      <t xml:space="preserve"> </t>
    </r>
    <r>
      <rPr>
        <sz val="12"/>
        <rFont val="標楷體"/>
        <family val="4"/>
        <charset val="136"/>
      </rPr>
      <t>土石沖刷：土石沖毀下游護岸及道路。</t>
    </r>
    <r>
      <rPr>
        <sz val="12"/>
        <rFont val="Times New Roman"/>
        <family val="1"/>
      </rPr>
      <t xml:space="preserve">  </t>
    </r>
    <r>
      <rPr>
        <sz val="12"/>
        <rFont val="標楷體"/>
        <family val="4"/>
        <charset val="136"/>
      </rPr>
      <t>房屋受損：</t>
    </r>
    <r>
      <rPr>
        <sz val="12"/>
        <rFont val="Times New Roman"/>
        <family val="1"/>
      </rPr>
      <t>2</t>
    </r>
    <r>
      <rPr>
        <sz val="12"/>
        <rFont val="標楷體"/>
        <family val="4"/>
        <charset val="136"/>
      </rPr>
      <t>戶。</t>
    </r>
    <r>
      <rPr>
        <sz val="12"/>
        <rFont val="Times New Roman"/>
        <family val="1"/>
      </rPr>
      <t xml:space="preserve">   </t>
    </r>
    <r>
      <rPr>
        <sz val="12"/>
        <rFont val="標楷體"/>
        <family val="4"/>
        <charset val="136"/>
      </rPr>
      <t>道路毀損：泰雅一路</t>
    </r>
    <r>
      <rPr>
        <sz val="12"/>
        <rFont val="Times New Roman"/>
        <family val="1"/>
      </rPr>
      <t xml:space="preserve"> 451</t>
    </r>
    <r>
      <rPr>
        <sz val="12"/>
        <rFont val="標楷體"/>
        <family val="4"/>
        <charset val="136"/>
      </rPr>
      <t>巷約</t>
    </r>
    <r>
      <rPr>
        <sz val="12"/>
        <rFont val="Times New Roman"/>
        <family val="1"/>
      </rPr>
      <t>100m</t>
    </r>
    <r>
      <rPr>
        <sz val="12"/>
        <rFont val="標楷體"/>
        <family val="4"/>
        <charset val="136"/>
      </rPr>
      <t>。</t>
    </r>
    <r>
      <rPr>
        <sz val="12"/>
        <rFont val="Times New Roman"/>
        <family val="1"/>
      </rPr>
      <t xml:space="preserve"> 
</t>
    </r>
    <phoneticPr fontId="5" type="noConversion"/>
  </si>
  <si>
    <t>C1U501)</t>
  </si>
  <si>
    <r>
      <rPr>
        <sz val="12"/>
        <rFont val="標楷體"/>
        <family val="4"/>
        <charset val="136"/>
      </rPr>
      <t>寒溪部落</t>
    </r>
    <phoneticPr fontId="5" type="noConversion"/>
  </si>
  <si>
    <r>
      <rPr>
        <sz val="12"/>
        <rFont val="標楷體"/>
        <family val="4"/>
        <charset val="136"/>
      </rPr>
      <t>宜縣</t>
    </r>
    <r>
      <rPr>
        <sz val="12"/>
        <rFont val="Times New Roman"/>
        <family val="1"/>
      </rPr>
      <t>DF086</t>
    </r>
    <phoneticPr fontId="5" type="noConversion"/>
  </si>
  <si>
    <r>
      <rPr>
        <sz val="12"/>
        <rFont val="標楷體"/>
        <family val="4"/>
        <charset val="136"/>
      </rPr>
      <t>奈格颱風環流加上東北季風共伴效應致宜蘭地區降下豪雨，造成寒溪村落上游土石流潛勢溪流</t>
    </r>
    <r>
      <rPr>
        <sz val="12"/>
        <rFont val="Times New Roman"/>
        <family val="1"/>
      </rPr>
      <t>(</t>
    </r>
    <r>
      <rPr>
        <sz val="12"/>
        <rFont val="標楷體"/>
        <family val="4"/>
        <charset val="136"/>
      </rPr>
      <t>宜縣</t>
    </r>
    <r>
      <rPr>
        <sz val="12"/>
        <rFont val="Times New Roman"/>
        <family val="1"/>
      </rPr>
      <t xml:space="preserve"> DF086)</t>
    </r>
    <r>
      <rPr>
        <sz val="12"/>
        <rFont val="標楷體"/>
        <family val="4"/>
        <charset val="136"/>
      </rPr>
      <t>發生土石流災害，溪床大量土砂堆積並損壞梳子壩，土石沖積區淤埋原住民保留地農田。</t>
    </r>
    <r>
      <rPr>
        <sz val="12"/>
        <rFont val="Times New Roman"/>
        <family val="1"/>
      </rPr>
      <t xml:space="preserve"> </t>
    </r>
    <r>
      <rPr>
        <sz val="12"/>
        <rFont val="標楷體"/>
        <family val="4"/>
        <charset val="136"/>
      </rPr>
      <t>宜縣</t>
    </r>
    <r>
      <rPr>
        <sz val="12"/>
        <rFont val="Times New Roman"/>
        <family val="1"/>
      </rPr>
      <t xml:space="preserve"> DF086</t>
    </r>
    <r>
      <rPr>
        <sz val="12"/>
        <rFont val="標楷體"/>
        <family val="4"/>
        <charset val="136"/>
      </rPr>
      <t>土石堆積於匯流口，壓迫翻社坑溪主河道，造成翻社坑溪淘刷寒溪部落旁堤防，影響部落安全。</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</si>
  <si>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瑪崙橋</t>
    </r>
  </si>
  <si>
    <r>
      <rPr>
        <sz val="12"/>
        <rFont val="標楷體"/>
        <family val="4"/>
        <charset val="136"/>
      </rPr>
      <t>大同鄉</t>
    </r>
  </si>
  <si>
    <r>
      <rPr>
        <sz val="12"/>
        <rFont val="標楷體"/>
        <family val="4"/>
        <charset val="136"/>
      </rPr>
      <t>樂水村</t>
    </r>
  </si>
  <si>
    <r>
      <t>1001</t>
    </r>
    <r>
      <rPr>
        <sz val="12"/>
        <rFont val="標楷體"/>
        <family val="4"/>
        <charset val="136"/>
      </rPr>
      <t>豪雨</t>
    </r>
  </si>
  <si>
    <r>
      <t xml:space="preserve">1001 </t>
    </r>
    <r>
      <rPr>
        <sz val="12"/>
        <rFont val="標楷體"/>
        <family val="4"/>
        <charset val="136"/>
      </rPr>
      <t>豪雨期間，瑪崙溪</t>
    </r>
    <r>
      <rPr>
        <sz val="12"/>
        <rFont val="Times New Roman"/>
        <family val="1"/>
      </rPr>
      <t>(</t>
    </r>
    <r>
      <rPr>
        <sz val="12"/>
        <rFont val="標楷體"/>
        <family val="4"/>
        <charset val="136"/>
      </rPr>
      <t>宜縣</t>
    </r>
    <r>
      <rPr>
        <sz val="12"/>
        <rFont val="Times New Roman"/>
        <family val="1"/>
      </rPr>
      <t xml:space="preserve"> DF060)</t>
    </r>
    <r>
      <rPr>
        <sz val="12"/>
        <rFont val="標楷體"/>
        <family val="4"/>
        <charset val="136"/>
      </rPr>
      <t>溪水暴漲，瑪崙溪上游</t>
    </r>
    <r>
      <rPr>
        <sz val="12"/>
        <rFont val="Times New Roman"/>
        <family val="1"/>
      </rPr>
      <t xml:space="preserve"> 2 </t>
    </r>
    <r>
      <rPr>
        <sz val="12"/>
        <rFont val="標楷體"/>
        <family val="4"/>
        <charset val="136"/>
      </rPr>
      <t>號防砂壩損壞，大量土砂淤積瑪崙橋河道，河道與通往保全民宅之道路高差不足</t>
    </r>
    <r>
      <rPr>
        <sz val="12"/>
        <rFont val="Times New Roman"/>
        <family val="1"/>
      </rPr>
      <t xml:space="preserve"> 1 </t>
    </r>
    <r>
      <rPr>
        <sz val="12"/>
        <rFont val="標楷體"/>
        <family val="4"/>
        <charset val="136"/>
      </rPr>
      <t>公尺，造成道路中斷。</t>
    </r>
    <r>
      <rPr>
        <sz val="12"/>
        <rFont val="Times New Roman"/>
        <family val="1"/>
      </rPr>
      <t xml:space="preserve">  </t>
    </r>
    <r>
      <rPr>
        <sz val="12"/>
        <rFont val="標楷體"/>
        <family val="4"/>
        <charset val="136"/>
      </rPr>
      <t>河道土砂堵塞至瑪崙橋帽梁，橋梁已無通水能力，造成土砂於左側橋台溢淹，道路因而管制通行。</t>
    </r>
    <r>
      <rPr>
        <sz val="12"/>
        <rFont val="Times New Roman"/>
        <family val="1"/>
      </rPr>
      <t xml:space="preserve"> </t>
    </r>
    <r>
      <rPr>
        <sz val="12"/>
        <rFont val="標楷體"/>
        <family val="4"/>
        <charset val="136"/>
      </rPr>
      <t>大同產業道路上邊蝕溝沖蝕，土石堆積道路造成道路中斷</t>
    </r>
    <r>
      <rPr>
        <sz val="12"/>
        <rFont val="Times New Roman"/>
        <family val="1"/>
      </rPr>
      <t xml:space="preserve"> 50</t>
    </r>
    <r>
      <rPr>
        <sz val="12"/>
        <rFont val="標楷體"/>
        <family val="4"/>
        <charset val="136"/>
      </rPr>
      <t>公尺。</t>
    </r>
    <r>
      <rPr>
        <sz val="12"/>
        <rFont val="Times New Roman"/>
        <family val="1"/>
      </rPr>
      <t xml:space="preserve"> </t>
    </r>
    <phoneticPr fontId="5" type="noConversion"/>
  </si>
  <si>
    <t>C0U760</t>
  </si>
  <si>
    <r>
      <rPr>
        <sz val="12"/>
        <rFont val="標楷體"/>
        <family val="4"/>
        <charset val="136"/>
      </rPr>
      <t>東澳部落</t>
    </r>
    <r>
      <rPr>
        <sz val="12"/>
        <rFont val="Times New Roman"/>
        <family val="1"/>
      </rPr>
      <t>(</t>
    </r>
    <r>
      <rPr>
        <sz val="12"/>
        <rFont val="標楷體"/>
        <family val="4"/>
        <charset val="136"/>
      </rPr>
      <t>東岳湧泉公園</t>
    </r>
    <r>
      <rPr>
        <sz val="12"/>
        <rFont val="Times New Roman"/>
        <family val="1"/>
      </rPr>
      <t>)</t>
    </r>
  </si>
  <si>
    <r>
      <rPr>
        <sz val="12"/>
        <rFont val="標楷體"/>
        <family val="4"/>
        <charset val="136"/>
      </rPr>
      <t>南澳鄉</t>
    </r>
    <phoneticPr fontId="5" type="noConversion"/>
  </si>
  <si>
    <r>
      <rPr>
        <sz val="12"/>
        <rFont val="標楷體"/>
        <family val="4"/>
        <charset val="136"/>
      </rPr>
      <t>東岳村</t>
    </r>
    <phoneticPr fontId="5" type="noConversion"/>
  </si>
  <si>
    <r>
      <rPr>
        <sz val="12"/>
        <rFont val="標楷體"/>
        <family val="4"/>
        <charset val="136"/>
      </rPr>
      <t>奈格颱風環流加上東北季風的共伴效應，在宜蘭東澳地區降下超過</t>
    </r>
    <r>
      <rPr>
        <sz val="12"/>
        <rFont val="Times New Roman"/>
        <family val="1"/>
      </rPr>
      <t xml:space="preserve"> 900mm</t>
    </r>
    <r>
      <rPr>
        <sz val="12"/>
        <rFont val="標楷體"/>
        <family val="4"/>
        <charset val="136"/>
      </rPr>
      <t>雨量，造成東澳北溪溪水暴漲，造成本次洪水災情。</t>
    </r>
    <r>
      <rPr>
        <sz val="12"/>
        <rFont val="Times New Roman"/>
        <family val="1"/>
      </rPr>
      <t xml:space="preserve"> </t>
    </r>
    <r>
      <rPr>
        <sz val="12"/>
        <rFont val="標楷體"/>
        <family val="4"/>
        <charset val="136"/>
      </rPr>
      <t>溪水淘刷北迴路橋上游凹岸，大量土砂及漂流木淤積東岳湧泉公園，並堵塞橋涵。</t>
    </r>
    <r>
      <rPr>
        <sz val="12"/>
        <rFont val="Times New Roman"/>
        <family val="1"/>
      </rPr>
      <t xml:space="preserve"> </t>
    </r>
    <r>
      <rPr>
        <sz val="12"/>
        <rFont val="標楷體"/>
        <family val="4"/>
        <charset val="136"/>
      </rPr>
      <t>房屋受損：</t>
    </r>
    <r>
      <rPr>
        <sz val="12"/>
        <rFont val="Times New Roman"/>
        <family val="1"/>
      </rPr>
      <t>1</t>
    </r>
    <r>
      <rPr>
        <sz val="12"/>
        <rFont val="標楷體"/>
        <family val="4"/>
        <charset val="136"/>
      </rPr>
      <t>棟。</t>
    </r>
    <r>
      <rPr>
        <sz val="12"/>
        <rFont val="Times New Roman"/>
        <family val="1"/>
      </rPr>
      <t xml:space="preserve"> </t>
    </r>
    <r>
      <rPr>
        <sz val="12"/>
        <rFont val="標楷體"/>
        <family val="4"/>
        <charset val="136"/>
      </rPr>
      <t>道路毀損：無。</t>
    </r>
    <r>
      <rPr>
        <sz val="12"/>
        <rFont val="Times New Roman"/>
        <family val="1"/>
      </rPr>
      <t xml:space="preserve"> </t>
    </r>
    <phoneticPr fontId="5" type="noConversion"/>
  </si>
  <si>
    <r>
      <rPr>
        <sz val="12"/>
        <rFont val="標楷體"/>
        <family val="4"/>
        <charset val="136"/>
      </rPr>
      <t>東澳</t>
    </r>
    <phoneticPr fontId="5" type="noConversion"/>
  </si>
  <si>
    <r>
      <rPr>
        <sz val="12"/>
        <rFont val="標楷體"/>
        <family val="4"/>
        <charset val="136"/>
      </rPr>
      <t>布浪一號橋、布浪二號橋</t>
    </r>
  </si>
  <si>
    <r>
      <rPr>
        <sz val="12"/>
        <rFont val="標楷體"/>
        <family val="4"/>
        <charset val="136"/>
      </rPr>
      <t>宜縣</t>
    </r>
    <r>
      <rPr>
        <sz val="12"/>
        <rFont val="Times New Roman"/>
        <family val="1"/>
      </rPr>
      <t>DF099</t>
    </r>
  </si>
  <si>
    <r>
      <rPr>
        <sz val="12"/>
        <rFont val="標楷體"/>
        <family val="4"/>
        <charset val="136"/>
      </rPr>
      <t>奈格颱風環流加上東北季風的共伴效應，在宜蘭東澳地區降下超過</t>
    </r>
    <r>
      <rPr>
        <sz val="12"/>
        <rFont val="Times New Roman"/>
        <family val="1"/>
      </rPr>
      <t xml:space="preserve"> 900mm</t>
    </r>
    <r>
      <rPr>
        <sz val="12"/>
        <rFont val="標楷體"/>
        <family val="4"/>
        <charset val="136"/>
      </rPr>
      <t>雨量，東澳北溪及其支流溪水暴漲，造成本次洪水災害。</t>
    </r>
    <r>
      <rPr>
        <sz val="12"/>
        <rFont val="Times New Roman"/>
        <family val="1"/>
      </rPr>
      <t xml:space="preserve">  </t>
    </r>
    <r>
      <rPr>
        <sz val="12"/>
        <rFont val="標楷體"/>
        <family val="4"/>
        <charset val="136"/>
      </rPr>
      <t>布浪一號上游防砂壩壩翼基礎淘空，土石淤埋新建固床工。</t>
    </r>
    <r>
      <rPr>
        <sz val="12"/>
        <rFont val="Times New Roman"/>
        <family val="1"/>
      </rPr>
      <t xml:space="preserve"> </t>
    </r>
    <r>
      <rPr>
        <sz val="12"/>
        <rFont val="標楷體"/>
        <family val="4"/>
        <charset val="136"/>
      </rPr>
      <t>布浪二號橋上游沈砂池毀損，河岸淘刷沖毀建東岳部落聯絡道路，施作中的固床工遭土石淤埋。</t>
    </r>
    <r>
      <rPr>
        <sz val="12"/>
        <rFont val="Times New Roman"/>
        <family val="1"/>
      </rPr>
      <t xml:space="preserve"> </t>
    </r>
    <r>
      <rPr>
        <sz val="12"/>
        <rFont val="標楷體"/>
        <family val="4"/>
        <charset val="136"/>
      </rPr>
      <t>道路毀損：東岳部落聯絡道路約</t>
    </r>
    <r>
      <rPr>
        <sz val="12"/>
        <rFont val="Times New Roman"/>
        <family val="1"/>
      </rPr>
      <t>50</t>
    </r>
    <r>
      <rPr>
        <sz val="12"/>
        <rFont val="標楷體"/>
        <family val="4"/>
        <charset val="136"/>
      </rPr>
      <t>公尺。</t>
    </r>
    <phoneticPr fontId="5" type="noConversion"/>
  </si>
  <si>
    <t>C0U760</t>
    <phoneticPr fontId="5" type="noConversion"/>
  </si>
  <si>
    <r>
      <rPr>
        <sz val="12"/>
        <rFont val="標楷體"/>
        <family val="4"/>
        <charset val="136"/>
      </rPr>
      <t>宜</t>
    </r>
    <r>
      <rPr>
        <sz val="12"/>
        <rFont val="Times New Roman"/>
        <family val="1"/>
      </rPr>
      <t>51</t>
    </r>
    <r>
      <rPr>
        <sz val="12"/>
        <rFont val="標楷體"/>
        <family val="4"/>
        <charset val="136"/>
      </rPr>
      <t>縣鄉道</t>
    </r>
    <r>
      <rPr>
        <sz val="12"/>
        <rFont val="Times New Roman"/>
        <family val="1"/>
      </rPr>
      <t>6K</t>
    </r>
    <r>
      <rPr>
        <sz val="12"/>
        <rFont val="標楷體"/>
        <family val="4"/>
        <charset val="136"/>
      </rPr>
      <t>及</t>
    </r>
    <r>
      <rPr>
        <sz val="12"/>
        <rFont val="Times New Roman"/>
        <family val="1"/>
      </rPr>
      <t>8K</t>
    </r>
  </si>
  <si>
    <r>
      <rPr>
        <sz val="12"/>
        <rFont val="標楷體"/>
        <family val="4"/>
        <charset val="136"/>
      </rPr>
      <t>奈格颱風環流加上東北季風的共伴效應，在宜蘭地區降下豪雨，</t>
    </r>
    <r>
      <rPr>
        <sz val="12"/>
        <rFont val="Times New Roman"/>
        <family val="1"/>
      </rPr>
      <t>2</t>
    </r>
    <r>
      <rPr>
        <sz val="12"/>
        <rFont val="標楷體"/>
        <family val="4"/>
        <charset val="136"/>
      </rPr>
      <t>天內在牛鬥地區降下超過</t>
    </r>
    <r>
      <rPr>
        <sz val="12"/>
        <rFont val="Times New Roman"/>
        <family val="1"/>
      </rPr>
      <t xml:space="preserve"> 400mm </t>
    </r>
    <r>
      <rPr>
        <sz val="12"/>
        <rFont val="標楷體"/>
        <family val="4"/>
        <charset val="136"/>
      </rPr>
      <t>雨量，造成宜</t>
    </r>
    <r>
      <rPr>
        <sz val="12"/>
        <rFont val="Times New Roman"/>
        <family val="1"/>
      </rPr>
      <t xml:space="preserve"> 51</t>
    </r>
    <r>
      <rPr>
        <sz val="12"/>
        <rFont val="標楷體"/>
        <family val="4"/>
        <charset val="136"/>
      </rPr>
      <t>線鄉道</t>
    </r>
    <r>
      <rPr>
        <sz val="12"/>
        <rFont val="Times New Roman"/>
        <family val="1"/>
      </rPr>
      <t xml:space="preserve"> 6k </t>
    </r>
    <r>
      <rPr>
        <sz val="12"/>
        <rFont val="標楷體"/>
        <family val="4"/>
        <charset val="136"/>
      </rPr>
      <t>及</t>
    </r>
    <r>
      <rPr>
        <sz val="12"/>
        <rFont val="Times New Roman"/>
        <family val="1"/>
      </rPr>
      <t xml:space="preserve"> 8k </t>
    </r>
    <r>
      <rPr>
        <sz val="12"/>
        <rFont val="標楷體"/>
        <family val="4"/>
        <charset val="136"/>
      </rPr>
      <t>處山坡地發生道路上邊坡崩塌，</t>
    </r>
    <r>
      <rPr>
        <sz val="12"/>
        <rFont val="Times New Roman"/>
        <family val="1"/>
      </rPr>
      <t xml:space="preserve"> </t>
    </r>
    <r>
      <rPr>
        <sz val="12"/>
        <rFont val="標楷體"/>
        <family val="4"/>
        <charset val="136"/>
      </rPr>
      <t>崩落土石堆積道路阻斷交通，周遭擋土牆、道路護欄及電線桿遭土石撞擊受損。</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道路毀損：宜</t>
    </r>
    <r>
      <rPr>
        <sz val="12"/>
        <rFont val="Times New Roman"/>
        <family val="1"/>
      </rPr>
      <t xml:space="preserve"> 51</t>
    </r>
    <r>
      <rPr>
        <sz val="12"/>
        <rFont val="標楷體"/>
        <family val="4"/>
        <charset val="136"/>
      </rPr>
      <t>線鄉道約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</si>
  <si>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省道台</t>
    </r>
    <r>
      <rPr>
        <sz val="12"/>
        <rFont val="Times New Roman"/>
        <family val="1"/>
      </rPr>
      <t>9</t>
    </r>
    <r>
      <rPr>
        <sz val="12"/>
        <rFont val="標楷體"/>
        <family val="4"/>
        <charset val="136"/>
      </rPr>
      <t>甲線</t>
    </r>
    <r>
      <rPr>
        <sz val="12"/>
        <rFont val="Times New Roman"/>
        <family val="1"/>
      </rPr>
      <t>53.8K</t>
    </r>
  </si>
  <si>
    <r>
      <rPr>
        <sz val="12"/>
        <rFont val="標楷體"/>
        <family val="4"/>
        <charset val="136"/>
      </rPr>
      <t>員山鄉</t>
    </r>
  </si>
  <si>
    <r>
      <rPr>
        <sz val="12"/>
        <rFont val="標楷體"/>
        <family val="4"/>
        <charset val="136"/>
      </rPr>
      <t>湖西村</t>
    </r>
  </si>
  <si>
    <r>
      <rPr>
        <sz val="12"/>
        <rFont val="標楷體"/>
        <family val="4"/>
        <charset val="136"/>
      </rPr>
      <t>奈格颱風環流加上東北季風共伴效應致宜蘭地區降下豪雨，造成省道台</t>
    </r>
    <r>
      <rPr>
        <sz val="12"/>
        <rFont val="Times New Roman"/>
        <family val="1"/>
      </rPr>
      <t xml:space="preserve"> 9 </t>
    </r>
    <r>
      <rPr>
        <sz val="12"/>
        <rFont val="標楷體"/>
        <family val="4"/>
        <charset val="136"/>
      </rPr>
      <t>甲線</t>
    </r>
    <r>
      <rPr>
        <sz val="12"/>
        <rFont val="Times New Roman"/>
        <family val="1"/>
      </rPr>
      <t xml:space="preserve">53.8k </t>
    </r>
    <r>
      <rPr>
        <sz val="12"/>
        <rFont val="標楷體"/>
        <family val="4"/>
        <charset val="136"/>
      </rPr>
      <t>處發生崩塌災害，道路上邊坡既有植生格框損毀，路面土石堆積，護欄毀壞，鋼筋外露。</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道路毀損：省道台</t>
    </r>
    <r>
      <rPr>
        <sz val="12"/>
        <rFont val="Times New Roman"/>
        <family val="1"/>
      </rPr>
      <t xml:space="preserve"> 9</t>
    </r>
    <r>
      <rPr>
        <sz val="12"/>
        <rFont val="標楷體"/>
        <family val="4"/>
        <charset val="136"/>
      </rPr>
      <t>甲線約</t>
    </r>
    <r>
      <rPr>
        <sz val="12"/>
        <rFont val="Times New Roman"/>
        <family val="1"/>
      </rPr>
      <t xml:space="preserve"> 100m</t>
    </r>
    <r>
      <rPr>
        <sz val="12"/>
        <rFont val="標楷體"/>
        <family val="4"/>
        <charset val="136"/>
      </rPr>
      <t>。</t>
    </r>
    <r>
      <rPr>
        <sz val="12"/>
        <rFont val="Times New Roman"/>
        <family val="1"/>
      </rPr>
      <t xml:space="preserve"> </t>
    </r>
    <r>
      <rPr>
        <sz val="12"/>
        <rFont val="標楷體"/>
        <family val="4"/>
        <charset val="136"/>
      </rPr>
      <t>人員傷亡：無。</t>
    </r>
    <phoneticPr fontId="5" type="noConversion"/>
  </si>
  <si>
    <t>C1U630</t>
  </si>
  <si>
    <r>
      <rPr>
        <sz val="12"/>
        <rFont val="標楷體"/>
        <family val="4"/>
        <charset val="136"/>
      </rPr>
      <t>再連</t>
    </r>
    <phoneticPr fontId="5" type="noConversion"/>
  </si>
  <si>
    <r>
      <rPr>
        <sz val="12"/>
        <rFont val="標楷體"/>
        <family val="4"/>
        <charset val="136"/>
      </rPr>
      <t>崩塌</t>
    </r>
    <r>
      <rPr>
        <sz val="12"/>
        <rFont val="Times New Roman"/>
        <family val="1"/>
      </rPr>
      <t>(</t>
    </r>
    <r>
      <rPr>
        <sz val="12"/>
        <rFont val="標楷體"/>
        <family val="4"/>
        <charset val="136"/>
      </rPr>
      <t>陷落</t>
    </r>
    <r>
      <rPr>
        <sz val="12"/>
        <rFont val="Times New Roman"/>
        <family val="1"/>
      </rPr>
      <t>)</t>
    </r>
    <r>
      <rPr>
        <sz val="12"/>
        <rFont val="標楷體"/>
        <family val="4"/>
        <charset val="136"/>
      </rPr>
      <t>、土石流</t>
    </r>
    <phoneticPr fontId="5" type="noConversion"/>
  </si>
  <si>
    <r>
      <rPr>
        <sz val="12"/>
        <rFont val="標楷體"/>
        <family val="4"/>
        <charset val="136"/>
      </rPr>
      <t>省道台</t>
    </r>
    <r>
      <rPr>
        <sz val="12"/>
        <rFont val="Times New Roman"/>
        <family val="1"/>
      </rPr>
      <t>9</t>
    </r>
    <r>
      <rPr>
        <sz val="12"/>
        <rFont val="標楷體"/>
        <family val="4"/>
        <charset val="136"/>
      </rPr>
      <t>縣</t>
    </r>
    <r>
      <rPr>
        <sz val="12"/>
        <rFont val="Times New Roman"/>
        <family val="1"/>
      </rPr>
      <t>115.8K</t>
    </r>
  </si>
  <si>
    <r>
      <rPr>
        <sz val="12"/>
        <rFont val="標楷體"/>
        <family val="4"/>
        <charset val="136"/>
      </rPr>
      <t>東澳里</t>
    </r>
  </si>
  <si>
    <r>
      <rPr>
        <sz val="12"/>
        <rFont val="標楷體"/>
        <family val="4"/>
        <charset val="136"/>
      </rPr>
      <t>奈格颱風環流加上東北季風共伴效應致宜蘭地區降下豪雨，造成省道台</t>
    </r>
    <r>
      <rPr>
        <sz val="12"/>
        <rFont val="Times New Roman"/>
        <family val="1"/>
      </rPr>
      <t xml:space="preserve"> 9 </t>
    </r>
    <r>
      <rPr>
        <sz val="12"/>
        <rFont val="標楷體"/>
        <family val="4"/>
        <charset val="136"/>
      </rPr>
      <t>線</t>
    </r>
    <r>
      <rPr>
        <sz val="12"/>
        <rFont val="Times New Roman"/>
        <family val="1"/>
      </rPr>
      <t xml:space="preserve">115.8k </t>
    </r>
    <r>
      <rPr>
        <sz val="12"/>
        <rFont val="標楷體"/>
        <family val="4"/>
        <charset val="136"/>
      </rPr>
      <t>處道路下邊坡路基陷落，路面護欄鋼筋外露。</t>
    </r>
    <r>
      <rPr>
        <sz val="12"/>
        <rFont val="Times New Roman"/>
        <family val="1"/>
      </rPr>
      <t xml:space="preserve">  </t>
    </r>
    <r>
      <rPr>
        <sz val="12"/>
        <rFont val="標楷體"/>
        <family val="4"/>
        <charset val="136"/>
      </rPr>
      <t>大坑橋上游落石網遭土石撞擊損壞，右岸橋台鋼筋外露。</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道路毀損：省道台</t>
    </r>
    <r>
      <rPr>
        <sz val="12"/>
        <rFont val="Times New Roman"/>
        <family val="1"/>
      </rPr>
      <t xml:space="preserve"> 9</t>
    </r>
    <r>
      <rPr>
        <sz val="12"/>
        <rFont val="標楷體"/>
        <family val="4"/>
        <charset val="136"/>
      </rPr>
      <t>線約</t>
    </r>
    <r>
      <rPr>
        <sz val="12"/>
        <rFont val="Times New Roman"/>
        <family val="1"/>
      </rPr>
      <t xml:space="preserve"> 100m</t>
    </r>
    <r>
      <rPr>
        <sz val="12"/>
        <rFont val="標楷體"/>
        <family val="4"/>
        <charset val="136"/>
      </rPr>
      <t>。</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</si>
  <si>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台</t>
    </r>
    <r>
      <rPr>
        <sz val="12"/>
        <rFont val="Times New Roman"/>
        <family val="1"/>
      </rPr>
      <t>7</t>
    </r>
    <r>
      <rPr>
        <sz val="12"/>
        <rFont val="標楷體"/>
        <family val="4"/>
        <charset val="136"/>
      </rPr>
      <t>縣</t>
    </r>
    <r>
      <rPr>
        <sz val="12"/>
        <rFont val="Times New Roman"/>
        <family val="1"/>
      </rPr>
      <t>90K</t>
    </r>
  </si>
  <si>
    <r>
      <rPr>
        <sz val="12"/>
        <rFont val="標楷體"/>
        <family val="4"/>
        <charset val="136"/>
      </rPr>
      <t>英士村</t>
    </r>
  </si>
  <si>
    <r>
      <rPr>
        <sz val="12"/>
        <rFont val="標楷體"/>
        <family val="4"/>
        <charset val="136"/>
      </rPr>
      <t>奈格颱風環流加上東北季風的共伴效應，在宜蘭地區降下豪雨，</t>
    </r>
    <r>
      <rPr>
        <sz val="12"/>
        <rFont val="Times New Roman"/>
        <family val="1"/>
      </rPr>
      <t>3</t>
    </r>
    <r>
      <rPr>
        <sz val="12"/>
        <rFont val="標楷體"/>
        <family val="4"/>
        <charset val="136"/>
      </rPr>
      <t>天內在牛鬥雨量站降下超過</t>
    </r>
    <r>
      <rPr>
        <sz val="12"/>
        <rFont val="Times New Roman"/>
        <family val="1"/>
      </rPr>
      <t xml:space="preserve"> 1600mm </t>
    </r>
    <r>
      <rPr>
        <sz val="12"/>
        <rFont val="標楷體"/>
        <family val="4"/>
        <charset val="136"/>
      </rPr>
      <t>雨量，造成台</t>
    </r>
    <r>
      <rPr>
        <sz val="12"/>
        <rFont val="Times New Roman"/>
        <family val="1"/>
      </rPr>
      <t>7</t>
    </r>
    <r>
      <rPr>
        <sz val="12"/>
        <rFont val="標楷體"/>
        <family val="4"/>
        <charset val="136"/>
      </rPr>
      <t>線</t>
    </r>
    <r>
      <rPr>
        <sz val="12"/>
        <rFont val="Times New Roman"/>
        <family val="1"/>
      </rPr>
      <t xml:space="preserve"> 90k </t>
    </r>
    <r>
      <rPr>
        <sz val="12"/>
        <rFont val="標楷體"/>
        <family val="4"/>
        <charset val="136"/>
      </rPr>
      <t>處山坡地，山洪暴發，引起土石流，沖毀防砂壩、擋土牆及台</t>
    </r>
    <r>
      <rPr>
        <sz val="12"/>
        <rFont val="Times New Roman"/>
        <family val="1"/>
      </rPr>
      <t xml:space="preserve"> 7 </t>
    </r>
    <r>
      <rPr>
        <sz val="12"/>
        <rFont val="標楷體"/>
        <family val="4"/>
        <charset val="136"/>
      </rPr>
      <t>線護欄，土砂於埋台</t>
    </r>
    <r>
      <rPr>
        <sz val="12"/>
        <rFont val="Times New Roman"/>
        <family val="1"/>
      </rPr>
      <t xml:space="preserve"> 7</t>
    </r>
    <r>
      <rPr>
        <sz val="12"/>
        <rFont val="標楷體"/>
        <family val="4"/>
        <charset val="136"/>
      </rPr>
      <t>線及周遭景觀設施。</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道路毀損：台</t>
    </r>
    <r>
      <rPr>
        <sz val="12"/>
        <rFont val="Times New Roman"/>
        <family val="1"/>
      </rPr>
      <t>7</t>
    </r>
    <r>
      <rPr>
        <sz val="12"/>
        <rFont val="標楷體"/>
        <family val="4"/>
        <charset val="136"/>
      </rPr>
      <t>線約</t>
    </r>
    <r>
      <rPr>
        <sz val="12"/>
        <rFont val="Times New Roman"/>
        <family val="1"/>
      </rPr>
      <t xml:space="preserve"> 100m</t>
    </r>
    <r>
      <rPr>
        <sz val="12"/>
        <rFont val="標楷體"/>
        <family val="4"/>
        <charset val="136"/>
      </rPr>
      <t>。</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</si>
  <si>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台</t>
    </r>
    <r>
      <rPr>
        <sz val="12"/>
        <rFont val="Times New Roman"/>
        <family val="1"/>
      </rPr>
      <t>7</t>
    </r>
    <r>
      <rPr>
        <sz val="12"/>
        <rFont val="標楷體"/>
        <family val="4"/>
        <charset val="136"/>
      </rPr>
      <t>縣</t>
    </r>
    <r>
      <rPr>
        <sz val="12"/>
        <rFont val="Times New Roman"/>
        <family val="1"/>
      </rPr>
      <t>90.5K</t>
    </r>
  </si>
  <si>
    <r>
      <rPr>
        <sz val="12"/>
        <rFont val="標楷體"/>
        <family val="4"/>
        <charset val="136"/>
      </rPr>
      <t>奈格颱風環流加上東北季風的共伴效應，在本災區降下超過</t>
    </r>
    <r>
      <rPr>
        <sz val="12"/>
        <rFont val="Times New Roman"/>
        <family val="1"/>
      </rPr>
      <t xml:space="preserve"> 1600mm </t>
    </r>
    <r>
      <rPr>
        <sz val="12"/>
        <rFont val="標楷體"/>
        <family val="4"/>
        <charset val="136"/>
      </rPr>
      <t>雨量，造成台</t>
    </r>
    <r>
      <rPr>
        <sz val="12"/>
        <rFont val="Times New Roman"/>
        <family val="1"/>
      </rPr>
      <t xml:space="preserve"> 7</t>
    </r>
    <r>
      <rPr>
        <sz val="12"/>
        <rFont val="標楷體"/>
        <family val="4"/>
        <charset val="136"/>
      </rPr>
      <t>線</t>
    </r>
    <r>
      <rPr>
        <sz val="12"/>
        <rFont val="Times New Roman"/>
        <family val="1"/>
      </rPr>
      <t xml:space="preserve"> 90.5k </t>
    </r>
    <r>
      <rPr>
        <sz val="12"/>
        <rFont val="標楷體"/>
        <family val="4"/>
        <charset val="136"/>
      </rPr>
      <t>處道路上邊坡，因蝕溝沖刷發生土石流災害。</t>
    </r>
    <r>
      <rPr>
        <sz val="12"/>
        <rFont val="Times New Roman"/>
        <family val="1"/>
      </rPr>
      <t xml:space="preserve"> </t>
    </r>
    <r>
      <rPr>
        <sz val="12"/>
        <rFont val="標楷體"/>
        <family val="4"/>
        <charset val="136"/>
      </rPr>
      <t>土石淤埋：道路排水設施及景觀步道。</t>
    </r>
    <r>
      <rPr>
        <sz val="12"/>
        <rFont val="Times New Roman"/>
        <family val="1"/>
      </rPr>
      <t xml:space="preserve"> </t>
    </r>
    <r>
      <rPr>
        <sz val="12"/>
        <rFont val="標楷體"/>
        <family val="4"/>
        <charset val="136"/>
      </rPr>
      <t>土石撞擊：系列防砂設施、台</t>
    </r>
    <r>
      <rPr>
        <sz val="12"/>
        <rFont val="Times New Roman"/>
        <family val="1"/>
      </rPr>
      <t xml:space="preserve"> 7 </t>
    </r>
    <r>
      <rPr>
        <sz val="12"/>
        <rFont val="標楷體"/>
        <family val="4"/>
        <charset val="136"/>
      </rPr>
      <t>線護欄</t>
    </r>
    <r>
      <rPr>
        <sz val="12"/>
        <rFont val="Times New Roman"/>
        <family val="1"/>
      </rPr>
      <t xml:space="preserve"> </t>
    </r>
    <r>
      <rPr>
        <sz val="12"/>
        <rFont val="標楷體"/>
        <family val="4"/>
        <charset val="136"/>
      </rPr>
      <t>遭土石撞擊毀損。</t>
    </r>
    <r>
      <rPr>
        <sz val="12"/>
        <rFont val="Times New Roman"/>
        <family val="1"/>
      </rPr>
      <t xml:space="preserve">  </t>
    </r>
    <r>
      <rPr>
        <sz val="12"/>
        <rFont val="標楷體"/>
        <family val="4"/>
        <charset val="136"/>
      </rPr>
      <t>道路毀損：台</t>
    </r>
    <r>
      <rPr>
        <sz val="12"/>
        <rFont val="Times New Roman"/>
        <family val="1"/>
      </rPr>
      <t>7</t>
    </r>
    <r>
      <rPr>
        <sz val="12"/>
        <rFont val="標楷體"/>
        <family val="4"/>
        <charset val="136"/>
      </rPr>
      <t>線約</t>
    </r>
    <r>
      <rPr>
        <sz val="12"/>
        <rFont val="Times New Roman"/>
        <family val="1"/>
      </rPr>
      <t xml:space="preserve"> 150m</t>
    </r>
    <r>
      <rPr>
        <sz val="12"/>
        <rFont val="標楷體"/>
        <family val="4"/>
        <charset val="136"/>
      </rPr>
      <t>。</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</si>
  <si>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r>
      <rPr>
        <sz val="12"/>
        <rFont val="標楷體"/>
        <family val="4"/>
        <charset val="136"/>
      </rPr>
      <t>枋仔崙產業道路</t>
    </r>
    <r>
      <rPr>
        <sz val="12"/>
        <rFont val="Times New Roman"/>
        <family val="1"/>
      </rPr>
      <t>(</t>
    </r>
    <r>
      <rPr>
        <sz val="12"/>
        <rFont val="標楷體"/>
        <family val="4"/>
        <charset val="136"/>
      </rPr>
      <t>枋仔崙橋上游</t>
    </r>
    <r>
      <rPr>
        <sz val="12"/>
        <rFont val="Times New Roman"/>
        <family val="1"/>
      </rPr>
      <t>900</t>
    </r>
    <r>
      <rPr>
        <sz val="12"/>
        <rFont val="標楷體"/>
        <family val="4"/>
        <charset val="136"/>
      </rPr>
      <t>公尺</t>
    </r>
    <r>
      <rPr>
        <sz val="12"/>
        <rFont val="Times New Roman"/>
        <family val="1"/>
      </rPr>
      <t>)</t>
    </r>
  </si>
  <si>
    <r>
      <rPr>
        <sz val="12"/>
        <rFont val="標楷體"/>
        <family val="4"/>
        <charset val="136"/>
      </rPr>
      <t>富里鄉</t>
    </r>
  </si>
  <si>
    <r>
      <rPr>
        <sz val="12"/>
        <rFont val="標楷體"/>
        <family val="4"/>
        <charset val="136"/>
      </rPr>
      <t>石牌村</t>
    </r>
  </si>
  <si>
    <r>
      <rPr>
        <sz val="12"/>
        <rFont val="標楷體"/>
        <family val="4"/>
        <charset val="136"/>
      </rPr>
      <t>花縣</t>
    </r>
    <r>
      <rPr>
        <sz val="12"/>
        <rFont val="Times New Roman"/>
        <family val="1"/>
      </rPr>
      <t>DF057</t>
    </r>
  </si>
  <si>
    <r>
      <t>1001</t>
    </r>
    <r>
      <rPr>
        <sz val="12"/>
        <rFont val="標楷體"/>
        <family val="4"/>
        <charset val="136"/>
      </rPr>
      <t>豪雨期間，枋仔崙地區山壁崩塌，堆積土石因雨水沖刷流動至枋仔崙溪</t>
    </r>
    <r>
      <rPr>
        <sz val="12"/>
        <rFont val="Times New Roman"/>
        <family val="1"/>
      </rPr>
      <t>(</t>
    </r>
    <r>
      <rPr>
        <sz val="12"/>
        <rFont val="標楷體"/>
        <family val="4"/>
        <charset val="136"/>
      </rPr>
      <t>花縣</t>
    </r>
    <r>
      <rPr>
        <sz val="12"/>
        <rFont val="Times New Roman"/>
        <family val="1"/>
      </rPr>
      <t xml:space="preserve"> DF057)</t>
    </r>
    <r>
      <rPr>
        <sz val="12"/>
        <rFont val="標楷體"/>
        <family val="4"/>
        <charset val="136"/>
      </rPr>
      <t>，造成枋仔崙產業道路遭土石堆積阻斷，並掩埋枋仔崙溪河道。道路阻斷：枋仔崙產業道路遭土砂淤埋</t>
    </r>
    <r>
      <rPr>
        <sz val="12"/>
        <rFont val="Times New Roman"/>
        <family val="1"/>
      </rPr>
      <t>250</t>
    </r>
    <r>
      <rPr>
        <sz val="12"/>
        <rFont val="標楷體"/>
        <family val="4"/>
        <charset val="136"/>
      </rPr>
      <t>公尺。土石堵塞：崩落土石堵塞枋仔崙溪河道</t>
    </r>
    <r>
      <rPr>
        <sz val="12"/>
        <rFont val="Times New Roman"/>
        <family val="1"/>
      </rPr>
      <t>170</t>
    </r>
    <r>
      <rPr>
        <sz val="12"/>
        <rFont val="標楷體"/>
        <family val="4"/>
        <charset val="136"/>
      </rPr>
      <t>公尺。</t>
    </r>
    <phoneticPr fontId="5" type="noConversion"/>
  </si>
  <si>
    <t>C1Z020</t>
  </si>
  <si>
    <r>
      <rPr>
        <sz val="12"/>
        <rFont val="標楷體"/>
        <family val="4"/>
        <charset val="136"/>
      </rPr>
      <t>卓樂</t>
    </r>
    <phoneticPr fontId="5" type="noConversion"/>
  </si>
  <si>
    <r>
      <rPr>
        <sz val="12"/>
        <rFont val="標楷體"/>
        <family val="4"/>
        <charset val="136"/>
      </rPr>
      <t>清水產業道路</t>
    </r>
  </si>
  <si>
    <r>
      <rPr>
        <sz val="12"/>
        <rFont val="標楷體"/>
        <family val="4"/>
        <charset val="136"/>
      </rPr>
      <t>復興村</t>
    </r>
  </si>
  <si>
    <r>
      <rPr>
        <sz val="12"/>
        <rFont val="標楷體"/>
        <family val="4"/>
        <charset val="136"/>
      </rPr>
      <t>奈格颱風環流加上東北季風共伴效應致宜蘭地區降下豪雨，清水溪及石門溪的溪水暴漲，水流淘刷清水產業道路路基，造成道路中斷。</t>
    </r>
    <r>
      <rPr>
        <sz val="12"/>
        <rFont val="Times New Roman"/>
        <family val="1"/>
      </rPr>
      <t xml:space="preserve"> </t>
    </r>
    <r>
      <rPr>
        <sz val="12"/>
        <rFont val="標楷體"/>
        <family val="4"/>
        <charset val="136"/>
      </rPr>
      <t>清水業道路上下邊坡崩塌，崩積土砂堆積於路面。</t>
    </r>
    <r>
      <rPr>
        <sz val="12"/>
        <rFont val="Times New Roman"/>
        <family val="1"/>
      </rPr>
      <t xml:space="preserve"> </t>
    </r>
    <r>
      <rPr>
        <sz val="12"/>
        <rFont val="標楷體"/>
        <family val="4"/>
        <charset val="136"/>
      </rPr>
      <t>房屋受損：無。</t>
    </r>
    <r>
      <rPr>
        <sz val="12"/>
        <rFont val="Times New Roman"/>
        <family val="1"/>
      </rPr>
      <t xml:space="preserve"> </t>
    </r>
    <r>
      <rPr>
        <sz val="12"/>
        <rFont val="標楷體"/>
        <family val="4"/>
        <charset val="136"/>
      </rPr>
      <t>道路毀損：</t>
    </r>
    <r>
      <rPr>
        <sz val="12"/>
        <rFont val="Times New Roman"/>
        <family val="1"/>
      </rPr>
      <t>200m</t>
    </r>
    <r>
      <rPr>
        <sz val="12"/>
        <rFont val="標楷體"/>
        <family val="4"/>
        <charset val="136"/>
      </rPr>
      <t>。</t>
    </r>
    <r>
      <rPr>
        <sz val="12"/>
        <rFont val="Times New Roman"/>
        <family val="1"/>
      </rPr>
      <t xml:space="preserve"> </t>
    </r>
    <r>
      <rPr>
        <sz val="12"/>
        <rFont val="標楷體"/>
        <family val="4"/>
        <charset val="136"/>
      </rPr>
      <t>人員傷亡：無。</t>
    </r>
    <phoneticPr fontId="5" type="noConversion"/>
  </si>
  <si>
    <r>
      <rPr>
        <sz val="12"/>
        <rFont val="標楷體"/>
        <family val="4"/>
        <charset val="136"/>
      </rPr>
      <t>老佛順天宮</t>
    </r>
  </si>
  <si>
    <r>
      <rPr>
        <sz val="12"/>
        <rFont val="標楷體"/>
        <family val="4"/>
        <charset val="136"/>
      </rPr>
      <t>滿州村</t>
    </r>
  </si>
  <si>
    <r>
      <rPr>
        <sz val="12"/>
        <rFont val="標楷體"/>
        <family val="4"/>
        <charset val="136"/>
      </rPr>
      <t>屏縣</t>
    </r>
    <r>
      <rPr>
        <sz val="12"/>
        <rFont val="Times New Roman"/>
        <family val="1"/>
      </rPr>
      <t>DF070</t>
    </r>
    <phoneticPr fontId="5" type="noConversion"/>
  </si>
  <si>
    <r>
      <rPr>
        <sz val="12"/>
        <rFont val="標楷體"/>
        <family val="4"/>
        <charset val="136"/>
      </rPr>
      <t>南瑪都颱風</t>
    </r>
    <phoneticPr fontId="5" type="noConversion"/>
  </si>
  <si>
    <r>
      <rPr>
        <sz val="12"/>
        <rFont val="標楷體"/>
        <family val="4"/>
        <charset val="136"/>
      </rPr>
      <t>南瑪都颱風期間，滿州村老佛野溪陸續發生三次崩塌型土石流。發生時間分別為</t>
    </r>
    <r>
      <rPr>
        <sz val="12"/>
        <rFont val="Times New Roman"/>
        <family val="1"/>
      </rPr>
      <t xml:space="preserve"> 8</t>
    </r>
    <r>
      <rPr>
        <sz val="12"/>
        <rFont val="標楷體"/>
        <family val="4"/>
        <charset val="136"/>
      </rPr>
      <t>月</t>
    </r>
    <r>
      <rPr>
        <sz val="12"/>
        <rFont val="Times New Roman"/>
        <family val="1"/>
      </rPr>
      <t xml:space="preserve"> 29</t>
    </r>
    <r>
      <rPr>
        <sz val="12"/>
        <rFont val="標楷體"/>
        <family val="4"/>
        <charset val="136"/>
      </rPr>
      <t>日</t>
    </r>
    <r>
      <rPr>
        <sz val="12"/>
        <rFont val="Times New Roman"/>
        <family val="1"/>
      </rPr>
      <t xml:space="preserve"> 7</t>
    </r>
    <r>
      <rPr>
        <sz val="12"/>
        <rFont val="標楷體"/>
        <family val="4"/>
        <charset val="136"/>
      </rPr>
      <t>時、</t>
    </r>
    <r>
      <rPr>
        <sz val="12"/>
        <rFont val="Times New Roman"/>
        <family val="1"/>
      </rPr>
      <t>30</t>
    </r>
    <r>
      <rPr>
        <sz val="12"/>
        <rFont val="標楷體"/>
        <family val="4"/>
        <charset val="136"/>
      </rPr>
      <t>日</t>
    </r>
    <r>
      <rPr>
        <sz val="12"/>
        <rFont val="Times New Roman"/>
        <family val="1"/>
      </rPr>
      <t xml:space="preserve"> 18</t>
    </r>
    <r>
      <rPr>
        <sz val="12"/>
        <rFont val="標楷體"/>
        <family val="4"/>
        <charset val="136"/>
      </rPr>
      <t>時及</t>
    </r>
    <r>
      <rPr>
        <sz val="12"/>
        <rFont val="Times New Roman"/>
        <family val="1"/>
      </rPr>
      <t xml:space="preserve"> 31</t>
    </r>
    <r>
      <rPr>
        <sz val="12"/>
        <rFont val="標楷體"/>
        <family val="4"/>
        <charset val="136"/>
      </rPr>
      <t>日</t>
    </r>
    <r>
      <rPr>
        <sz val="12"/>
        <rFont val="Times New Roman"/>
        <family val="1"/>
      </rPr>
      <t xml:space="preserve"> 15</t>
    </r>
    <r>
      <rPr>
        <sz val="12"/>
        <rFont val="標楷體"/>
        <family val="4"/>
        <charset val="136"/>
      </rPr>
      <t>時。</t>
    </r>
    <r>
      <rPr>
        <sz val="12"/>
        <rFont val="Times New Roman"/>
        <family val="1"/>
      </rPr>
      <t xml:space="preserve">  29</t>
    </r>
    <r>
      <rPr>
        <sz val="12"/>
        <rFont val="標楷體"/>
        <family val="4"/>
        <charset val="136"/>
      </rPr>
      <t>日土砂泥流溢淹至宅、農田及順天宮；</t>
    </r>
    <r>
      <rPr>
        <sz val="12"/>
        <rFont val="Times New Roman"/>
        <family val="1"/>
      </rPr>
      <t>30</t>
    </r>
    <r>
      <rPr>
        <sz val="12"/>
        <rFont val="標楷體"/>
        <family val="4"/>
        <charset val="136"/>
      </rPr>
      <t>日土石流淤埋民宅及順天宮近半層樓高；</t>
    </r>
    <r>
      <rPr>
        <sz val="12"/>
        <rFont val="Times New Roman"/>
        <family val="1"/>
      </rPr>
      <t>31</t>
    </r>
    <r>
      <rPr>
        <sz val="12"/>
        <rFont val="標楷體"/>
        <family val="4"/>
        <charset val="136"/>
      </rPr>
      <t>日土石流再次發生，完全淤埋順天宮。</t>
    </r>
    <r>
      <rPr>
        <sz val="12"/>
        <rFont val="Times New Roman"/>
        <family val="1"/>
      </rPr>
      <t xml:space="preserve"> </t>
    </r>
    <r>
      <rPr>
        <sz val="12"/>
        <rFont val="標楷體"/>
        <family val="4"/>
        <charset val="136"/>
      </rPr>
      <t>房屋受損：共</t>
    </r>
    <r>
      <rPr>
        <sz val="12"/>
        <rFont val="Times New Roman"/>
        <family val="1"/>
      </rPr>
      <t>8</t>
    </r>
    <r>
      <rPr>
        <sz val="12"/>
        <rFont val="標楷體"/>
        <family val="4"/>
        <charset val="136"/>
      </rPr>
      <t>棟</t>
    </r>
    <r>
      <rPr>
        <sz val="12"/>
        <rFont val="Times New Roman"/>
        <family val="1"/>
      </rPr>
      <t>(</t>
    </r>
    <r>
      <rPr>
        <sz val="12"/>
        <rFont val="標楷體"/>
        <family val="4"/>
        <charset val="136"/>
      </rPr>
      <t>民宅</t>
    </r>
    <r>
      <rPr>
        <sz val="12"/>
        <rFont val="Times New Roman"/>
        <family val="1"/>
      </rPr>
      <t xml:space="preserve"> 5</t>
    </r>
    <r>
      <rPr>
        <sz val="12"/>
        <rFont val="標楷體"/>
        <family val="4"/>
        <charset val="136"/>
      </rPr>
      <t>棟，鐵皮屋</t>
    </r>
    <r>
      <rPr>
        <sz val="12"/>
        <rFont val="Times New Roman"/>
        <family val="1"/>
      </rPr>
      <t xml:space="preserve"> </t>
    </r>
    <r>
      <rPr>
        <sz val="12"/>
        <rFont val="標楷體"/>
        <family val="4"/>
        <charset val="136"/>
      </rPr>
      <t>棟，寺廟</t>
    </r>
    <r>
      <rPr>
        <sz val="12"/>
        <rFont val="Times New Roman"/>
        <family val="1"/>
      </rPr>
      <t xml:space="preserve"> 1</t>
    </r>
    <r>
      <rPr>
        <sz val="12"/>
        <rFont val="標楷體"/>
        <family val="4"/>
        <charset val="136"/>
      </rPr>
      <t>棟</t>
    </r>
    <r>
      <rPr>
        <sz val="12"/>
        <rFont val="Times New Roman"/>
        <family val="1"/>
      </rPr>
      <t>)</t>
    </r>
    <r>
      <rPr>
        <sz val="12"/>
        <rFont val="標楷體"/>
        <family val="4"/>
        <charset val="136"/>
      </rPr>
      <t>。</t>
    </r>
    <r>
      <rPr>
        <sz val="12"/>
        <rFont val="Times New Roman"/>
        <family val="1"/>
      </rPr>
      <t xml:space="preserve">  </t>
    </r>
    <r>
      <rPr>
        <sz val="12"/>
        <rFont val="標楷體"/>
        <family val="4"/>
        <charset val="136"/>
      </rPr>
      <t>道路毀損：老佛路遭土砂淤埋約</t>
    </r>
    <r>
      <rPr>
        <sz val="12"/>
        <rFont val="Times New Roman"/>
        <family val="1"/>
      </rPr>
      <t xml:space="preserve"> 300m</t>
    </r>
    <r>
      <rPr>
        <sz val="12"/>
        <rFont val="標楷體"/>
        <family val="4"/>
        <charset val="136"/>
      </rPr>
      <t>。</t>
    </r>
    <phoneticPr fontId="5" type="noConversion"/>
  </si>
  <si>
    <r>
      <rPr>
        <sz val="12"/>
        <rFont val="標楷體"/>
        <family val="4"/>
        <charset val="136"/>
      </rPr>
      <t>靈山老祖娘娘廟</t>
    </r>
    <r>
      <rPr>
        <sz val="12"/>
        <rFont val="Times New Roman"/>
        <family val="1"/>
      </rPr>
      <t>(</t>
    </r>
    <r>
      <rPr>
        <sz val="12"/>
        <rFont val="標楷體"/>
        <family val="4"/>
        <charset val="136"/>
      </rPr>
      <t>屏</t>
    </r>
    <r>
      <rPr>
        <sz val="12"/>
        <rFont val="Times New Roman"/>
        <family val="1"/>
      </rPr>
      <t>170</t>
    </r>
    <r>
      <rPr>
        <sz val="12"/>
        <rFont val="標楷體"/>
        <family val="4"/>
        <charset val="136"/>
      </rPr>
      <t>鄉道</t>
    </r>
    <r>
      <rPr>
        <sz val="12"/>
        <rFont val="Times New Roman"/>
        <family val="1"/>
      </rPr>
      <t>5K</t>
    </r>
    <r>
      <rPr>
        <sz val="12"/>
        <rFont val="標楷體"/>
        <family val="4"/>
        <charset val="136"/>
      </rPr>
      <t>處</t>
    </r>
    <r>
      <rPr>
        <sz val="12"/>
        <rFont val="Times New Roman"/>
        <family val="1"/>
      </rPr>
      <t>)</t>
    </r>
  </si>
  <si>
    <r>
      <rPr>
        <sz val="12"/>
        <rFont val="標楷體"/>
        <family val="4"/>
        <charset val="136"/>
      </rPr>
      <t>四林村</t>
    </r>
  </si>
  <si>
    <r>
      <rPr>
        <sz val="12"/>
        <rFont val="標楷體"/>
        <family val="4"/>
        <charset val="136"/>
      </rPr>
      <t>南瑪都颱風</t>
    </r>
  </si>
  <si>
    <r>
      <rPr>
        <sz val="12"/>
        <rFont val="標楷體"/>
        <family val="4"/>
        <charset val="136"/>
      </rPr>
      <t>南瑪都颱風期間，屏</t>
    </r>
    <r>
      <rPr>
        <sz val="12"/>
        <rFont val="Times New Roman"/>
        <family val="1"/>
      </rPr>
      <t xml:space="preserve"> 170 </t>
    </r>
    <r>
      <rPr>
        <sz val="12"/>
        <rFont val="標楷體"/>
        <family val="4"/>
        <charset val="136"/>
      </rPr>
      <t>鄉道</t>
    </r>
    <r>
      <rPr>
        <sz val="12"/>
        <rFont val="Times New Roman"/>
        <family val="1"/>
      </rPr>
      <t xml:space="preserve"> 5K </t>
    </r>
    <r>
      <rPr>
        <sz val="12"/>
        <rFont val="標楷體"/>
        <family val="4"/>
        <charset val="136"/>
      </rPr>
      <t>處因地層滑動而發生路面坍塌災害，電線桿毀損。</t>
    </r>
    <r>
      <rPr>
        <sz val="12"/>
        <rFont val="Times New Roman"/>
        <family val="1"/>
      </rPr>
      <t xml:space="preserve">  </t>
    </r>
    <r>
      <rPr>
        <sz val="12"/>
        <rFont val="標楷體"/>
        <family val="4"/>
        <charset val="136"/>
      </rPr>
      <t>緊鄰屏</t>
    </r>
    <r>
      <rPr>
        <sz val="12"/>
        <rFont val="Times New Roman"/>
        <family val="1"/>
      </rPr>
      <t xml:space="preserve"> 170 </t>
    </r>
    <r>
      <rPr>
        <sz val="12"/>
        <rFont val="標楷體"/>
        <family val="4"/>
        <charset val="136"/>
      </rPr>
      <t>鄉道的民宅</t>
    </r>
    <r>
      <rPr>
        <sz val="12"/>
        <rFont val="Times New Roman"/>
        <family val="1"/>
      </rPr>
      <t>(</t>
    </r>
    <r>
      <rPr>
        <sz val="12"/>
        <rFont val="標楷體"/>
        <family val="4"/>
        <charset val="136"/>
      </rPr>
      <t>靈山老祖娘娘廟</t>
    </r>
    <r>
      <rPr>
        <sz val="12"/>
        <rFont val="Times New Roman"/>
        <family val="1"/>
      </rPr>
      <t>)</t>
    </r>
    <r>
      <rPr>
        <sz val="12"/>
        <rFont val="標楷體"/>
        <family val="4"/>
        <charset val="136"/>
      </rPr>
      <t>，因地滑而產生與路面約有</t>
    </r>
    <r>
      <rPr>
        <sz val="12"/>
        <rFont val="Times New Roman"/>
        <family val="1"/>
      </rPr>
      <t xml:space="preserve"> 1~2m </t>
    </r>
    <r>
      <rPr>
        <sz val="12"/>
        <rFont val="標楷體"/>
        <family val="4"/>
        <charset val="136"/>
      </rPr>
      <t>高差及裂縫，房舍內支柱損毀。</t>
    </r>
    <r>
      <rPr>
        <sz val="12"/>
        <rFont val="Times New Roman"/>
        <family val="1"/>
      </rPr>
      <t xml:space="preserve"> </t>
    </r>
    <r>
      <rPr>
        <sz val="12"/>
        <rFont val="標楷體"/>
        <family val="4"/>
        <charset val="136"/>
      </rPr>
      <t>房屋受損：共</t>
    </r>
    <r>
      <rPr>
        <sz val="12"/>
        <rFont val="Times New Roman"/>
        <family val="1"/>
      </rPr>
      <t>8</t>
    </r>
    <r>
      <rPr>
        <sz val="12"/>
        <rFont val="標楷體"/>
        <family val="4"/>
        <charset val="136"/>
      </rPr>
      <t>棟</t>
    </r>
    <r>
      <rPr>
        <sz val="12"/>
        <rFont val="Times New Roman"/>
        <family val="1"/>
      </rPr>
      <t>(</t>
    </r>
    <r>
      <rPr>
        <sz val="12"/>
        <rFont val="標楷體"/>
        <family val="4"/>
        <charset val="136"/>
      </rPr>
      <t>民宅</t>
    </r>
    <r>
      <rPr>
        <sz val="12"/>
        <rFont val="Times New Roman"/>
        <family val="1"/>
      </rPr>
      <t xml:space="preserve"> 7</t>
    </r>
    <r>
      <rPr>
        <sz val="12"/>
        <rFont val="標楷體"/>
        <family val="4"/>
        <charset val="136"/>
      </rPr>
      <t>棟，寺廟</t>
    </r>
    <r>
      <rPr>
        <sz val="12"/>
        <rFont val="Times New Roman"/>
        <family val="1"/>
      </rPr>
      <t xml:space="preserve"> 1</t>
    </r>
    <r>
      <rPr>
        <sz val="12"/>
        <rFont val="標楷體"/>
        <family val="4"/>
        <charset val="136"/>
      </rPr>
      <t>棟</t>
    </r>
    <r>
      <rPr>
        <sz val="12"/>
        <rFont val="Times New Roman"/>
        <family val="1"/>
      </rPr>
      <t>)</t>
    </r>
    <r>
      <rPr>
        <sz val="12"/>
        <rFont val="標楷體"/>
        <family val="4"/>
        <charset val="136"/>
      </rPr>
      <t>。</t>
    </r>
    <r>
      <rPr>
        <sz val="12"/>
        <rFont val="Times New Roman"/>
        <family val="1"/>
      </rPr>
      <t xml:space="preserve">  </t>
    </r>
    <r>
      <rPr>
        <sz val="12"/>
        <rFont val="標楷體"/>
        <family val="4"/>
        <charset val="136"/>
      </rPr>
      <t>道路毀損：屏</t>
    </r>
    <r>
      <rPr>
        <sz val="12"/>
        <rFont val="Times New Roman"/>
        <family val="1"/>
      </rPr>
      <t xml:space="preserve"> 170</t>
    </r>
    <r>
      <rPr>
        <sz val="12"/>
        <rFont val="標楷體"/>
        <family val="4"/>
        <charset val="136"/>
      </rPr>
      <t>鄉道</t>
    </r>
    <r>
      <rPr>
        <sz val="12"/>
        <rFont val="Times New Roman"/>
        <family val="1"/>
      </rPr>
      <t xml:space="preserve"> 5K </t>
    </r>
    <r>
      <rPr>
        <sz val="12"/>
        <rFont val="標楷體"/>
        <family val="4"/>
        <charset val="136"/>
      </rPr>
      <t>處，約</t>
    </r>
    <r>
      <rPr>
        <sz val="12"/>
        <rFont val="Times New Roman"/>
        <family val="1"/>
      </rPr>
      <t xml:space="preserve"> 60m </t>
    </r>
    <r>
      <rPr>
        <sz val="12"/>
        <rFont val="標楷體"/>
        <family val="4"/>
        <charset val="136"/>
      </rPr>
      <t>道路受地滑影響中斷。</t>
    </r>
    <r>
      <rPr>
        <sz val="12"/>
        <rFont val="Times New Roman"/>
        <family val="1"/>
      </rPr>
      <t xml:space="preserve"> </t>
    </r>
    <r>
      <rPr>
        <sz val="12"/>
        <rFont val="標楷體"/>
        <family val="4"/>
        <charset val="136"/>
      </rPr>
      <t>人員傷亡：無</t>
    </r>
    <phoneticPr fontId="5" type="noConversion"/>
  </si>
  <si>
    <r>
      <rPr>
        <sz val="12"/>
        <rFont val="標楷體"/>
        <family val="4"/>
        <charset val="136"/>
      </rPr>
      <t>四林路</t>
    </r>
    <r>
      <rPr>
        <sz val="12"/>
        <rFont val="Times New Roman"/>
        <family val="1"/>
      </rPr>
      <t>85</t>
    </r>
    <r>
      <rPr>
        <sz val="12"/>
        <rFont val="標楷體"/>
        <family val="4"/>
        <charset val="136"/>
      </rPr>
      <t>號</t>
    </r>
    <r>
      <rPr>
        <sz val="12"/>
        <rFont val="Times New Roman"/>
        <family val="1"/>
      </rPr>
      <t>(</t>
    </r>
    <r>
      <rPr>
        <sz val="12"/>
        <rFont val="標楷體"/>
        <family val="4"/>
        <charset val="136"/>
      </rPr>
      <t>牡林國小</t>
    </r>
    <r>
      <rPr>
        <sz val="12"/>
        <rFont val="Times New Roman"/>
        <family val="1"/>
      </rPr>
      <t>)</t>
    </r>
  </si>
  <si>
    <r>
      <rPr>
        <sz val="12"/>
        <rFont val="標楷體"/>
        <family val="4"/>
        <charset val="136"/>
      </rPr>
      <t>南瑪都颱風期間，四林村牡林國小廚房後方旁野溪發生洪水災害；溪水沖毀野溪護岸，且持續沖刷後方廚房地基。</t>
    </r>
    <r>
      <rPr>
        <sz val="12"/>
        <rFont val="Times New Roman"/>
        <family val="1"/>
      </rPr>
      <t xml:space="preserve"> </t>
    </r>
    <r>
      <rPr>
        <sz val="12"/>
        <rFont val="標楷體"/>
        <family val="4"/>
        <charset val="136"/>
      </rPr>
      <t>屏</t>
    </r>
    <r>
      <rPr>
        <sz val="12"/>
        <rFont val="Times New Roman"/>
        <family val="1"/>
      </rPr>
      <t xml:space="preserve"> 170</t>
    </r>
    <r>
      <rPr>
        <sz val="12"/>
        <rFont val="標楷體"/>
        <family val="4"/>
        <charset val="136"/>
      </rPr>
      <t>鄉道道路下邊坡地滑發生路面塌陷。</t>
    </r>
    <r>
      <rPr>
        <sz val="12"/>
        <rFont val="Times New Roman"/>
        <family val="1"/>
      </rPr>
      <t xml:space="preserve"> </t>
    </r>
    <r>
      <rPr>
        <sz val="12"/>
        <rFont val="標楷體"/>
        <family val="4"/>
        <charset val="136"/>
      </rPr>
      <t>四林路</t>
    </r>
    <r>
      <rPr>
        <sz val="12"/>
        <rFont val="Times New Roman"/>
        <family val="1"/>
      </rPr>
      <t xml:space="preserve"> 85</t>
    </r>
    <r>
      <rPr>
        <sz val="12"/>
        <rFont val="標楷體"/>
        <family val="4"/>
        <charset val="136"/>
      </rPr>
      <t>號民宅前地坪滑落下陷。</t>
    </r>
    <r>
      <rPr>
        <sz val="12"/>
        <rFont val="Times New Roman"/>
        <family val="1"/>
      </rPr>
      <t xml:space="preserve"> </t>
    </r>
    <r>
      <rPr>
        <sz val="12"/>
        <rFont val="標楷體"/>
        <family val="4"/>
        <charset val="136"/>
      </rPr>
      <t>房屋受損：共</t>
    </r>
    <r>
      <rPr>
        <sz val="12"/>
        <rFont val="Times New Roman"/>
        <family val="1"/>
      </rPr>
      <t>2</t>
    </r>
    <r>
      <rPr>
        <sz val="12"/>
        <rFont val="標楷體"/>
        <family val="4"/>
        <charset val="136"/>
      </rPr>
      <t>棟。</t>
    </r>
    <r>
      <rPr>
        <sz val="12"/>
        <rFont val="Times New Roman"/>
        <family val="1"/>
      </rPr>
      <t xml:space="preserve"> </t>
    </r>
    <r>
      <rPr>
        <sz val="12"/>
        <rFont val="標楷體"/>
        <family val="4"/>
        <charset val="136"/>
      </rPr>
      <t>道路毀損：屏</t>
    </r>
    <r>
      <rPr>
        <sz val="12"/>
        <rFont val="Times New Roman"/>
        <family val="1"/>
      </rPr>
      <t xml:space="preserve"> 170</t>
    </r>
    <r>
      <rPr>
        <sz val="12"/>
        <rFont val="標楷體"/>
        <family val="4"/>
        <charset val="136"/>
      </rPr>
      <t>鄉道受損約</t>
    </r>
    <r>
      <rPr>
        <sz val="12"/>
        <rFont val="Times New Roman"/>
        <family val="1"/>
      </rPr>
      <t xml:space="preserve"> 50m</t>
    </r>
    <r>
      <rPr>
        <sz val="12"/>
        <rFont val="標楷體"/>
        <family val="4"/>
        <charset val="136"/>
      </rPr>
      <t xml:space="preserve">。
</t>
    </r>
    <phoneticPr fontId="5" type="noConversion"/>
  </si>
  <si>
    <t>C0R281</t>
  </si>
  <si>
    <r>
      <rPr>
        <sz val="12"/>
        <rFont val="標楷體"/>
        <family val="4"/>
        <charset val="136"/>
      </rPr>
      <t>來義東西部落</t>
    </r>
  </si>
  <si>
    <r>
      <rPr>
        <sz val="12"/>
        <rFont val="標楷體"/>
        <family val="4"/>
        <charset val="136"/>
      </rPr>
      <t>南瑪都颱風侵台期間，來社溪溪水沖毀屏</t>
    </r>
    <r>
      <rPr>
        <sz val="12"/>
        <rFont val="Times New Roman"/>
        <family val="1"/>
      </rPr>
      <t xml:space="preserve"> 110</t>
    </r>
    <r>
      <rPr>
        <sz val="12"/>
        <rFont val="標楷體"/>
        <family val="4"/>
        <charset val="136"/>
      </rPr>
      <t>鄉道</t>
    </r>
    <r>
      <rPr>
        <sz val="12"/>
        <rFont val="Times New Roman"/>
        <family val="1"/>
      </rPr>
      <t xml:space="preserve"> 15k </t>
    </r>
    <r>
      <rPr>
        <sz val="12"/>
        <rFont val="標楷體"/>
        <family val="4"/>
        <charset val="136"/>
      </rPr>
      <t>處石籠護岸並淘刷道路基礎，使道路中斷。</t>
    </r>
    <r>
      <rPr>
        <sz val="12"/>
        <rFont val="Times New Roman"/>
        <family val="1"/>
      </rPr>
      <t xml:space="preserve"> </t>
    </r>
    <r>
      <rPr>
        <sz val="12"/>
        <rFont val="標楷體"/>
        <family val="4"/>
        <charset val="136"/>
      </rPr>
      <t>凡那比風災後迄今，來義東部落部分房舍已劃為無人居住區域。</t>
    </r>
    <r>
      <rPr>
        <sz val="12"/>
        <rFont val="Times New Roman"/>
        <family val="1"/>
      </rPr>
      <t xml:space="preserve"> </t>
    </r>
    <r>
      <rPr>
        <sz val="12"/>
        <rFont val="標楷體"/>
        <family val="4"/>
        <charset val="136"/>
      </rPr>
      <t>本次南瑪都颱風再次造成已無人居住之房舍積水未退。</t>
    </r>
    <r>
      <rPr>
        <sz val="12"/>
        <rFont val="Times New Roman"/>
        <family val="1"/>
      </rPr>
      <t xml:space="preserve"> </t>
    </r>
    <r>
      <rPr>
        <sz val="12"/>
        <rFont val="標楷體"/>
        <family val="4"/>
        <charset val="136"/>
      </rPr>
      <t>房屋受損：約</t>
    </r>
    <r>
      <rPr>
        <sz val="12"/>
        <rFont val="Times New Roman"/>
        <family val="1"/>
      </rPr>
      <t xml:space="preserve"> 10</t>
    </r>
    <r>
      <rPr>
        <sz val="12"/>
        <rFont val="標楷體"/>
        <family val="4"/>
        <charset val="136"/>
      </rPr>
      <t>棟。
道路毀損：屏</t>
    </r>
    <r>
      <rPr>
        <sz val="12"/>
        <rFont val="Times New Roman"/>
        <family val="1"/>
      </rPr>
      <t xml:space="preserve"> 110</t>
    </r>
    <r>
      <rPr>
        <sz val="12"/>
        <rFont val="標楷體"/>
        <family val="4"/>
        <charset val="136"/>
      </rPr>
      <t>鄉道道路中斷約</t>
    </r>
    <r>
      <rPr>
        <sz val="12"/>
        <rFont val="Times New Roman"/>
        <family val="1"/>
      </rPr>
      <t xml:space="preserve"> 50m</t>
    </r>
    <r>
      <rPr>
        <sz val="12"/>
        <rFont val="標楷體"/>
        <family val="4"/>
        <charset val="136"/>
      </rPr>
      <t>。</t>
    </r>
    <phoneticPr fontId="5" type="noConversion"/>
  </si>
  <si>
    <r>
      <rPr>
        <sz val="12"/>
        <rFont val="標楷體"/>
        <family val="4"/>
        <charset val="136"/>
      </rPr>
      <t>神鷹瀑布</t>
    </r>
    <r>
      <rPr>
        <sz val="12"/>
        <rFont val="Times New Roman"/>
        <family val="1"/>
      </rPr>
      <t>(</t>
    </r>
    <r>
      <rPr>
        <sz val="12"/>
        <rFont val="標楷體"/>
        <family val="4"/>
        <charset val="136"/>
      </rPr>
      <t>來義派出所</t>
    </r>
    <r>
      <rPr>
        <sz val="12"/>
        <rFont val="Times New Roman"/>
        <family val="1"/>
      </rPr>
      <t>)</t>
    </r>
  </si>
  <si>
    <r>
      <rPr>
        <sz val="12"/>
        <rFont val="標楷體"/>
        <family val="4"/>
        <charset val="136"/>
      </rPr>
      <t>屏縣</t>
    </r>
    <r>
      <rPr>
        <sz val="12"/>
        <rFont val="Times New Roman"/>
        <family val="1"/>
      </rPr>
      <t>DF029</t>
    </r>
  </si>
  <si>
    <r>
      <rPr>
        <sz val="12"/>
        <rFont val="標楷體"/>
        <family val="4"/>
        <charset val="136"/>
      </rPr>
      <t>南瑪都颱風期間，土石流潛勢溪流屏縣</t>
    </r>
    <r>
      <rPr>
        <sz val="12"/>
        <rFont val="Times New Roman"/>
        <family val="1"/>
      </rPr>
      <t xml:space="preserve"> DF029</t>
    </r>
    <r>
      <rPr>
        <sz val="12"/>
        <rFont val="標楷體"/>
        <family val="4"/>
        <charset val="136"/>
      </rPr>
      <t>發生洪水災害，瀑布下方洪水湍急並挾帶泥沙及漂流木，沖毀護欄及淤埋涼亭、河道及河岸步道。房屋受損：無。</t>
    </r>
    <r>
      <rPr>
        <sz val="12"/>
        <rFont val="Times New Roman"/>
        <family val="1"/>
      </rPr>
      <t xml:space="preserve">  </t>
    </r>
    <r>
      <rPr>
        <sz val="12"/>
        <rFont val="標楷體"/>
        <family val="4"/>
        <charset val="136"/>
      </rPr>
      <t>道路毀損：河岸步道約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</si>
  <si>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t>C1R241</t>
  </si>
  <si>
    <r>
      <rPr>
        <sz val="12"/>
        <rFont val="標楷體"/>
        <family val="4"/>
        <charset val="136"/>
      </rPr>
      <t>縣道</t>
    </r>
    <r>
      <rPr>
        <sz val="12"/>
        <rFont val="Times New Roman"/>
        <family val="1"/>
      </rPr>
      <t>199</t>
    </r>
    <r>
      <rPr>
        <sz val="12"/>
        <rFont val="標楷體"/>
        <family val="4"/>
        <charset val="136"/>
      </rPr>
      <t>線</t>
    </r>
    <r>
      <rPr>
        <sz val="12"/>
        <rFont val="Times New Roman"/>
        <family val="1"/>
      </rPr>
      <t>20K~20.5K</t>
    </r>
    <r>
      <rPr>
        <sz val="12"/>
        <rFont val="標楷體"/>
        <family val="4"/>
        <charset val="136"/>
      </rPr>
      <t>觸及牡丹五號橋</t>
    </r>
  </si>
  <si>
    <r>
      <rPr>
        <sz val="12"/>
        <rFont val="標楷體"/>
        <family val="4"/>
        <charset val="136"/>
      </rPr>
      <t>牡丹鄉</t>
    </r>
  </si>
  <si>
    <r>
      <rPr>
        <sz val="12"/>
        <rFont val="標楷體"/>
        <family val="4"/>
        <charset val="136"/>
      </rPr>
      <t>牡丹村</t>
    </r>
  </si>
  <si>
    <r>
      <rPr>
        <sz val="12"/>
        <rFont val="標楷體"/>
        <family val="4"/>
        <charset val="136"/>
      </rPr>
      <t>屏東縣牡丹鄉縣道</t>
    </r>
    <r>
      <rPr>
        <sz val="12"/>
        <rFont val="Times New Roman"/>
        <family val="1"/>
      </rPr>
      <t>199</t>
    </r>
    <r>
      <rPr>
        <sz val="12"/>
        <rFont val="標楷體"/>
        <family val="4"/>
        <charset val="136"/>
      </rPr>
      <t>線</t>
    </r>
    <r>
      <rPr>
        <sz val="12"/>
        <rFont val="Times New Roman"/>
        <family val="1"/>
      </rPr>
      <t>20K</t>
    </r>
    <r>
      <rPr>
        <sz val="12"/>
        <rFont val="標楷體"/>
        <family val="4"/>
        <charset val="136"/>
      </rPr>
      <t>處坡面發生下邊坡崩塌，崩塌面積約長</t>
    </r>
    <r>
      <rPr>
        <sz val="12"/>
        <rFont val="Times New Roman"/>
        <family val="1"/>
      </rPr>
      <t>40m</t>
    </r>
    <r>
      <rPr>
        <sz val="12"/>
        <rFont val="標楷體"/>
        <family val="4"/>
        <charset val="136"/>
      </rPr>
      <t>、寬</t>
    </r>
    <r>
      <rPr>
        <sz val="12"/>
        <rFont val="Times New Roman"/>
        <family val="1"/>
      </rPr>
      <t>30m</t>
    </r>
    <r>
      <rPr>
        <sz val="12"/>
        <rFont val="標楷體"/>
        <family val="4"/>
        <charset val="136"/>
      </rPr>
      <t>。</t>
    </r>
    <r>
      <rPr>
        <sz val="12"/>
        <rFont val="Times New Roman"/>
        <family val="1"/>
      </rPr>
      <t xml:space="preserve"> </t>
    </r>
    <r>
      <rPr>
        <sz val="12"/>
        <rFont val="標楷體"/>
        <family val="4"/>
        <charset val="136"/>
      </rPr>
      <t>縣道</t>
    </r>
    <r>
      <rPr>
        <sz val="12"/>
        <rFont val="Times New Roman"/>
        <family val="1"/>
      </rPr>
      <t>199</t>
    </r>
    <r>
      <rPr>
        <sz val="12"/>
        <rFont val="標楷體"/>
        <family val="4"/>
        <charset val="136"/>
      </rPr>
      <t>線</t>
    </r>
    <r>
      <rPr>
        <sz val="12"/>
        <rFont val="Times New Roman"/>
        <family val="1"/>
      </rPr>
      <t>20.5K</t>
    </r>
    <r>
      <rPr>
        <sz val="12"/>
        <rFont val="標楷體"/>
        <family val="4"/>
        <charset val="136"/>
      </rPr>
      <t>處上邊坡發生崩塌，崩塌面積約長</t>
    </r>
    <r>
      <rPr>
        <sz val="12"/>
        <rFont val="Times New Roman"/>
        <family val="1"/>
      </rPr>
      <t>30m</t>
    </r>
    <r>
      <rPr>
        <sz val="12"/>
        <rFont val="標楷體"/>
        <family val="4"/>
        <charset val="136"/>
      </rPr>
      <t>、寬</t>
    </r>
    <r>
      <rPr>
        <sz val="12"/>
        <rFont val="Times New Roman"/>
        <family val="1"/>
      </rPr>
      <t>20m</t>
    </r>
    <r>
      <rPr>
        <sz val="12"/>
        <rFont val="標楷體"/>
        <family val="4"/>
        <charset val="136"/>
      </rPr>
      <t>。縣道</t>
    </r>
    <r>
      <rPr>
        <sz val="12"/>
        <rFont val="Times New Roman"/>
        <family val="1"/>
      </rPr>
      <t>199</t>
    </r>
    <r>
      <rPr>
        <sz val="12"/>
        <rFont val="標楷體"/>
        <family val="4"/>
        <charset val="136"/>
      </rPr>
      <t>線</t>
    </r>
    <r>
      <rPr>
        <sz val="12"/>
        <rFont val="Times New Roman"/>
        <family val="1"/>
      </rPr>
      <t>20.4K</t>
    </r>
    <r>
      <rPr>
        <sz val="12"/>
        <rFont val="標楷體"/>
        <family val="4"/>
        <charset val="136"/>
      </rPr>
      <t>處路基受雨水的沖刷，使路基掏空深約</t>
    </r>
    <r>
      <rPr>
        <sz val="12"/>
        <rFont val="Times New Roman"/>
        <family val="1"/>
      </rPr>
      <t>7m</t>
    </r>
    <r>
      <rPr>
        <sz val="12"/>
        <rFont val="標楷體"/>
        <family val="4"/>
        <charset val="136"/>
      </rPr>
      <t>、長</t>
    </r>
    <r>
      <rPr>
        <sz val="12"/>
        <rFont val="Times New Roman"/>
        <family val="1"/>
      </rPr>
      <t>10m</t>
    </r>
    <r>
      <rPr>
        <sz val="12"/>
        <rFont val="標楷體"/>
        <family val="4"/>
        <charset val="136"/>
      </rPr>
      <t>、寬約</t>
    </r>
    <r>
      <rPr>
        <sz val="12"/>
        <rFont val="Times New Roman"/>
        <family val="1"/>
      </rPr>
      <t>3m</t>
    </r>
    <r>
      <rPr>
        <sz val="12"/>
        <rFont val="標楷體"/>
        <family val="4"/>
        <charset val="136"/>
      </rPr>
      <t>。</t>
    </r>
    <r>
      <rPr>
        <sz val="12"/>
        <rFont val="Times New Roman"/>
        <family val="1"/>
      </rPr>
      <t xml:space="preserve"> </t>
    </r>
    <r>
      <rPr>
        <sz val="12"/>
        <rFont val="標楷體"/>
        <family val="4"/>
        <charset val="136"/>
      </rPr>
      <t>牡丹五號橋上游野溪爆發洪水災情，道路及橋樑受溪水溢流於路面。</t>
    </r>
    <r>
      <rPr>
        <sz val="12"/>
        <rFont val="Times New Roman"/>
        <family val="1"/>
      </rPr>
      <t xml:space="preserve"> </t>
    </r>
    <r>
      <rPr>
        <sz val="12"/>
        <rFont val="標楷體"/>
        <family val="4"/>
        <charset val="136"/>
      </rPr>
      <t>道路毀損；縣道</t>
    </r>
    <r>
      <rPr>
        <sz val="12"/>
        <rFont val="Times New Roman"/>
        <family val="1"/>
      </rPr>
      <t>199</t>
    </r>
    <r>
      <rPr>
        <sz val="12"/>
        <rFont val="標楷體"/>
        <family val="4"/>
        <charset val="136"/>
      </rPr>
      <t>線道路受崩塌、路基掏刷及溪水溢流路面等因素而中斷。</t>
    </r>
    <phoneticPr fontId="5" type="noConversion"/>
  </si>
  <si>
    <t>C0R340</t>
    <phoneticPr fontId="5" type="noConversion"/>
  </si>
  <si>
    <r>
      <rPr>
        <sz val="12"/>
        <rFont val="標楷體"/>
        <family val="4"/>
        <charset val="136"/>
      </rPr>
      <t>牡丹</t>
    </r>
    <phoneticPr fontId="5" type="noConversion"/>
  </si>
  <si>
    <r>
      <rPr>
        <sz val="12"/>
        <rFont val="標楷體"/>
        <family val="4"/>
        <charset val="136"/>
      </rPr>
      <t>恆春鎮墾丁里</t>
    </r>
    <r>
      <rPr>
        <sz val="12"/>
        <rFont val="Times New Roman"/>
        <family val="1"/>
      </rPr>
      <t>(</t>
    </r>
    <r>
      <rPr>
        <sz val="12"/>
        <rFont val="標楷體"/>
        <family val="4"/>
        <charset val="136"/>
      </rPr>
      <t>潭仔巷</t>
    </r>
    <r>
      <rPr>
        <sz val="12"/>
        <rFont val="Times New Roman"/>
        <family val="1"/>
      </rPr>
      <t>2</t>
    </r>
    <r>
      <rPr>
        <sz val="12"/>
        <rFont val="標楷體"/>
        <family val="4"/>
        <charset val="136"/>
      </rPr>
      <t>號、</t>
    </r>
    <r>
      <rPr>
        <sz val="12"/>
        <rFont val="Times New Roman"/>
        <family val="1"/>
      </rPr>
      <t>21</t>
    </r>
    <r>
      <rPr>
        <sz val="12"/>
        <rFont val="標楷體"/>
        <family val="4"/>
        <charset val="136"/>
      </rPr>
      <t>號民宅</t>
    </r>
    <r>
      <rPr>
        <sz val="12"/>
        <rFont val="Times New Roman"/>
        <family val="1"/>
      </rPr>
      <t>)</t>
    </r>
  </si>
  <si>
    <r>
      <rPr>
        <sz val="12"/>
        <rFont val="標楷體"/>
        <family val="4"/>
        <charset val="136"/>
      </rPr>
      <t>恆春鎮</t>
    </r>
  </si>
  <si>
    <r>
      <rPr>
        <sz val="12"/>
        <rFont val="標楷體"/>
        <family val="4"/>
        <charset val="136"/>
      </rPr>
      <t>墾丁里</t>
    </r>
  </si>
  <si>
    <r>
      <rPr>
        <sz val="12"/>
        <rFont val="標楷體"/>
        <family val="4"/>
        <charset val="136"/>
      </rPr>
      <t>南瑪都颱風期間，墾丁潭仔巷</t>
    </r>
    <r>
      <rPr>
        <sz val="12"/>
        <rFont val="Times New Roman"/>
        <family val="1"/>
      </rPr>
      <t xml:space="preserve"> 21</t>
    </r>
    <r>
      <rPr>
        <sz val="12"/>
        <rFont val="標楷體"/>
        <family val="4"/>
        <charset val="136"/>
      </rPr>
      <t>號民宅後方發生坡地崩塌災害，淤埋民宅後方及廣場，土砂泥流沿潭子路漫流，並流入</t>
    </r>
    <r>
      <rPr>
        <sz val="12"/>
        <rFont val="Times New Roman"/>
        <family val="1"/>
      </rPr>
      <t xml:space="preserve"> 2</t>
    </r>
    <r>
      <rPr>
        <sz val="12"/>
        <rFont val="標楷體"/>
        <family val="4"/>
        <charset val="136"/>
      </rPr>
      <t>號民宅，所幸民眾已先行撤離，無人傷亡。潭仔巷內受洪水漫流入屋內致災住戶約</t>
    </r>
    <r>
      <rPr>
        <sz val="12"/>
        <rFont val="Times New Roman"/>
        <family val="1"/>
      </rPr>
      <t xml:space="preserve"> 10</t>
    </r>
    <r>
      <rPr>
        <sz val="12"/>
        <rFont val="標楷體"/>
        <family val="4"/>
        <charset val="136"/>
      </rPr>
      <t>戶。</t>
    </r>
    <r>
      <rPr>
        <sz val="12"/>
        <rFont val="Times New Roman"/>
        <family val="1"/>
      </rPr>
      <t xml:space="preserve"> </t>
    </r>
    <r>
      <rPr>
        <sz val="12"/>
        <rFont val="標楷體"/>
        <family val="4"/>
        <charset val="136"/>
      </rPr>
      <t>房屋受損：</t>
    </r>
    <r>
      <rPr>
        <sz val="12"/>
        <rFont val="Times New Roman"/>
        <family val="1"/>
      </rPr>
      <t>10</t>
    </r>
    <r>
      <rPr>
        <sz val="12"/>
        <rFont val="標楷體"/>
        <family val="4"/>
        <charset val="136"/>
      </rPr>
      <t>餘戶。</t>
    </r>
    <r>
      <rPr>
        <sz val="12"/>
        <rFont val="Times New Roman"/>
        <family val="1"/>
      </rPr>
      <t xml:space="preserve"> </t>
    </r>
    <r>
      <rPr>
        <sz val="12"/>
        <rFont val="標楷體"/>
        <family val="4"/>
        <charset val="136"/>
      </rPr>
      <t>道路毀損：潭仔巷長約</t>
    </r>
    <r>
      <rPr>
        <sz val="12"/>
        <rFont val="Times New Roman"/>
        <family val="1"/>
      </rPr>
      <t xml:space="preserve"> 50m</t>
    </r>
    <r>
      <rPr>
        <sz val="12"/>
        <rFont val="標楷體"/>
        <family val="4"/>
        <charset val="136"/>
      </rPr>
      <t>。</t>
    </r>
    <r>
      <rPr>
        <sz val="12"/>
        <rFont val="Times New Roman"/>
        <family val="1"/>
      </rPr>
      <t xml:space="preserve"> </t>
    </r>
    <r>
      <rPr>
        <sz val="12"/>
        <rFont val="標楷體"/>
        <family val="4"/>
        <charset val="136"/>
      </rPr>
      <t>人員傷亡：無。</t>
    </r>
    <r>
      <rPr>
        <sz val="12"/>
        <rFont val="Times New Roman"/>
        <family val="1"/>
      </rPr>
      <t xml:space="preserve"> </t>
    </r>
    <phoneticPr fontId="5" type="noConversion"/>
  </si>
  <si>
    <t>C0R360</t>
  </si>
  <si>
    <r>
      <rPr>
        <sz val="12"/>
        <rFont val="標楷體"/>
        <family val="4"/>
        <charset val="136"/>
      </rPr>
      <t>墾丁</t>
    </r>
    <phoneticPr fontId="5" type="noConversion"/>
  </si>
  <si>
    <r>
      <rPr>
        <sz val="12"/>
        <rFont val="標楷體"/>
        <family val="4"/>
        <charset val="136"/>
      </rPr>
      <t>豐丘橋</t>
    </r>
    <r>
      <rPr>
        <sz val="12"/>
        <rFont val="Times New Roman"/>
        <family val="1"/>
      </rPr>
      <t>(</t>
    </r>
    <r>
      <rPr>
        <sz val="12"/>
        <rFont val="標楷體"/>
        <family val="4"/>
        <charset val="136"/>
      </rPr>
      <t>台</t>
    </r>
    <r>
      <rPr>
        <sz val="12"/>
        <rFont val="Times New Roman"/>
        <family val="1"/>
      </rPr>
      <t xml:space="preserve">21 </t>
    </r>
    <r>
      <rPr>
        <sz val="12"/>
        <rFont val="標楷體"/>
        <family val="4"/>
        <charset val="136"/>
      </rPr>
      <t>線</t>
    </r>
    <r>
      <rPr>
        <sz val="12"/>
        <rFont val="Times New Roman"/>
        <family val="1"/>
      </rPr>
      <t xml:space="preserve">88k </t>
    </r>
    <r>
      <rPr>
        <sz val="12"/>
        <rFont val="標楷體"/>
        <family val="4"/>
        <charset val="136"/>
      </rPr>
      <t>旁</t>
    </r>
    <r>
      <rPr>
        <sz val="12"/>
        <rFont val="Times New Roman"/>
        <family val="1"/>
      </rPr>
      <t>)</t>
    </r>
    <phoneticPr fontId="5" type="noConversion"/>
  </si>
  <si>
    <r>
      <rPr>
        <sz val="12"/>
        <rFont val="標楷體"/>
        <family val="4"/>
        <charset val="136"/>
      </rPr>
      <t>豐丘村</t>
    </r>
  </si>
  <si>
    <r>
      <rPr>
        <sz val="12"/>
        <rFont val="標楷體"/>
        <family val="4"/>
        <charset val="136"/>
      </rPr>
      <t>投縣</t>
    </r>
    <r>
      <rPr>
        <sz val="12"/>
        <rFont val="Times New Roman"/>
        <family val="1"/>
      </rPr>
      <t>DF190</t>
    </r>
    <phoneticPr fontId="5" type="noConversion"/>
  </si>
  <si>
    <r>
      <t>0504</t>
    </r>
    <r>
      <rPr>
        <sz val="12"/>
        <rFont val="標楷體"/>
        <family val="4"/>
        <charset val="136"/>
      </rPr>
      <t>豪雨</t>
    </r>
    <phoneticPr fontId="5" type="noConversion"/>
  </si>
  <si>
    <r>
      <rPr>
        <sz val="12"/>
        <rFont val="標楷體"/>
        <family val="4"/>
        <charset val="136"/>
      </rPr>
      <t>土石流潛勢溪流投縣</t>
    </r>
    <r>
      <rPr>
        <sz val="12"/>
        <rFont val="Times New Roman"/>
        <family val="1"/>
      </rPr>
      <t xml:space="preserve">DF190 </t>
    </r>
    <r>
      <rPr>
        <sz val="12"/>
        <rFont val="標楷體"/>
        <family val="4"/>
        <charset val="136"/>
      </rPr>
      <t>於</t>
    </r>
    <r>
      <rPr>
        <sz val="12"/>
        <rFont val="Times New Roman"/>
        <family val="1"/>
      </rPr>
      <t xml:space="preserve">5 </t>
    </r>
    <r>
      <rPr>
        <sz val="12"/>
        <rFont val="標楷體"/>
        <family val="4"/>
        <charset val="136"/>
      </rPr>
      <t>月</t>
    </r>
    <r>
      <rPr>
        <sz val="12"/>
        <rFont val="Times New Roman"/>
        <family val="1"/>
      </rPr>
      <t xml:space="preserve">3 </t>
    </r>
    <r>
      <rPr>
        <sz val="12"/>
        <rFont val="標楷體"/>
        <family val="4"/>
        <charset val="136"/>
      </rPr>
      <t>日下午</t>
    </r>
    <r>
      <rPr>
        <sz val="12"/>
        <rFont val="Times New Roman"/>
        <family val="1"/>
      </rPr>
      <t>4</t>
    </r>
    <r>
      <rPr>
        <sz val="12"/>
        <rFont val="標楷體"/>
        <family val="4"/>
        <charset val="136"/>
      </rPr>
      <t>時發生土石流災情，居民下午</t>
    </r>
    <r>
      <rPr>
        <sz val="12"/>
        <rFont val="Times New Roman"/>
        <family val="1"/>
      </rPr>
      <t xml:space="preserve">2 </t>
    </r>
    <r>
      <rPr>
        <sz val="12"/>
        <rFont val="標楷體"/>
        <family val="4"/>
        <charset val="136"/>
      </rPr>
      <t>時先行撤離，而後上游土砂受降雨影響下移至防砂壩與下游沉砂池，造成溪床及沉沙池淤滿，對台</t>
    </r>
    <r>
      <rPr>
        <sz val="12"/>
        <rFont val="Times New Roman"/>
        <family val="1"/>
      </rPr>
      <t xml:space="preserve">21 </t>
    </r>
    <r>
      <rPr>
        <sz val="12"/>
        <rFont val="標楷體"/>
        <family val="4"/>
        <charset val="136"/>
      </rPr>
      <t>線與鄰近保全對象並無危害。</t>
    </r>
    <phoneticPr fontId="5" type="noConversion"/>
  </si>
  <si>
    <r>
      <rPr>
        <sz val="12"/>
        <rFont val="標楷體"/>
        <family val="4"/>
        <charset val="136"/>
      </rPr>
      <t>圓覺寺</t>
    </r>
  </si>
  <si>
    <r>
      <rPr>
        <sz val="12"/>
        <rFont val="標楷體"/>
        <family val="4"/>
        <charset val="136"/>
      </rPr>
      <t>萬豐村</t>
    </r>
    <phoneticPr fontId="5" type="noConversion"/>
  </si>
  <si>
    <r>
      <rPr>
        <sz val="12"/>
        <rFont val="標楷體"/>
        <family val="4"/>
        <charset val="136"/>
      </rPr>
      <t>投縣</t>
    </r>
    <r>
      <rPr>
        <sz val="12"/>
        <rFont val="Times New Roman"/>
        <family val="1"/>
      </rPr>
      <t>DF248</t>
    </r>
    <phoneticPr fontId="5" type="noConversion"/>
  </si>
  <si>
    <r>
      <t>0610</t>
    </r>
    <r>
      <rPr>
        <sz val="12"/>
        <rFont val="標楷體"/>
        <family val="4"/>
        <charset val="136"/>
      </rPr>
      <t>豪雨</t>
    </r>
    <phoneticPr fontId="5" type="noConversion"/>
  </si>
  <si>
    <r>
      <rPr>
        <sz val="12"/>
        <rFont val="標楷體"/>
        <family val="4"/>
        <charset val="136"/>
      </rPr>
      <t>圓覺寺後方野溪挾帶坡面土砂而下，土砂衝入圓覺寺廟宇，並淤埋下游道路及農田，影響用路人通行。</t>
    </r>
    <phoneticPr fontId="5" type="noConversion"/>
  </si>
  <si>
    <r>
      <rPr>
        <sz val="12"/>
        <rFont val="標楷體"/>
        <family val="4"/>
        <charset val="136"/>
      </rPr>
      <t>舊潭二號橋</t>
    </r>
  </si>
  <si>
    <r>
      <rPr>
        <sz val="12"/>
        <rFont val="標楷體"/>
        <family val="4"/>
        <charset val="136"/>
      </rPr>
      <t>高市</t>
    </r>
    <r>
      <rPr>
        <sz val="12"/>
        <rFont val="Times New Roman"/>
        <family val="1"/>
      </rPr>
      <t>DF076</t>
    </r>
    <phoneticPr fontId="5" type="noConversion"/>
  </si>
  <si>
    <r>
      <rPr>
        <sz val="12"/>
        <rFont val="標楷體"/>
        <family val="4"/>
        <charset val="136"/>
      </rPr>
      <t>土石流潛勢溪流高市</t>
    </r>
    <r>
      <rPr>
        <sz val="12"/>
        <rFont val="Times New Roman"/>
        <family val="1"/>
      </rPr>
      <t xml:space="preserve">DF076 </t>
    </r>
    <r>
      <rPr>
        <sz val="12"/>
        <rFont val="標楷體"/>
        <family val="4"/>
        <charset val="136"/>
      </rPr>
      <t>於</t>
    </r>
    <r>
      <rPr>
        <sz val="12"/>
        <rFont val="Times New Roman"/>
        <family val="1"/>
      </rPr>
      <t xml:space="preserve">6 </t>
    </r>
    <r>
      <rPr>
        <sz val="12"/>
        <rFont val="標楷體"/>
        <family val="4"/>
        <charset val="136"/>
      </rPr>
      <t>月</t>
    </r>
    <r>
      <rPr>
        <sz val="12"/>
        <rFont val="Times New Roman"/>
        <family val="1"/>
      </rPr>
      <t xml:space="preserve">10 </t>
    </r>
    <r>
      <rPr>
        <sz val="12"/>
        <rFont val="標楷體"/>
        <family val="4"/>
        <charset val="136"/>
      </rPr>
      <t>日發生土石流災情，淤埋上游梳子壩及河道，溪水暴漲溢淹至右岸灘地，幸無造成財損傷亡。</t>
    </r>
    <phoneticPr fontId="5" type="noConversion"/>
  </si>
  <si>
    <r>
      <rPr>
        <sz val="12"/>
        <rFont val="標楷體"/>
        <family val="4"/>
        <charset val="136"/>
      </rPr>
      <t>來吉大橋</t>
    </r>
  </si>
  <si>
    <r>
      <rPr>
        <sz val="12"/>
        <rFont val="標楷體"/>
        <family val="4"/>
        <charset val="136"/>
      </rPr>
      <t>阿里山溪溪水暴漲沖毀來吉大橋上游兩側砌石
護岸，淘空下游縣道</t>
    </r>
    <r>
      <rPr>
        <sz val="12"/>
        <rFont val="Times New Roman"/>
        <family val="1"/>
      </rPr>
      <t xml:space="preserve">149 </t>
    </r>
    <r>
      <rPr>
        <sz val="12"/>
        <rFont val="標楷體"/>
        <family val="4"/>
        <charset val="136"/>
      </rPr>
      <t>甲路基，並引起美濃溪</t>
    </r>
    <r>
      <rPr>
        <sz val="12"/>
        <rFont val="Times New Roman"/>
        <family val="1"/>
      </rPr>
      <t>(</t>
    </r>
    <r>
      <rPr>
        <sz val="12"/>
        <rFont val="標楷體"/>
        <family val="4"/>
        <charset val="136"/>
      </rPr>
      <t>嘉縣</t>
    </r>
    <r>
      <rPr>
        <sz val="12"/>
        <rFont val="Times New Roman"/>
        <family val="1"/>
      </rPr>
      <t>DF042)</t>
    </r>
    <r>
      <rPr>
        <sz val="12"/>
        <rFont val="標楷體"/>
        <family val="4"/>
        <charset val="136"/>
      </rPr>
      <t>爆發土石流，沖積扇土砂堆積壓迫主河道。</t>
    </r>
    <phoneticPr fontId="5" type="noConversion"/>
  </si>
  <si>
    <r>
      <rPr>
        <sz val="12"/>
        <rFont val="標楷體"/>
        <family val="4"/>
        <charset val="136"/>
      </rPr>
      <t>和平巷</t>
    </r>
    <r>
      <rPr>
        <sz val="12"/>
        <rFont val="Times New Roman"/>
        <family val="1"/>
      </rPr>
      <t xml:space="preserve">135 </t>
    </r>
    <r>
      <rPr>
        <sz val="12"/>
        <rFont val="標楷體"/>
        <family val="4"/>
        <charset val="136"/>
      </rPr>
      <t>號</t>
    </r>
  </si>
  <si>
    <r>
      <rPr>
        <sz val="12"/>
        <rFont val="標楷體"/>
        <family val="4"/>
        <charset val="136"/>
      </rPr>
      <t>高市</t>
    </r>
    <r>
      <rPr>
        <sz val="12"/>
        <rFont val="Times New Roman"/>
        <family val="1"/>
      </rPr>
      <t>DF080</t>
    </r>
    <phoneticPr fontId="5" type="noConversion"/>
  </si>
  <si>
    <r>
      <rPr>
        <sz val="12"/>
        <rFont val="標楷體"/>
        <family val="4"/>
        <charset val="136"/>
      </rPr>
      <t>高市</t>
    </r>
    <r>
      <rPr>
        <sz val="12"/>
        <rFont val="Times New Roman"/>
        <family val="1"/>
      </rPr>
      <t xml:space="preserve">DF080 </t>
    </r>
    <r>
      <rPr>
        <sz val="12"/>
        <rFont val="標楷體"/>
        <family val="4"/>
        <charset val="136"/>
      </rPr>
      <t>受豪雨影響，爆發土石流災情，土砂由聯絡道路箱涵溢流堆積，造成省道台</t>
    </r>
    <r>
      <rPr>
        <sz val="12"/>
        <rFont val="Times New Roman"/>
        <family val="1"/>
      </rPr>
      <t xml:space="preserve">27 </t>
    </r>
    <r>
      <rPr>
        <sz val="12"/>
        <rFont val="標楷體"/>
        <family val="4"/>
        <charset val="136"/>
      </rPr>
      <t>縣旁和平巷約</t>
    </r>
    <r>
      <rPr>
        <sz val="12"/>
        <rFont val="Times New Roman"/>
        <family val="1"/>
      </rPr>
      <t xml:space="preserve">5 </t>
    </r>
    <r>
      <rPr>
        <sz val="12"/>
        <rFont val="標楷體"/>
        <family val="4"/>
        <charset val="136"/>
      </rPr>
      <t>戶民宅遭土砂入侵。</t>
    </r>
    <phoneticPr fontId="5" type="noConversion"/>
  </si>
  <si>
    <r>
      <rPr>
        <sz val="12"/>
        <rFont val="標楷體"/>
        <family val="4"/>
        <charset val="136"/>
      </rPr>
      <t>土石流、洪水</t>
    </r>
    <r>
      <rPr>
        <sz val="12"/>
        <rFont val="Times New Roman"/>
        <family val="1"/>
      </rPr>
      <t>(</t>
    </r>
    <r>
      <rPr>
        <sz val="12"/>
        <rFont val="標楷體"/>
        <family val="4"/>
        <charset val="136"/>
      </rPr>
      <t>土砂淤積</t>
    </r>
    <r>
      <rPr>
        <sz val="12"/>
        <rFont val="Times New Roman"/>
        <family val="1"/>
      </rPr>
      <t>)</t>
    </r>
    <phoneticPr fontId="5" type="noConversion"/>
  </si>
  <si>
    <r>
      <rPr>
        <sz val="12"/>
        <rFont val="標楷體"/>
        <family val="4"/>
        <charset val="136"/>
      </rPr>
      <t>頭坑溪與和社溪匯流口</t>
    </r>
  </si>
  <si>
    <r>
      <t xml:space="preserve">6 </t>
    </r>
    <r>
      <rPr>
        <sz val="12"/>
        <rFont val="標楷體"/>
        <family val="4"/>
        <charset val="136"/>
      </rPr>
      <t>月</t>
    </r>
    <r>
      <rPr>
        <sz val="12"/>
        <rFont val="Times New Roman"/>
        <family val="1"/>
      </rPr>
      <t xml:space="preserve">10 </t>
    </r>
    <r>
      <rPr>
        <sz val="12"/>
        <rFont val="標楷體"/>
        <family val="4"/>
        <charset val="136"/>
      </rPr>
      <t>日晚間起持續降下豪雨，</t>
    </r>
    <r>
      <rPr>
        <sz val="12"/>
        <rFont val="Times New Roman"/>
        <family val="1"/>
      </rPr>
      <t xml:space="preserve">6 </t>
    </r>
    <r>
      <rPr>
        <sz val="12"/>
        <rFont val="標楷體"/>
        <family val="4"/>
        <charset val="136"/>
      </rPr>
      <t>月</t>
    </r>
    <r>
      <rPr>
        <sz val="12"/>
        <rFont val="Times New Roman"/>
        <family val="1"/>
      </rPr>
      <t xml:space="preserve">11 </t>
    </r>
    <r>
      <rPr>
        <sz val="12"/>
        <rFont val="標楷體"/>
        <family val="4"/>
        <charset val="136"/>
      </rPr>
      <t>日約</t>
    </r>
    <r>
      <rPr>
        <sz val="12"/>
        <rFont val="Times New Roman"/>
        <family val="1"/>
      </rPr>
      <t xml:space="preserve">19 </t>
    </r>
    <r>
      <rPr>
        <sz val="12"/>
        <rFont val="標楷體"/>
        <family val="4"/>
        <charset val="136"/>
      </rPr>
      <t>點，投縣</t>
    </r>
    <r>
      <rPr>
        <sz val="12"/>
        <rFont val="Times New Roman"/>
        <family val="1"/>
      </rPr>
      <t>DF202(</t>
    </r>
    <r>
      <rPr>
        <sz val="12"/>
        <rFont val="標楷體"/>
        <family val="4"/>
        <charset val="136"/>
      </rPr>
      <t>頭坑溪</t>
    </r>
    <r>
      <rPr>
        <sz val="12"/>
        <rFont val="Times New Roman"/>
        <family val="1"/>
      </rPr>
      <t>)</t>
    </r>
    <r>
      <rPr>
        <sz val="12"/>
        <rFont val="標楷體"/>
        <family val="4"/>
        <charset val="136"/>
      </rPr>
      <t>爆發土石流，阻塞和社溪主河道，形成堰塞湖，湖寬約</t>
    </r>
    <r>
      <rPr>
        <sz val="12"/>
        <rFont val="Times New Roman"/>
        <family val="1"/>
      </rPr>
      <t>500m</t>
    </r>
    <r>
      <rPr>
        <sz val="12"/>
        <rFont val="標楷體"/>
        <family val="4"/>
        <charset val="136"/>
      </rPr>
      <t>，長度約</t>
    </r>
    <r>
      <rPr>
        <sz val="12"/>
        <rFont val="Times New Roman"/>
        <family val="1"/>
      </rPr>
      <t>700m</t>
    </r>
    <r>
      <rPr>
        <sz val="12"/>
        <rFont val="標楷體"/>
        <family val="4"/>
        <charset val="136"/>
      </rPr>
      <t>。</t>
    </r>
    <phoneticPr fontId="5" type="noConversion"/>
  </si>
  <si>
    <t>C1I34</t>
  </si>
  <si>
    <r>
      <rPr>
        <sz val="12"/>
        <rFont val="標楷體"/>
        <family val="4"/>
        <charset val="136"/>
      </rPr>
      <t>新興橋</t>
    </r>
    <phoneticPr fontId="5" type="noConversion"/>
  </si>
  <si>
    <r>
      <rPr>
        <sz val="12"/>
        <rFont val="標楷體"/>
        <family val="4"/>
        <charset val="136"/>
      </rPr>
      <t>土石流、崩塌</t>
    </r>
  </si>
  <si>
    <r>
      <rPr>
        <sz val="12"/>
        <rFont val="標楷體"/>
        <family val="4"/>
        <charset val="136"/>
      </rPr>
      <t>野山土雞園</t>
    </r>
    <r>
      <rPr>
        <sz val="12"/>
        <rFont val="Times New Roman"/>
        <family val="1"/>
      </rPr>
      <t>(</t>
    </r>
    <r>
      <rPr>
        <sz val="12"/>
        <rFont val="標楷體"/>
        <family val="4"/>
        <charset val="136"/>
      </rPr>
      <t>老泉街</t>
    </r>
    <r>
      <rPr>
        <sz val="12"/>
        <rFont val="Times New Roman"/>
        <family val="1"/>
      </rPr>
      <t xml:space="preserve">26 </t>
    </r>
    <r>
      <rPr>
        <sz val="12"/>
        <rFont val="標楷體"/>
        <family val="4"/>
        <charset val="136"/>
      </rPr>
      <t>巷</t>
    </r>
    <r>
      <rPr>
        <sz val="12"/>
        <rFont val="Times New Roman"/>
        <family val="1"/>
      </rPr>
      <t>1k+700)</t>
    </r>
    <phoneticPr fontId="5" type="noConversion"/>
  </si>
  <si>
    <r>
      <rPr>
        <sz val="12"/>
        <rFont val="標楷體"/>
        <family val="4"/>
        <charset val="136"/>
      </rPr>
      <t>老泉里</t>
    </r>
    <phoneticPr fontId="5" type="noConversion"/>
  </si>
  <si>
    <r>
      <t xml:space="preserve">6 </t>
    </r>
    <r>
      <rPr>
        <sz val="12"/>
        <rFont val="標楷體"/>
        <family val="4"/>
        <charset val="136"/>
      </rPr>
      <t>月</t>
    </r>
    <r>
      <rPr>
        <sz val="12"/>
        <rFont val="Times New Roman"/>
        <family val="1"/>
      </rPr>
      <t xml:space="preserve">11 </t>
    </r>
    <r>
      <rPr>
        <sz val="12"/>
        <rFont val="標楷體"/>
        <family val="4"/>
        <charset val="136"/>
      </rPr>
      <t>日晚間起持續降下豪雨，老泉街</t>
    </r>
    <r>
      <rPr>
        <sz val="12"/>
        <rFont val="Times New Roman"/>
        <family val="1"/>
      </rPr>
      <t xml:space="preserve">9 </t>
    </r>
    <r>
      <rPr>
        <sz val="12"/>
        <rFont val="標楷體"/>
        <family val="4"/>
        <charset val="136"/>
      </rPr>
      <t>號民宅後方坡地於晚間八點半發生崩塌災情，崩塌土石堆積於溪溝阻塞河道，造成土石流災情。</t>
    </r>
    <phoneticPr fontId="5" type="noConversion"/>
  </si>
  <si>
    <t>A1AD60</t>
  </si>
  <si>
    <r>
      <rPr>
        <sz val="12"/>
        <rFont val="標楷體"/>
        <family val="4"/>
        <charset val="136"/>
      </rPr>
      <t>水保</t>
    </r>
    <phoneticPr fontId="5" type="noConversion"/>
  </si>
  <si>
    <r>
      <rPr>
        <sz val="12"/>
        <rFont val="標楷體"/>
        <family val="4"/>
        <charset val="136"/>
      </rPr>
      <t>樟湖村</t>
    </r>
    <r>
      <rPr>
        <sz val="12"/>
        <rFont val="Times New Roman"/>
        <family val="1"/>
      </rPr>
      <t xml:space="preserve">8 </t>
    </r>
    <r>
      <rPr>
        <sz val="12"/>
        <rFont val="標楷體"/>
        <family val="4"/>
        <charset val="136"/>
      </rPr>
      <t>鄰車心崙</t>
    </r>
    <r>
      <rPr>
        <sz val="12"/>
        <rFont val="Times New Roman"/>
        <family val="1"/>
      </rPr>
      <t>(</t>
    </r>
    <r>
      <rPr>
        <sz val="12"/>
        <rFont val="標楷體"/>
        <family val="4"/>
        <charset val="136"/>
      </rPr>
      <t>濟公廟旁</t>
    </r>
    <r>
      <rPr>
        <sz val="12"/>
        <rFont val="Times New Roman"/>
        <family val="1"/>
      </rPr>
      <t xml:space="preserve">66-1 </t>
    </r>
    <r>
      <rPr>
        <sz val="12"/>
        <rFont val="標楷體"/>
        <family val="4"/>
        <charset val="136"/>
      </rPr>
      <t>號民宅</t>
    </r>
    <r>
      <rPr>
        <sz val="12"/>
        <rFont val="Times New Roman"/>
        <family val="1"/>
      </rPr>
      <t>)</t>
    </r>
    <phoneticPr fontId="5" type="noConversion"/>
  </si>
  <si>
    <r>
      <rPr>
        <sz val="12"/>
        <rFont val="標楷體"/>
        <family val="4"/>
        <charset val="136"/>
      </rPr>
      <t>古坑鄉</t>
    </r>
  </si>
  <si>
    <r>
      <rPr>
        <sz val="12"/>
        <rFont val="標楷體"/>
        <family val="4"/>
        <charset val="136"/>
      </rPr>
      <t>樟湖村</t>
    </r>
  </si>
  <si>
    <r>
      <rPr>
        <sz val="12"/>
        <rFont val="標楷體"/>
        <family val="4"/>
        <charset val="136"/>
      </rPr>
      <t>因</t>
    </r>
    <r>
      <rPr>
        <sz val="12"/>
        <rFont val="Times New Roman"/>
        <family val="1"/>
      </rPr>
      <t xml:space="preserve">11 </t>
    </r>
    <r>
      <rPr>
        <sz val="12"/>
        <rFont val="標楷體"/>
        <family val="4"/>
        <charset val="136"/>
      </rPr>
      <t>日起陸續發生地震，樟湖村</t>
    </r>
    <r>
      <rPr>
        <sz val="12"/>
        <rFont val="Times New Roman"/>
        <family val="1"/>
      </rPr>
      <t xml:space="preserve">66-1 </t>
    </r>
    <r>
      <rPr>
        <sz val="12"/>
        <rFont val="標楷體"/>
        <family val="4"/>
        <charset val="136"/>
      </rPr>
      <t>號民宅基
礎產生鬆動，於</t>
    </r>
    <r>
      <rPr>
        <sz val="12"/>
        <rFont val="Times New Roman"/>
        <family val="1"/>
      </rPr>
      <t xml:space="preserve">12 </t>
    </r>
    <r>
      <rPr>
        <sz val="12"/>
        <rFont val="標楷體"/>
        <family val="4"/>
        <charset val="136"/>
      </rPr>
      <t>日凌晨降雨時先行撤離，</t>
    </r>
    <r>
      <rPr>
        <sz val="12"/>
        <rFont val="Times New Roman"/>
        <family val="1"/>
      </rPr>
      <t xml:space="preserve">12
</t>
    </r>
    <r>
      <rPr>
        <sz val="12"/>
        <rFont val="標楷體"/>
        <family val="4"/>
        <charset val="136"/>
      </rPr>
      <t>日中午民宅基礎受豪雨沖刷，產生明顯滑動，造成民宅結構損壞，出現多處寬度達</t>
    </r>
    <r>
      <rPr>
        <sz val="12"/>
        <rFont val="Times New Roman"/>
        <family val="1"/>
      </rPr>
      <t xml:space="preserve">15 </t>
    </r>
    <r>
      <rPr>
        <sz val="12"/>
        <rFont val="標楷體"/>
        <family val="4"/>
        <charset val="136"/>
      </rPr>
      <t>公分之嚴重開裂。</t>
    </r>
    <phoneticPr fontId="5" type="noConversion"/>
  </si>
  <si>
    <t>C0K241</t>
  </si>
  <si>
    <r>
      <rPr>
        <sz val="12"/>
        <rFont val="標楷體"/>
        <family val="4"/>
        <charset val="136"/>
      </rPr>
      <t>福旗巷</t>
    </r>
    <r>
      <rPr>
        <sz val="12"/>
        <rFont val="Times New Roman"/>
        <family val="1"/>
      </rPr>
      <t>(</t>
    </r>
    <r>
      <rPr>
        <sz val="12"/>
        <rFont val="標楷體"/>
        <family val="4"/>
        <charset val="136"/>
      </rPr>
      <t>大旗農路</t>
    </r>
    <r>
      <rPr>
        <sz val="12"/>
        <rFont val="Times New Roman"/>
        <family val="1"/>
      </rPr>
      <t>)</t>
    </r>
  </si>
  <si>
    <r>
      <rPr>
        <sz val="12"/>
        <rFont val="標楷體"/>
        <family val="4"/>
        <charset val="136"/>
      </rPr>
      <t>大旗村</t>
    </r>
  </si>
  <si>
    <r>
      <rPr>
        <sz val="12"/>
        <rFont val="標楷體"/>
        <family val="4"/>
        <charset val="136"/>
      </rPr>
      <t>原整治坡面有下滑之情形，目前於岩盤面基樁上有部份彎折，造成護岸損毀。</t>
    </r>
    <phoneticPr fontId="5" type="noConversion"/>
  </si>
  <si>
    <r>
      <rPr>
        <sz val="12"/>
        <rFont val="標楷體"/>
        <family val="4"/>
        <charset val="136"/>
      </rPr>
      <t>大後部落</t>
    </r>
    <r>
      <rPr>
        <sz val="12"/>
        <rFont val="Times New Roman"/>
        <family val="1"/>
      </rPr>
      <t>(</t>
    </r>
    <r>
      <rPr>
        <sz val="12"/>
        <rFont val="標楷體"/>
        <family val="4"/>
        <charset val="136"/>
      </rPr>
      <t>大後集會所</t>
    </r>
    <r>
      <rPr>
        <sz val="12"/>
        <rFont val="Times New Roman"/>
        <family val="1"/>
      </rPr>
      <t>)</t>
    </r>
  </si>
  <si>
    <r>
      <rPr>
        <sz val="12"/>
        <rFont val="標楷體"/>
        <family val="4"/>
        <charset val="136"/>
      </rPr>
      <t>瓦魯斯溪溪水暴漲，洪水溢淹大後部落大後集會所，並挾帶大量土砂淤埋現場。</t>
    </r>
    <phoneticPr fontId="5" type="noConversion"/>
  </si>
  <si>
    <r>
      <rPr>
        <sz val="12"/>
        <rFont val="標楷體"/>
        <family val="4"/>
        <charset val="136"/>
      </rPr>
      <t>東西部落</t>
    </r>
    <r>
      <rPr>
        <sz val="12"/>
        <rFont val="Times New Roman"/>
        <family val="1"/>
      </rPr>
      <t>(</t>
    </r>
    <r>
      <rPr>
        <sz val="12"/>
        <rFont val="標楷體"/>
        <family val="4"/>
        <charset val="136"/>
      </rPr>
      <t>屏</t>
    </r>
    <r>
      <rPr>
        <sz val="12"/>
        <rFont val="Times New Roman"/>
        <family val="1"/>
      </rPr>
      <t xml:space="preserve">110 </t>
    </r>
    <r>
      <rPr>
        <sz val="12"/>
        <rFont val="標楷體"/>
        <family val="4"/>
        <charset val="136"/>
      </rPr>
      <t>線</t>
    </r>
    <r>
      <rPr>
        <sz val="12"/>
        <rFont val="Times New Roman"/>
        <family val="1"/>
      </rPr>
      <t>15k</t>
    </r>
    <r>
      <rPr>
        <sz val="12"/>
        <rFont val="標楷體"/>
        <family val="4"/>
        <charset val="136"/>
      </rPr>
      <t>、來義東西部落聯絡道路</t>
    </r>
    <r>
      <rPr>
        <sz val="12"/>
        <rFont val="Times New Roman"/>
        <family val="1"/>
      </rPr>
      <t>)</t>
    </r>
    <phoneticPr fontId="5" type="noConversion"/>
  </si>
  <si>
    <r>
      <rPr>
        <sz val="12"/>
        <rFont val="標楷體"/>
        <family val="4"/>
        <charset val="136"/>
      </rPr>
      <t>來義西部落：鄉道屏</t>
    </r>
    <r>
      <rPr>
        <sz val="12"/>
        <rFont val="Times New Roman"/>
        <family val="1"/>
      </rPr>
      <t xml:space="preserve">110 </t>
    </r>
    <r>
      <rPr>
        <sz val="12"/>
        <rFont val="標楷體"/>
        <family val="4"/>
        <charset val="136"/>
      </rPr>
      <t>線</t>
    </r>
    <r>
      <rPr>
        <sz val="12"/>
        <rFont val="Times New Roman"/>
        <family val="1"/>
      </rPr>
      <t xml:space="preserve">15k </t>
    </r>
    <r>
      <rPr>
        <sz val="12"/>
        <rFont val="標楷體"/>
        <family val="4"/>
        <charset val="136"/>
      </rPr>
      <t>處，來社溪溪水暴漲沖刷道路路基，路基遭洪水沖刷流失，土砂淤埋道路。</t>
    </r>
    <phoneticPr fontId="5" type="noConversion"/>
  </si>
  <si>
    <r>
      <rPr>
        <sz val="12"/>
        <rFont val="標楷體"/>
        <family val="4"/>
        <charset val="136"/>
      </rPr>
      <t>洪水</t>
    </r>
    <r>
      <rPr>
        <sz val="12"/>
        <rFont val="Times New Roman"/>
        <family val="1"/>
      </rPr>
      <t>(</t>
    </r>
    <r>
      <rPr>
        <sz val="12"/>
        <rFont val="標楷體"/>
        <family val="4"/>
        <charset val="136"/>
      </rPr>
      <t>沖刷</t>
    </r>
    <r>
      <rPr>
        <sz val="12"/>
        <rFont val="Times New Roman"/>
        <family val="1"/>
      </rPr>
      <t>)</t>
    </r>
  </si>
  <si>
    <r>
      <rPr>
        <sz val="12"/>
        <rFont val="標楷體"/>
        <family val="4"/>
        <charset val="136"/>
      </rPr>
      <t>東關路二段</t>
    </r>
    <r>
      <rPr>
        <sz val="12"/>
        <rFont val="Times New Roman"/>
        <family val="1"/>
      </rPr>
      <t xml:space="preserve">115 </t>
    </r>
    <r>
      <rPr>
        <sz val="12"/>
        <rFont val="標楷體"/>
        <family val="4"/>
        <charset val="136"/>
      </rPr>
      <t>號民宅旁</t>
    </r>
    <r>
      <rPr>
        <sz val="12"/>
        <rFont val="Times New Roman"/>
        <family val="1"/>
      </rPr>
      <t>(</t>
    </r>
    <r>
      <rPr>
        <sz val="12"/>
        <rFont val="標楷體"/>
        <family val="4"/>
        <charset val="136"/>
      </rPr>
      <t>中橫</t>
    </r>
    <r>
      <rPr>
        <sz val="12"/>
        <rFont val="Times New Roman"/>
        <family val="1"/>
      </rPr>
      <t xml:space="preserve">21.5 </t>
    </r>
    <r>
      <rPr>
        <sz val="12"/>
        <rFont val="標楷體"/>
        <family val="4"/>
        <charset val="136"/>
      </rPr>
      <t>公里處</t>
    </r>
    <r>
      <rPr>
        <sz val="12"/>
        <rFont val="Times New Roman"/>
        <family val="1"/>
      </rPr>
      <t>)</t>
    </r>
    <phoneticPr fontId="5" type="noConversion"/>
  </si>
  <si>
    <r>
      <rPr>
        <sz val="12"/>
        <rFont val="標楷體"/>
        <family val="4"/>
        <charset val="136"/>
      </rPr>
      <t>天輪里</t>
    </r>
    <phoneticPr fontId="5" type="noConversion"/>
  </si>
  <si>
    <r>
      <rPr>
        <sz val="12"/>
        <rFont val="標楷體"/>
        <family val="4"/>
        <charset val="136"/>
      </rPr>
      <t>大甲溪溪水暴漲，淘刷天輪白冷吊橋右側三棟相連的透天住宅地基，造成民宅基礎、護欄、地基淘空流失，危害住戶生命財產安全。</t>
    </r>
    <phoneticPr fontId="5" type="noConversion"/>
  </si>
  <si>
    <t>C1F9C1</t>
  </si>
  <si>
    <r>
      <rPr>
        <sz val="12"/>
        <rFont val="標楷體"/>
        <family val="4"/>
        <charset val="136"/>
      </rPr>
      <t>白冷</t>
    </r>
    <phoneticPr fontId="5" type="noConversion"/>
  </si>
  <si>
    <r>
      <rPr>
        <sz val="12"/>
        <rFont val="標楷體"/>
        <family val="4"/>
        <charset val="136"/>
      </rPr>
      <t>產業二號橋</t>
    </r>
    <r>
      <rPr>
        <sz val="12"/>
        <rFont val="Times New Roman"/>
        <family val="1"/>
      </rPr>
      <t>(</t>
    </r>
    <r>
      <rPr>
        <sz val="12"/>
        <rFont val="標楷體"/>
        <family val="4"/>
        <charset val="136"/>
      </rPr>
      <t>中</t>
    </r>
    <r>
      <rPr>
        <sz val="12"/>
        <rFont val="Times New Roman"/>
        <family val="1"/>
      </rPr>
      <t xml:space="preserve">99 </t>
    </r>
    <r>
      <rPr>
        <sz val="12"/>
        <rFont val="標楷體"/>
        <family val="4"/>
        <charset val="136"/>
      </rPr>
      <t>線北田路</t>
    </r>
    <r>
      <rPr>
        <sz val="12"/>
        <rFont val="Times New Roman"/>
        <family val="1"/>
      </rPr>
      <t>)</t>
    </r>
    <phoneticPr fontId="5" type="noConversion"/>
  </si>
  <si>
    <r>
      <rPr>
        <sz val="12"/>
        <rFont val="標楷體"/>
        <family val="4"/>
        <charset val="136"/>
      </rPr>
      <t>太平區</t>
    </r>
  </si>
  <si>
    <r>
      <rPr>
        <sz val="12"/>
        <rFont val="標楷體"/>
        <family val="4"/>
        <charset val="136"/>
      </rPr>
      <t>頭汴里</t>
    </r>
  </si>
  <si>
    <r>
      <rPr>
        <sz val="12"/>
        <rFont val="標楷體"/>
        <family val="4"/>
        <charset val="136"/>
      </rPr>
      <t>北坑溪產業二號橋下游系列固床工遭洪水沖刷毀損，左岸護岸淘空毀壞。</t>
    </r>
    <phoneticPr fontId="5" type="noConversion"/>
  </si>
  <si>
    <t>C1F9A0</t>
  </si>
  <si>
    <r>
      <rPr>
        <sz val="12"/>
        <rFont val="標楷體"/>
        <family val="4"/>
        <charset val="136"/>
      </rPr>
      <t>中竹林</t>
    </r>
    <phoneticPr fontId="5" type="noConversion"/>
  </si>
  <si>
    <r>
      <rPr>
        <sz val="12"/>
        <rFont val="標楷體"/>
        <family val="4"/>
        <charset val="136"/>
      </rPr>
      <t>中原橋上游約</t>
    </r>
    <r>
      <rPr>
        <sz val="12"/>
        <rFont val="Times New Roman"/>
        <family val="1"/>
      </rPr>
      <t xml:space="preserve">1.2 </t>
    </r>
    <r>
      <rPr>
        <sz val="12"/>
        <rFont val="標楷體"/>
        <family val="4"/>
        <charset val="136"/>
      </rPr>
      <t>公里</t>
    </r>
    <r>
      <rPr>
        <sz val="12"/>
        <rFont val="Times New Roman"/>
        <family val="1"/>
      </rPr>
      <t>(</t>
    </r>
    <r>
      <rPr>
        <sz val="12"/>
        <rFont val="標楷體"/>
        <family val="4"/>
        <charset val="136"/>
      </rPr>
      <t>眉原幹</t>
    </r>
    <r>
      <rPr>
        <sz val="12"/>
        <rFont val="Times New Roman"/>
        <family val="1"/>
      </rPr>
      <t xml:space="preserve">110 </t>
    </r>
    <r>
      <rPr>
        <sz val="12"/>
        <rFont val="標楷體"/>
        <family val="4"/>
        <charset val="136"/>
      </rPr>
      <t>分</t>
    </r>
    <r>
      <rPr>
        <sz val="12"/>
        <rFont val="Times New Roman"/>
        <family val="1"/>
      </rPr>
      <t xml:space="preserve">29 </t>
    </r>
    <r>
      <rPr>
        <sz val="12"/>
        <rFont val="標楷體"/>
        <family val="4"/>
        <charset val="136"/>
      </rPr>
      <t>電桿處</t>
    </r>
    <r>
      <rPr>
        <sz val="12"/>
        <rFont val="Times New Roman"/>
        <family val="1"/>
      </rPr>
      <t>)</t>
    </r>
    <phoneticPr fontId="5" type="noConversion"/>
  </si>
  <si>
    <r>
      <rPr>
        <sz val="12"/>
        <rFont val="標楷體"/>
        <family val="4"/>
        <charset val="136"/>
      </rPr>
      <t>北港溪溪水暴漲，淘刷中原橋上游凹岸，造成溪流右岸崩塌，危及西寶農路路基。</t>
    </r>
    <phoneticPr fontId="5" type="noConversion"/>
  </si>
  <si>
    <t>C1H90</t>
  </si>
  <si>
    <r>
      <rPr>
        <sz val="12"/>
        <rFont val="標楷體"/>
        <family val="4"/>
        <charset val="136"/>
      </rPr>
      <t>清流</t>
    </r>
    <phoneticPr fontId="5" type="noConversion"/>
  </si>
  <si>
    <r>
      <rPr>
        <sz val="12"/>
        <rFont val="標楷體"/>
        <family val="4"/>
        <charset val="136"/>
      </rPr>
      <t>南迴鐵路</t>
    </r>
    <r>
      <rPr>
        <sz val="12"/>
        <rFont val="Times New Roman"/>
        <family val="1"/>
      </rPr>
      <t>(</t>
    </r>
    <r>
      <rPr>
        <sz val="12"/>
        <rFont val="標楷體"/>
        <family val="4"/>
        <charset val="136"/>
      </rPr>
      <t>台</t>
    </r>
    <r>
      <rPr>
        <sz val="12"/>
        <rFont val="Times New Roman"/>
        <family val="1"/>
      </rPr>
      <t xml:space="preserve">9 </t>
    </r>
    <r>
      <rPr>
        <sz val="12"/>
        <rFont val="標楷體"/>
        <family val="4"/>
        <charset val="136"/>
      </rPr>
      <t>線</t>
    </r>
    <r>
      <rPr>
        <sz val="12"/>
        <rFont val="Times New Roman"/>
        <family val="1"/>
      </rPr>
      <t>439k+280)</t>
    </r>
    <phoneticPr fontId="5" type="noConversion"/>
  </si>
  <si>
    <r>
      <rPr>
        <sz val="12"/>
        <rFont val="標楷體"/>
        <family val="4"/>
        <charset val="136"/>
      </rPr>
      <t>南迴鐵路上邊坡發生崩塌災害，崩落土砂淤滿既
有蝕溝防砂設施，土砂溢流堆置於鐵軌，造成自強號</t>
    </r>
    <r>
      <rPr>
        <sz val="12"/>
        <rFont val="Times New Roman"/>
        <family val="1"/>
      </rPr>
      <t xml:space="preserve">305 </t>
    </r>
    <r>
      <rPr>
        <sz val="12"/>
        <rFont val="標楷體"/>
        <family val="4"/>
        <charset val="136"/>
      </rPr>
      <t>號列車出軌，</t>
    </r>
    <r>
      <rPr>
        <sz val="12"/>
        <rFont val="Times New Roman"/>
        <family val="1"/>
      </rPr>
      <t xml:space="preserve">16 </t>
    </r>
    <r>
      <rPr>
        <sz val="12"/>
        <rFont val="標楷體"/>
        <family val="4"/>
        <charset val="136"/>
      </rPr>
      <t>班列車約</t>
    </r>
    <r>
      <rPr>
        <sz val="12"/>
        <rFont val="Times New Roman"/>
        <family val="1"/>
      </rPr>
      <t xml:space="preserve">5000 </t>
    </r>
    <r>
      <rPr>
        <sz val="12"/>
        <rFont val="標楷體"/>
        <family val="4"/>
        <charset val="136"/>
      </rPr>
      <t>人次旅客受影響，幸無人員傷亡。</t>
    </r>
    <phoneticPr fontId="5" type="noConversion"/>
  </si>
  <si>
    <r>
      <rPr>
        <sz val="12"/>
        <rFont val="標楷體"/>
        <family val="4"/>
        <charset val="136"/>
      </rPr>
      <t>大武</t>
    </r>
    <phoneticPr fontId="5" type="noConversion"/>
  </si>
  <si>
    <r>
      <rPr>
        <sz val="12"/>
        <rFont val="標楷體"/>
        <family val="4"/>
        <charset val="136"/>
      </rPr>
      <t>豐湖路、港頭巷</t>
    </r>
    <r>
      <rPr>
        <sz val="12"/>
        <rFont val="Times New Roman"/>
        <family val="1"/>
      </rPr>
      <t xml:space="preserve">1 </t>
    </r>
    <r>
      <rPr>
        <sz val="12"/>
        <rFont val="標楷體"/>
        <family val="4"/>
        <charset val="136"/>
      </rPr>
      <t>號民宅</t>
    </r>
  </si>
  <si>
    <r>
      <rPr>
        <sz val="12"/>
        <rFont val="標楷體"/>
        <family val="4"/>
        <charset val="136"/>
      </rPr>
      <t>投縣</t>
    </r>
    <r>
      <rPr>
        <sz val="12"/>
        <rFont val="Times New Roman"/>
        <family val="1"/>
      </rPr>
      <t>DF105</t>
    </r>
  </si>
  <si>
    <r>
      <rPr>
        <sz val="12"/>
        <rFont val="標楷體"/>
        <family val="4"/>
        <charset val="136"/>
      </rPr>
      <t>港頭巷</t>
    </r>
    <r>
      <rPr>
        <sz val="12"/>
        <rFont val="Times New Roman"/>
        <family val="1"/>
      </rPr>
      <t xml:space="preserve">1 </t>
    </r>
    <r>
      <rPr>
        <sz val="12"/>
        <rFont val="標楷體"/>
        <family val="4"/>
        <charset val="136"/>
      </rPr>
      <t>號民宅下方，於本次連續豪雨發生崩塌災害，危急魚塭基礎。崩塌範圍長約</t>
    </r>
    <r>
      <rPr>
        <sz val="12"/>
        <rFont val="Times New Roman"/>
        <family val="1"/>
      </rPr>
      <t>15m</t>
    </r>
    <r>
      <rPr>
        <sz val="12"/>
        <rFont val="標楷體"/>
        <family val="4"/>
        <charset val="136"/>
      </rPr>
      <t>，寬約</t>
    </r>
    <r>
      <rPr>
        <sz val="12"/>
        <rFont val="Times New Roman"/>
        <family val="1"/>
      </rPr>
      <t>50m</t>
    </r>
    <r>
      <rPr>
        <sz val="12"/>
        <rFont val="標楷體"/>
        <family val="4"/>
        <charset val="136"/>
      </rPr>
      <t>。</t>
    </r>
    <phoneticPr fontId="5" type="noConversion"/>
  </si>
  <si>
    <r>
      <rPr>
        <sz val="12"/>
        <rFont val="標楷體"/>
        <family val="4"/>
        <charset val="136"/>
      </rPr>
      <t>瑤玉宮下方坡地</t>
    </r>
    <r>
      <rPr>
        <sz val="12"/>
        <rFont val="Times New Roman"/>
        <family val="1"/>
      </rPr>
      <t>(</t>
    </r>
    <r>
      <rPr>
        <sz val="12"/>
        <rFont val="標楷體"/>
        <family val="4"/>
        <charset val="136"/>
      </rPr>
      <t>松山路近</t>
    </r>
    <r>
      <rPr>
        <sz val="12"/>
        <rFont val="Times New Roman"/>
        <family val="1"/>
      </rPr>
      <t xml:space="preserve">725 </t>
    </r>
    <r>
      <rPr>
        <sz val="12"/>
        <rFont val="標楷體"/>
        <family val="4"/>
        <charset val="136"/>
      </rPr>
      <t>號</t>
    </r>
    <r>
      <rPr>
        <sz val="12"/>
        <rFont val="Times New Roman"/>
        <family val="1"/>
      </rPr>
      <t>)</t>
    </r>
    <phoneticPr fontId="5" type="noConversion"/>
  </si>
  <si>
    <r>
      <rPr>
        <sz val="12"/>
        <rFont val="標楷體"/>
        <family val="4"/>
        <charset val="136"/>
      </rPr>
      <t>信義區</t>
    </r>
    <phoneticPr fontId="5" type="noConversion"/>
  </si>
  <si>
    <r>
      <rPr>
        <sz val="12"/>
        <rFont val="標楷體"/>
        <family val="4"/>
        <charset val="136"/>
      </rPr>
      <t>松隆里</t>
    </r>
    <phoneticPr fontId="5" type="noConversion"/>
  </si>
  <si>
    <r>
      <rPr>
        <sz val="12"/>
        <rFont val="標楷體"/>
        <family val="4"/>
        <charset val="136"/>
      </rPr>
      <t>瑤玉宮下方坡地於</t>
    </r>
    <r>
      <rPr>
        <sz val="12"/>
        <rFont val="Times New Roman"/>
        <family val="1"/>
      </rPr>
      <t xml:space="preserve">6 </t>
    </r>
    <r>
      <rPr>
        <sz val="12"/>
        <rFont val="標楷體"/>
        <family val="4"/>
        <charset val="136"/>
      </rPr>
      <t>月</t>
    </r>
    <r>
      <rPr>
        <sz val="12"/>
        <rFont val="Times New Roman"/>
        <family val="1"/>
      </rPr>
      <t xml:space="preserve">12 </t>
    </r>
    <r>
      <rPr>
        <sz val="12"/>
        <rFont val="標楷體"/>
        <family val="4"/>
        <charset val="136"/>
      </rPr>
      <t>日清晨</t>
    </r>
    <r>
      <rPr>
        <sz val="12"/>
        <rFont val="Times New Roman"/>
        <family val="1"/>
      </rPr>
      <t xml:space="preserve">5 </t>
    </r>
    <r>
      <rPr>
        <sz val="12"/>
        <rFont val="標楷體"/>
        <family val="4"/>
        <charset val="136"/>
      </rPr>
      <t>時發生崩塌災情，崩塌土石覆蓋下方檔土設施堆積至松山路，導致道路阻斷。</t>
    </r>
    <phoneticPr fontId="5" type="noConversion"/>
  </si>
  <si>
    <t>A1AG40</t>
  </si>
  <si>
    <r>
      <rPr>
        <sz val="12"/>
        <rFont val="標楷體"/>
        <family val="4"/>
        <charset val="136"/>
      </rPr>
      <t>四獸</t>
    </r>
    <phoneticPr fontId="5" type="noConversion"/>
  </si>
  <si>
    <r>
      <rPr>
        <sz val="12"/>
        <rFont val="標楷體"/>
        <family val="4"/>
        <charset val="136"/>
      </rPr>
      <t>石麻巷</t>
    </r>
    <r>
      <rPr>
        <sz val="12"/>
        <rFont val="Times New Roman"/>
        <family val="1"/>
      </rPr>
      <t xml:space="preserve">57 </t>
    </r>
    <r>
      <rPr>
        <sz val="12"/>
        <rFont val="標楷體"/>
        <family val="4"/>
        <charset val="136"/>
      </rPr>
      <t>號民宅旁</t>
    </r>
  </si>
  <si>
    <r>
      <rPr>
        <sz val="12"/>
        <rFont val="標楷體"/>
        <family val="4"/>
        <charset val="136"/>
      </rPr>
      <t>東勢區</t>
    </r>
  </si>
  <si>
    <r>
      <rPr>
        <sz val="12"/>
        <rFont val="標楷體"/>
        <family val="4"/>
        <charset val="136"/>
      </rPr>
      <t>隆興里</t>
    </r>
  </si>
  <si>
    <r>
      <t xml:space="preserve">6 </t>
    </r>
    <r>
      <rPr>
        <sz val="12"/>
        <rFont val="標楷體"/>
        <family val="4"/>
        <charset val="136"/>
      </rPr>
      <t>月</t>
    </r>
    <r>
      <rPr>
        <sz val="12"/>
        <rFont val="Times New Roman"/>
        <family val="1"/>
      </rPr>
      <t xml:space="preserve">11 </t>
    </r>
    <r>
      <rPr>
        <sz val="12"/>
        <rFont val="標楷體"/>
        <family val="4"/>
        <charset val="136"/>
      </rPr>
      <t>日晚間起持續降雨，隆興里邊坡於</t>
    </r>
    <r>
      <rPr>
        <sz val="12"/>
        <rFont val="Times New Roman"/>
        <family val="1"/>
      </rPr>
      <t xml:space="preserve">12 </t>
    </r>
    <r>
      <rPr>
        <sz val="12"/>
        <rFont val="標楷體"/>
        <family val="4"/>
        <charset val="136"/>
      </rPr>
      <t>日凌晨三點發生崩塌災害，土石崩落造成區內擋土牆損壞，主要聯外道路石麻巷中斷。</t>
    </r>
    <phoneticPr fontId="5" type="noConversion"/>
  </si>
  <si>
    <r>
      <rPr>
        <sz val="12"/>
        <rFont val="標楷體"/>
        <family val="4"/>
        <charset val="136"/>
      </rPr>
      <t>新伯公</t>
    </r>
    <phoneticPr fontId="5" type="noConversion"/>
  </si>
  <si>
    <r>
      <rPr>
        <sz val="12"/>
        <rFont val="標楷體"/>
        <family val="4"/>
        <charset val="136"/>
      </rPr>
      <t>義芳居後方坡地</t>
    </r>
    <r>
      <rPr>
        <sz val="12"/>
        <rFont val="Times New Roman"/>
        <family val="1"/>
      </rPr>
      <t>(</t>
    </r>
    <r>
      <rPr>
        <sz val="12"/>
        <rFont val="標楷體"/>
        <family val="4"/>
        <charset val="136"/>
      </rPr>
      <t>基隆路三段</t>
    </r>
    <r>
      <rPr>
        <sz val="12"/>
        <rFont val="Times New Roman"/>
        <family val="1"/>
      </rPr>
      <t xml:space="preserve">155 </t>
    </r>
    <r>
      <rPr>
        <sz val="12"/>
        <rFont val="標楷體"/>
        <family val="4"/>
        <charset val="136"/>
      </rPr>
      <t>巷</t>
    </r>
    <r>
      <rPr>
        <sz val="12"/>
        <rFont val="Times New Roman"/>
        <family val="1"/>
      </rPr>
      <t>)</t>
    </r>
    <phoneticPr fontId="5" type="noConversion"/>
  </si>
  <si>
    <r>
      <rPr>
        <sz val="12"/>
        <rFont val="標楷體"/>
        <family val="4"/>
        <charset val="136"/>
      </rPr>
      <t>大安區</t>
    </r>
  </si>
  <si>
    <r>
      <rPr>
        <sz val="12"/>
        <rFont val="標楷體"/>
        <family val="4"/>
        <charset val="136"/>
      </rPr>
      <t>學府里</t>
    </r>
  </si>
  <si>
    <r>
      <rPr>
        <sz val="12"/>
        <rFont val="標楷體"/>
        <family val="4"/>
        <charset val="136"/>
      </rPr>
      <t>義芳居後方坡地於</t>
    </r>
    <r>
      <rPr>
        <sz val="12"/>
        <rFont val="Times New Roman"/>
        <family val="1"/>
      </rPr>
      <t xml:space="preserve">6 </t>
    </r>
    <r>
      <rPr>
        <sz val="12"/>
        <rFont val="標楷體"/>
        <family val="4"/>
        <charset val="136"/>
      </rPr>
      <t>月</t>
    </r>
    <r>
      <rPr>
        <sz val="12"/>
        <rFont val="Times New Roman"/>
        <family val="1"/>
      </rPr>
      <t xml:space="preserve">12 </t>
    </r>
    <r>
      <rPr>
        <sz val="12"/>
        <rFont val="標楷體"/>
        <family val="4"/>
        <charset val="136"/>
      </rPr>
      <t>日凌晨發生土石流災
情，坡地遭雨水沖刷導致坡面土石下移，淤埋下方沉砂設施，沉砂池遭土石淤滿後溢淹至下方民宅，造成萬善寺與鄰近民宅土砂淤積。</t>
    </r>
    <phoneticPr fontId="5" type="noConversion"/>
  </si>
  <si>
    <t>C1A730</t>
  </si>
  <si>
    <r>
      <rPr>
        <sz val="12"/>
        <rFont val="標楷體"/>
        <family val="4"/>
        <charset val="136"/>
      </rPr>
      <t>公館</t>
    </r>
    <phoneticPr fontId="5" type="noConversion"/>
  </si>
  <si>
    <r>
      <rPr>
        <sz val="12"/>
        <rFont val="標楷體"/>
        <family val="4"/>
        <charset val="136"/>
      </rPr>
      <t>林務局佳陽分站</t>
    </r>
    <r>
      <rPr>
        <sz val="12"/>
        <rFont val="Times New Roman"/>
        <family val="1"/>
      </rPr>
      <t>(</t>
    </r>
    <r>
      <rPr>
        <sz val="12"/>
        <rFont val="標楷體"/>
        <family val="4"/>
        <charset val="136"/>
      </rPr>
      <t>台</t>
    </r>
    <r>
      <rPr>
        <sz val="12"/>
        <rFont val="Times New Roman"/>
        <family val="1"/>
      </rPr>
      <t xml:space="preserve">8 </t>
    </r>
    <r>
      <rPr>
        <sz val="12"/>
        <rFont val="標楷體"/>
        <family val="4"/>
        <charset val="136"/>
      </rPr>
      <t>線</t>
    </r>
    <r>
      <rPr>
        <sz val="12"/>
        <rFont val="Times New Roman"/>
        <family val="1"/>
      </rPr>
      <t>69.5K)</t>
    </r>
    <phoneticPr fontId="5" type="noConversion"/>
  </si>
  <si>
    <r>
      <rPr>
        <sz val="12"/>
        <rFont val="標楷體"/>
        <family val="4"/>
        <charset val="136"/>
      </rPr>
      <t>梨山里</t>
    </r>
  </si>
  <si>
    <r>
      <rPr>
        <sz val="12"/>
        <rFont val="標楷體"/>
        <family val="4"/>
        <charset val="136"/>
      </rPr>
      <t>林務局東勢林管處佳陽分站，</t>
    </r>
    <r>
      <rPr>
        <sz val="12"/>
        <rFont val="Times New Roman"/>
        <family val="1"/>
      </rPr>
      <t xml:space="preserve"> 6 </t>
    </r>
    <r>
      <rPr>
        <sz val="12"/>
        <rFont val="標楷體"/>
        <family val="4"/>
        <charset val="136"/>
      </rPr>
      <t>月</t>
    </r>
    <r>
      <rPr>
        <sz val="12"/>
        <rFont val="Times New Roman"/>
        <family val="1"/>
      </rPr>
      <t xml:space="preserve">11 </t>
    </r>
    <r>
      <rPr>
        <sz val="12"/>
        <rFont val="標楷體"/>
        <family val="4"/>
        <charset val="136"/>
      </rPr>
      <t>日晚間</t>
    </r>
    <r>
      <rPr>
        <sz val="12"/>
        <rFont val="Times New Roman"/>
        <family val="1"/>
      </rPr>
      <t xml:space="preserve">18
</t>
    </r>
    <r>
      <rPr>
        <sz val="12"/>
        <rFont val="標楷體"/>
        <family val="4"/>
        <charset val="136"/>
      </rPr>
      <t>時，後方邊坡發生崩塌災害，土砂崩落直接撞毀佳陽分站，崩落土砂堆置省道台</t>
    </r>
    <r>
      <rPr>
        <sz val="12"/>
        <rFont val="Times New Roman"/>
        <family val="1"/>
      </rPr>
      <t xml:space="preserve">8 </t>
    </r>
    <r>
      <rPr>
        <sz val="12"/>
        <rFont val="標楷體"/>
        <family val="4"/>
        <charset val="136"/>
      </rPr>
      <t>線，造成道路中斷。</t>
    </r>
    <phoneticPr fontId="5" type="noConversion"/>
  </si>
  <si>
    <t>C0F860</t>
  </si>
  <si>
    <r>
      <rPr>
        <sz val="12"/>
        <rFont val="標楷體"/>
        <family val="4"/>
        <charset val="136"/>
      </rPr>
      <t>梨山</t>
    </r>
    <phoneticPr fontId="5" type="noConversion"/>
  </si>
  <si>
    <r>
      <rPr>
        <sz val="12"/>
        <rFont val="標楷體"/>
        <family val="4"/>
        <charset val="136"/>
      </rPr>
      <t>平生部落</t>
    </r>
    <r>
      <rPr>
        <sz val="12"/>
        <rFont val="Times New Roman"/>
        <family val="1"/>
      </rPr>
      <t>(</t>
    </r>
    <r>
      <rPr>
        <sz val="12"/>
        <rFont val="標楷體"/>
        <family val="4"/>
        <charset val="136"/>
      </rPr>
      <t>台電屯原支</t>
    </r>
    <r>
      <rPr>
        <sz val="12"/>
        <rFont val="Times New Roman"/>
        <family val="1"/>
      </rPr>
      <t xml:space="preserve">41 </t>
    </r>
    <r>
      <rPr>
        <sz val="12"/>
        <rFont val="標楷體"/>
        <family val="4"/>
        <charset val="136"/>
      </rPr>
      <t>號電線桿處</t>
    </r>
    <r>
      <rPr>
        <sz val="12"/>
        <rFont val="Times New Roman"/>
        <family val="1"/>
      </rPr>
      <t>)</t>
    </r>
    <phoneticPr fontId="5" type="noConversion"/>
  </si>
  <si>
    <r>
      <t xml:space="preserve">6 </t>
    </r>
    <r>
      <rPr>
        <sz val="12"/>
        <rFont val="標楷體"/>
        <family val="4"/>
        <charset val="136"/>
      </rPr>
      <t>月</t>
    </r>
    <r>
      <rPr>
        <sz val="12"/>
        <rFont val="Times New Roman"/>
        <family val="1"/>
      </rPr>
      <t xml:space="preserve">10 </t>
    </r>
    <r>
      <rPr>
        <sz val="12"/>
        <rFont val="標楷體"/>
        <family val="4"/>
        <charset val="136"/>
      </rPr>
      <t>日起連日豪雨，造成平生產業道路下緣
坡面崩塌災害，崩塌規模長約</t>
    </r>
    <r>
      <rPr>
        <sz val="12"/>
        <rFont val="Times New Roman"/>
        <family val="1"/>
      </rPr>
      <t xml:space="preserve">20 </t>
    </r>
    <r>
      <rPr>
        <sz val="12"/>
        <rFont val="標楷體"/>
        <family val="4"/>
        <charset val="136"/>
      </rPr>
      <t>公尺，寬</t>
    </r>
    <r>
      <rPr>
        <sz val="12"/>
        <rFont val="Times New Roman"/>
        <family val="1"/>
      </rPr>
      <t>80</t>
    </r>
    <r>
      <rPr>
        <sz val="12"/>
        <rFont val="標楷體"/>
        <family val="4"/>
        <charset val="136"/>
      </rPr>
      <t>公尺。土石沖毀台電屯原支</t>
    </r>
    <r>
      <rPr>
        <sz val="12"/>
        <rFont val="Times New Roman"/>
        <family val="1"/>
      </rPr>
      <t xml:space="preserve">41 </t>
    </r>
    <r>
      <rPr>
        <sz val="12"/>
        <rFont val="標楷體"/>
        <family val="4"/>
        <charset val="136"/>
      </rPr>
      <t>號電線桿處旁果農工寮，並造成工寮下方之聯絡道路損毀中斷。</t>
    </r>
    <phoneticPr fontId="5" type="noConversion"/>
  </si>
  <si>
    <t>C1I010</t>
  </si>
  <si>
    <r>
      <rPr>
        <sz val="12"/>
        <rFont val="標楷體"/>
        <family val="4"/>
        <charset val="136"/>
      </rPr>
      <t>民裕</t>
    </r>
    <r>
      <rPr>
        <sz val="12"/>
        <rFont val="Times New Roman"/>
        <family val="1"/>
      </rPr>
      <t xml:space="preserve">43 </t>
    </r>
    <r>
      <rPr>
        <sz val="12"/>
        <rFont val="標楷體"/>
        <family val="4"/>
        <charset val="136"/>
      </rPr>
      <t>號民宅</t>
    </r>
  </si>
  <si>
    <r>
      <rPr>
        <sz val="12"/>
        <rFont val="標楷體"/>
        <family val="4"/>
        <charset val="136"/>
      </rPr>
      <t>福興里</t>
    </r>
  </si>
  <si>
    <r>
      <rPr>
        <sz val="12"/>
        <rFont val="標楷體"/>
        <family val="4"/>
        <charset val="136"/>
      </rPr>
      <t>民裕</t>
    </r>
    <r>
      <rPr>
        <sz val="12"/>
        <rFont val="Times New Roman"/>
        <family val="1"/>
      </rPr>
      <t xml:space="preserve">43 </t>
    </r>
    <r>
      <rPr>
        <sz val="12"/>
        <rFont val="標楷體"/>
        <family val="4"/>
        <charset val="136"/>
      </rPr>
      <t>號民宅於</t>
    </r>
    <r>
      <rPr>
        <sz val="12"/>
        <rFont val="Times New Roman"/>
        <family val="1"/>
      </rPr>
      <t xml:space="preserve">6 </t>
    </r>
    <r>
      <rPr>
        <sz val="12"/>
        <rFont val="標楷體"/>
        <family val="4"/>
        <charset val="136"/>
      </rPr>
      <t>月</t>
    </r>
    <r>
      <rPr>
        <sz val="12"/>
        <rFont val="Times New Roman"/>
        <family val="1"/>
      </rPr>
      <t xml:space="preserve">10 </t>
    </r>
    <r>
      <rPr>
        <sz val="12"/>
        <rFont val="標楷體"/>
        <family val="4"/>
        <charset val="136"/>
      </rPr>
      <t>日下午</t>
    </r>
    <r>
      <rPr>
        <sz val="12"/>
        <rFont val="Times New Roman"/>
        <family val="1"/>
      </rPr>
      <t xml:space="preserve">17 </t>
    </r>
    <r>
      <rPr>
        <sz val="12"/>
        <rFont val="標楷體"/>
        <family val="4"/>
        <charset val="136"/>
      </rPr>
      <t>時發生崩塌災情，居民已依照里長指示先行撤離至避難處所大林國小避難，共撤離</t>
    </r>
    <r>
      <rPr>
        <sz val="12"/>
        <rFont val="Times New Roman"/>
        <family val="1"/>
      </rPr>
      <t xml:space="preserve">20 </t>
    </r>
    <r>
      <rPr>
        <sz val="12"/>
        <rFont val="標楷體"/>
        <family val="4"/>
        <charset val="136"/>
      </rPr>
      <t>戶約</t>
    </r>
    <r>
      <rPr>
        <sz val="12"/>
        <rFont val="Times New Roman"/>
        <family val="1"/>
      </rPr>
      <t xml:space="preserve">50 </t>
    </r>
    <r>
      <rPr>
        <sz val="12"/>
        <rFont val="標楷體"/>
        <family val="4"/>
        <charset val="136"/>
      </rPr>
      <t>人。</t>
    </r>
    <phoneticPr fontId="5" type="noConversion"/>
  </si>
  <si>
    <t>C1F9D0</t>
  </si>
  <si>
    <r>
      <rPr>
        <sz val="12"/>
        <rFont val="標楷體"/>
        <family val="4"/>
        <charset val="136"/>
      </rPr>
      <t>白毛台</t>
    </r>
    <phoneticPr fontId="5" type="noConversion"/>
  </si>
  <si>
    <r>
      <rPr>
        <sz val="12"/>
        <rFont val="標楷體"/>
        <family val="4"/>
        <charset val="136"/>
      </rPr>
      <t>久光橋</t>
    </r>
  </si>
  <si>
    <r>
      <rPr>
        <sz val="12"/>
        <rFont val="標楷體"/>
        <family val="4"/>
        <charset val="136"/>
      </rPr>
      <t>天秤颱風</t>
    </r>
  </si>
  <si>
    <r>
      <rPr>
        <sz val="12"/>
        <rFont val="標楷體"/>
        <family val="4"/>
        <charset val="136"/>
      </rPr>
      <t>土石流潛勢溪流屏縣</t>
    </r>
    <r>
      <rPr>
        <sz val="12"/>
        <rFont val="Times New Roman"/>
        <family val="1"/>
      </rPr>
      <t xml:space="preserve">DF064 </t>
    </r>
    <r>
      <rPr>
        <sz val="12"/>
        <rFont val="標楷體"/>
        <family val="4"/>
        <charset val="136"/>
      </rPr>
      <t>受天秤颱風連日豪雨影響，漂流木及土砂淤埋溪床致溪水溢流，發生土石流災害，造成溪流右岸</t>
    </r>
    <r>
      <rPr>
        <sz val="12"/>
        <rFont val="Times New Roman"/>
        <family val="1"/>
      </rPr>
      <t xml:space="preserve">6 </t>
    </r>
    <r>
      <rPr>
        <sz val="12"/>
        <rFont val="標楷體"/>
        <family val="4"/>
        <charset val="136"/>
      </rPr>
      <t>戶民宅及久光橋受災。</t>
    </r>
    <phoneticPr fontId="5" type="noConversion"/>
  </si>
  <si>
    <r>
      <rPr>
        <sz val="12"/>
        <rFont val="標楷體"/>
        <family val="4"/>
        <charset val="136"/>
      </rPr>
      <t>佳樂水</t>
    </r>
    <phoneticPr fontId="5" type="noConversion"/>
  </si>
  <si>
    <r>
      <rPr>
        <sz val="12"/>
        <rFont val="標楷體"/>
        <family val="4"/>
        <charset val="136"/>
      </rPr>
      <t>碧侯社區活動中心</t>
    </r>
  </si>
  <si>
    <r>
      <rPr>
        <sz val="12"/>
        <rFont val="標楷體"/>
        <family val="4"/>
        <charset val="136"/>
      </rPr>
      <t>碧侯村</t>
    </r>
  </si>
  <si>
    <r>
      <rPr>
        <sz val="12"/>
        <rFont val="標楷體"/>
        <family val="4"/>
        <charset val="136"/>
      </rPr>
      <t>宜縣</t>
    </r>
    <r>
      <rPr>
        <sz val="12"/>
        <rFont val="Times New Roman"/>
        <family val="1"/>
      </rPr>
      <t>DF147</t>
    </r>
  </si>
  <si>
    <r>
      <rPr>
        <sz val="12"/>
        <rFont val="標楷體"/>
        <family val="4"/>
        <charset val="136"/>
      </rPr>
      <t>蘇拉颱風</t>
    </r>
  </si>
  <si>
    <r>
      <rPr>
        <sz val="12"/>
        <rFont val="標楷體"/>
        <family val="4"/>
        <charset val="136"/>
      </rPr>
      <t>蘇拉颱風期間，碧侯社區活動中心旁野溪因左
側坑溝產出大量土砂，淘刷護岸背填土，土砂
堆積至主流河道，並於主流橋涵處溢流，造成下游陽明路及果園土砂漫流堆積，鄰近民宅受到土石入侵。</t>
    </r>
    <phoneticPr fontId="5" type="noConversion"/>
  </si>
  <si>
    <r>
      <rPr>
        <sz val="12"/>
        <rFont val="標楷體"/>
        <family val="4"/>
        <charset val="136"/>
      </rPr>
      <t>南澳</t>
    </r>
    <phoneticPr fontId="5" type="noConversion"/>
  </si>
  <si>
    <r>
      <rPr>
        <sz val="12"/>
        <rFont val="標楷體"/>
        <family val="4"/>
        <charset val="136"/>
      </rPr>
      <t>插角里</t>
    </r>
    <r>
      <rPr>
        <sz val="12"/>
        <rFont val="Times New Roman"/>
        <family val="1"/>
      </rPr>
      <t xml:space="preserve">188 </t>
    </r>
    <r>
      <rPr>
        <sz val="12"/>
        <rFont val="標楷體"/>
        <family val="4"/>
        <charset val="136"/>
      </rPr>
      <t>號民宅</t>
    </r>
  </si>
  <si>
    <r>
      <rPr>
        <sz val="12"/>
        <rFont val="標楷體"/>
        <family val="4"/>
        <charset val="136"/>
      </rPr>
      <t>新北市</t>
    </r>
    <phoneticPr fontId="5" type="noConversion"/>
  </si>
  <si>
    <r>
      <rPr>
        <sz val="12"/>
        <rFont val="標楷體"/>
        <family val="4"/>
        <charset val="136"/>
      </rPr>
      <t>三峽區</t>
    </r>
    <phoneticPr fontId="5" type="noConversion"/>
  </si>
  <si>
    <r>
      <rPr>
        <sz val="12"/>
        <rFont val="標楷體"/>
        <family val="4"/>
        <charset val="136"/>
      </rPr>
      <t>插角里</t>
    </r>
  </si>
  <si>
    <r>
      <rPr>
        <sz val="12"/>
        <rFont val="標楷體"/>
        <family val="4"/>
        <charset val="136"/>
      </rPr>
      <t>插角里</t>
    </r>
    <r>
      <rPr>
        <sz val="12"/>
        <rFont val="Times New Roman"/>
        <family val="1"/>
      </rPr>
      <t>188</t>
    </r>
    <r>
      <rPr>
        <sz val="12"/>
        <rFont val="標楷體"/>
        <family val="4"/>
        <charset val="136"/>
      </rPr>
      <t>號民宅旁溪溝於蘇拉颱風期間爆發土石流災情，堆積土砂約</t>
    </r>
    <r>
      <rPr>
        <sz val="12"/>
        <rFont val="Times New Roman"/>
        <family val="1"/>
      </rPr>
      <t xml:space="preserve">2,500 </t>
    </r>
    <r>
      <rPr>
        <sz val="12"/>
        <rFont val="標楷體"/>
        <family val="4"/>
        <charset val="136"/>
      </rPr>
      <t>立方，原溪床土石淤積造成溢流改道，兩戶民宅遭受淤埋。</t>
    </r>
    <phoneticPr fontId="5" type="noConversion"/>
  </si>
  <si>
    <t>C0A210</t>
  </si>
  <si>
    <r>
      <rPr>
        <sz val="12"/>
        <rFont val="標楷體"/>
        <family val="4"/>
        <charset val="136"/>
      </rPr>
      <t>大豹</t>
    </r>
    <phoneticPr fontId="5" type="noConversion"/>
  </si>
  <si>
    <r>
      <rPr>
        <sz val="12"/>
        <rFont val="標楷體"/>
        <family val="4"/>
        <charset val="136"/>
      </rPr>
      <t>和仁山區龍崎火藥分銷庫</t>
    </r>
  </si>
  <si>
    <r>
      <rPr>
        <sz val="12"/>
        <rFont val="標楷體"/>
        <family val="4"/>
        <charset val="136"/>
      </rPr>
      <t>秀林鄉</t>
    </r>
    <phoneticPr fontId="5" type="noConversion"/>
  </si>
  <si>
    <r>
      <rPr>
        <sz val="12"/>
        <rFont val="標楷體"/>
        <family val="4"/>
        <charset val="136"/>
      </rPr>
      <t>和平村</t>
    </r>
  </si>
  <si>
    <r>
      <rPr>
        <sz val="12"/>
        <rFont val="標楷體"/>
        <family val="4"/>
        <charset val="136"/>
      </rPr>
      <t>花縣</t>
    </r>
    <r>
      <rPr>
        <sz val="12"/>
        <rFont val="Times New Roman"/>
        <family val="1"/>
      </rPr>
      <t>DF025</t>
    </r>
  </si>
  <si>
    <r>
      <rPr>
        <sz val="12"/>
        <rFont val="標楷體"/>
        <family val="4"/>
        <charset val="136"/>
      </rPr>
      <t>和仁部落旁土石流潛勢溪流花縣</t>
    </r>
    <r>
      <rPr>
        <sz val="12"/>
        <rFont val="Times New Roman"/>
        <family val="1"/>
      </rPr>
      <t>DF025</t>
    </r>
    <r>
      <rPr>
        <sz val="12"/>
        <rFont val="標楷體"/>
        <family val="4"/>
        <charset val="136"/>
      </rPr>
      <t>，於蘇拉颱風期間爆發土石流災害，造成仁和山區的龍崎火藥分銷庫遭土石流淤埋，火藥庫駐點人員</t>
    </r>
    <r>
      <rPr>
        <sz val="12"/>
        <rFont val="Times New Roman"/>
        <family val="1"/>
      </rPr>
      <t xml:space="preserve">1 </t>
    </r>
    <r>
      <rPr>
        <sz val="12"/>
        <rFont val="標楷體"/>
        <family val="4"/>
        <charset val="136"/>
      </rPr>
      <t>人失蹤，下游堆積區初步估計土砂約</t>
    </r>
    <r>
      <rPr>
        <sz val="12"/>
        <rFont val="Times New Roman"/>
        <family val="1"/>
      </rPr>
      <t xml:space="preserve">70000 </t>
    </r>
    <r>
      <rPr>
        <sz val="12"/>
        <rFont val="標楷體"/>
        <family val="4"/>
        <charset val="136"/>
      </rPr>
      <t>立方。</t>
    </r>
    <phoneticPr fontId="5" type="noConversion"/>
  </si>
  <si>
    <t>41T600</t>
  </si>
  <si>
    <r>
      <rPr>
        <sz val="12"/>
        <rFont val="標楷體"/>
        <family val="4"/>
        <charset val="136"/>
      </rPr>
      <t>和平</t>
    </r>
    <phoneticPr fontId="5" type="noConversion"/>
  </si>
  <si>
    <r>
      <rPr>
        <sz val="12"/>
        <rFont val="標楷體"/>
        <family val="4"/>
        <charset val="136"/>
      </rPr>
      <t>和中部落</t>
    </r>
  </si>
  <si>
    <r>
      <rPr>
        <sz val="12"/>
        <rFont val="標楷體"/>
        <family val="4"/>
        <charset val="136"/>
      </rPr>
      <t>花縣</t>
    </r>
    <r>
      <rPr>
        <sz val="12"/>
        <rFont val="Times New Roman"/>
        <family val="1"/>
      </rPr>
      <t>DF166</t>
    </r>
    <phoneticPr fontId="5" type="noConversion"/>
  </si>
  <si>
    <r>
      <rPr>
        <sz val="12"/>
        <rFont val="標楷體"/>
        <family val="4"/>
        <charset val="136"/>
      </rPr>
      <t>和中部落北側旁野溪於蘇拉颱風期間爆發土石流災害，造成部落民宅遭土石流沖入毀損、淤埋，下游堆積區初步估計土砂約</t>
    </r>
    <r>
      <rPr>
        <sz val="12"/>
        <rFont val="Times New Roman"/>
        <family val="1"/>
      </rPr>
      <t xml:space="preserve">315000 </t>
    </r>
    <r>
      <rPr>
        <sz val="12"/>
        <rFont val="標楷體"/>
        <family val="4"/>
        <charset val="136"/>
      </rPr>
      <t>立方。</t>
    </r>
    <phoneticPr fontId="5" type="noConversion"/>
  </si>
  <si>
    <t>41T600</t>
    <phoneticPr fontId="5" type="noConversion"/>
  </si>
  <si>
    <r>
      <rPr>
        <sz val="12"/>
        <rFont val="標楷體"/>
        <family val="4"/>
        <charset val="136"/>
      </rPr>
      <t>和平橋</t>
    </r>
    <r>
      <rPr>
        <sz val="12"/>
        <rFont val="Times New Roman"/>
        <family val="1"/>
      </rPr>
      <t>(</t>
    </r>
    <r>
      <rPr>
        <sz val="12"/>
        <rFont val="標楷體"/>
        <family val="4"/>
        <charset val="136"/>
      </rPr>
      <t>花縣</t>
    </r>
    <r>
      <rPr>
        <sz val="12"/>
        <rFont val="Times New Roman"/>
        <family val="1"/>
      </rPr>
      <t>DF026)</t>
    </r>
    <phoneticPr fontId="5" type="noConversion"/>
  </si>
  <si>
    <r>
      <rPr>
        <sz val="12"/>
        <rFont val="標楷體"/>
        <family val="4"/>
        <charset val="136"/>
      </rPr>
      <t>花縣</t>
    </r>
    <r>
      <rPr>
        <sz val="12"/>
        <rFont val="Times New Roman"/>
        <family val="1"/>
      </rPr>
      <t>DF026</t>
    </r>
  </si>
  <si>
    <r>
      <rPr>
        <sz val="12"/>
        <rFont val="標楷體"/>
        <family val="4"/>
        <charset val="136"/>
      </rPr>
      <t>通往和平隧道的和平橋旁土石流潛勢溪流花縣</t>
    </r>
    <r>
      <rPr>
        <sz val="12"/>
        <rFont val="Times New Roman"/>
        <family val="1"/>
      </rPr>
      <t>DF026</t>
    </r>
    <r>
      <rPr>
        <sz val="12"/>
        <rFont val="標楷體"/>
        <family val="4"/>
        <charset val="136"/>
      </rPr>
      <t>，於蘇拉颱風期間爆發土石流災害，造成仁中部落</t>
    </r>
    <r>
      <rPr>
        <sz val="12"/>
        <rFont val="Times New Roman"/>
        <family val="1"/>
      </rPr>
      <t xml:space="preserve">3 </t>
    </r>
    <r>
      <rPr>
        <sz val="12"/>
        <rFont val="標楷體"/>
        <family val="4"/>
        <charset val="136"/>
      </rPr>
      <t>戶民宅遭土石流毀損，所幸無人傷亡，下游堆積區初步估計土砂約</t>
    </r>
    <r>
      <rPr>
        <sz val="12"/>
        <rFont val="Times New Roman"/>
        <family val="1"/>
      </rPr>
      <t xml:space="preserve">120000 </t>
    </r>
    <r>
      <rPr>
        <sz val="12"/>
        <rFont val="標楷體"/>
        <family val="4"/>
        <charset val="136"/>
      </rPr>
      <t>立方。</t>
    </r>
    <phoneticPr fontId="5" type="noConversion"/>
  </si>
  <si>
    <r>
      <rPr>
        <sz val="12"/>
        <rFont val="標楷體"/>
        <family val="4"/>
        <charset val="136"/>
      </rPr>
      <t>南山村加油站</t>
    </r>
  </si>
  <si>
    <r>
      <rPr>
        <sz val="12"/>
        <rFont val="標楷體"/>
        <family val="4"/>
        <charset val="136"/>
      </rPr>
      <t>南山村</t>
    </r>
  </si>
  <si>
    <r>
      <rPr>
        <sz val="12"/>
        <rFont val="標楷體"/>
        <family val="4"/>
        <charset val="136"/>
      </rPr>
      <t>宜縣</t>
    </r>
    <r>
      <rPr>
        <sz val="12"/>
        <rFont val="Times New Roman"/>
        <family val="1"/>
      </rPr>
      <t>DF079</t>
    </r>
  </si>
  <si>
    <r>
      <rPr>
        <sz val="12"/>
        <rFont val="標楷體"/>
        <family val="4"/>
        <charset val="136"/>
      </rPr>
      <t>蘇拉颱風期間南山村加油站旁野溪及土石流潛勢溪流宜縣</t>
    </r>
    <r>
      <rPr>
        <sz val="12"/>
        <rFont val="Times New Roman"/>
        <family val="1"/>
      </rPr>
      <t xml:space="preserve">DF079 </t>
    </r>
    <r>
      <rPr>
        <sz val="12"/>
        <rFont val="標楷體"/>
        <family val="4"/>
        <charset val="136"/>
      </rPr>
      <t>溪水暴漲，水流沖刷鄰近農田造成洪水災害。</t>
    </r>
    <phoneticPr fontId="5" type="noConversion"/>
  </si>
  <si>
    <t>C1U720</t>
  </si>
  <si>
    <r>
      <rPr>
        <sz val="12"/>
        <rFont val="標楷體"/>
        <family val="4"/>
        <charset val="136"/>
      </rPr>
      <t>南山</t>
    </r>
    <phoneticPr fontId="5" type="noConversion"/>
  </si>
  <si>
    <r>
      <rPr>
        <sz val="12"/>
        <rFont val="標楷體"/>
        <family val="4"/>
        <charset val="136"/>
      </rPr>
      <t>志航橋</t>
    </r>
  </si>
  <si>
    <r>
      <rPr>
        <sz val="12"/>
        <rFont val="標楷體"/>
        <family val="4"/>
        <charset val="136"/>
      </rPr>
      <t>茂安村</t>
    </r>
  </si>
  <si>
    <r>
      <rPr>
        <sz val="12"/>
        <rFont val="標楷體"/>
        <family val="4"/>
        <charset val="136"/>
      </rPr>
      <t>宜縣</t>
    </r>
    <r>
      <rPr>
        <sz val="12"/>
        <rFont val="Times New Roman"/>
        <family val="1"/>
      </rPr>
      <t>DF144</t>
    </r>
  </si>
  <si>
    <r>
      <rPr>
        <sz val="12"/>
        <rFont val="標楷體"/>
        <family val="4"/>
        <charset val="136"/>
      </rPr>
      <t>志航橋野溪溪水暴漲，雜木及土砂堵塞版橋通水斷面致溪水溢流，造成版橋與右岸民宅遭洪水災害。</t>
    </r>
    <phoneticPr fontId="5" type="noConversion"/>
  </si>
  <si>
    <t>C1U720</t>
    <phoneticPr fontId="5" type="noConversion"/>
  </si>
  <si>
    <r>
      <rPr>
        <sz val="12"/>
        <rFont val="標楷體"/>
        <family val="4"/>
        <charset val="136"/>
      </rPr>
      <t>柑仔橋</t>
    </r>
  </si>
  <si>
    <r>
      <rPr>
        <sz val="12"/>
        <rFont val="標楷體"/>
        <family val="4"/>
        <charset val="136"/>
      </rPr>
      <t>宜縣</t>
    </r>
    <r>
      <rPr>
        <sz val="12"/>
        <rFont val="Times New Roman"/>
        <family val="1"/>
      </rPr>
      <t>DF146</t>
    </r>
    <phoneticPr fontId="5" type="noConversion"/>
  </si>
  <si>
    <r>
      <rPr>
        <sz val="12"/>
        <rFont val="標楷體"/>
        <family val="4"/>
        <charset val="136"/>
      </rPr>
      <t>蘇拉颱風造成柑仔橋上游坡地崩塌，崩塌土石受到豪雨運移至柑仔橋野溪河道，造成河道堵塞，溪水溢淹沖毀右岸民宅兩戶。</t>
    </r>
    <phoneticPr fontId="5" type="noConversion"/>
  </si>
  <si>
    <r>
      <rPr>
        <sz val="12"/>
        <rFont val="標楷體"/>
        <family val="4"/>
        <charset val="136"/>
      </rPr>
      <t>如苑山莊</t>
    </r>
  </si>
  <si>
    <r>
      <rPr>
        <sz val="12"/>
        <rFont val="標楷體"/>
        <family val="4"/>
        <charset val="136"/>
      </rPr>
      <t>南庄鄉</t>
    </r>
  </si>
  <si>
    <r>
      <rPr>
        <sz val="12"/>
        <rFont val="標楷體"/>
        <family val="4"/>
        <charset val="136"/>
      </rPr>
      <t>南富村</t>
    </r>
  </si>
  <si>
    <r>
      <rPr>
        <sz val="12"/>
        <rFont val="標楷體"/>
        <family val="4"/>
        <charset val="136"/>
      </rPr>
      <t>苗栗縣南庄鄉如苑山莊於蘇拉颱風侵台期間，</t>
    </r>
    <r>
      <rPr>
        <sz val="12"/>
        <rFont val="Times New Roman"/>
        <family val="1"/>
      </rPr>
      <t xml:space="preserve">8
</t>
    </r>
    <r>
      <rPr>
        <sz val="12"/>
        <rFont val="標楷體"/>
        <family val="4"/>
        <charset val="136"/>
      </rPr>
      <t>月</t>
    </r>
    <r>
      <rPr>
        <sz val="12"/>
        <rFont val="Times New Roman"/>
        <family val="1"/>
      </rPr>
      <t xml:space="preserve">03 </t>
    </r>
    <r>
      <rPr>
        <sz val="12"/>
        <rFont val="標楷體"/>
        <family val="4"/>
        <charset val="136"/>
      </rPr>
      <t>日後方邊坡發生崩塌災害，土砂崩落直接撞毀如苑山莊房舍，崩落土砂堆置聯外道路，造成道路中斷。</t>
    </r>
    <phoneticPr fontId="5" type="noConversion"/>
  </si>
  <si>
    <t>C0E430</t>
  </si>
  <si>
    <r>
      <rPr>
        <sz val="12"/>
        <rFont val="標楷體"/>
        <family val="4"/>
        <charset val="136"/>
      </rPr>
      <t>南庄</t>
    </r>
    <phoneticPr fontId="5" type="noConversion"/>
  </si>
  <si>
    <r>
      <rPr>
        <sz val="12"/>
        <rFont val="標楷體"/>
        <family val="4"/>
        <charset val="136"/>
      </rPr>
      <t>米羅產業道路</t>
    </r>
  </si>
  <si>
    <r>
      <rPr>
        <sz val="12"/>
        <rFont val="標楷體"/>
        <family val="4"/>
        <charset val="136"/>
      </rPr>
      <t>蘇拉颱風期間連日豪雨造成米羅產業道路旁
農田上邊坡發生崩塌災害，崩塌地寬約</t>
    </r>
    <r>
      <rPr>
        <sz val="12"/>
        <rFont val="Times New Roman"/>
        <family val="1"/>
      </rPr>
      <t>80m</t>
    </r>
    <r>
      <rPr>
        <sz val="12"/>
        <rFont val="標楷體"/>
        <family val="4"/>
        <charset val="136"/>
      </rPr>
      <t>，長約</t>
    </r>
    <r>
      <rPr>
        <sz val="12"/>
        <rFont val="Times New Roman"/>
        <family val="1"/>
      </rPr>
      <t>200m</t>
    </r>
    <r>
      <rPr>
        <sz val="12"/>
        <rFont val="標楷體"/>
        <family val="4"/>
        <charset val="136"/>
      </rPr>
      <t>，崩落土砂掩埋下方農田、房舍及道路，造成</t>
    </r>
    <r>
      <rPr>
        <sz val="12"/>
        <rFont val="Times New Roman"/>
        <family val="1"/>
      </rPr>
      <t xml:space="preserve">2 </t>
    </r>
    <r>
      <rPr>
        <sz val="12"/>
        <rFont val="標楷體"/>
        <family val="4"/>
        <charset val="136"/>
      </rPr>
      <t>人死亡。</t>
    </r>
    <phoneticPr fontId="5" type="noConversion"/>
  </si>
  <si>
    <r>
      <rPr>
        <sz val="12"/>
        <rFont val="標楷體"/>
        <family val="4"/>
        <charset val="136"/>
      </rPr>
      <t>台</t>
    </r>
    <r>
      <rPr>
        <sz val="12"/>
        <rFont val="Times New Roman"/>
        <family val="1"/>
      </rPr>
      <t xml:space="preserve">3 </t>
    </r>
    <r>
      <rPr>
        <sz val="12"/>
        <rFont val="標楷體"/>
        <family val="4"/>
        <charset val="136"/>
      </rPr>
      <t>線</t>
    </r>
    <r>
      <rPr>
        <sz val="12"/>
        <rFont val="Times New Roman"/>
        <family val="1"/>
      </rPr>
      <t>134.2k</t>
    </r>
  </si>
  <si>
    <r>
      <rPr>
        <sz val="12"/>
        <rFont val="標楷體"/>
        <family val="4"/>
        <charset val="136"/>
      </rPr>
      <t>大寮村</t>
    </r>
  </si>
  <si>
    <r>
      <rPr>
        <sz val="12"/>
        <rFont val="標楷體"/>
        <family val="4"/>
        <charset val="136"/>
      </rPr>
      <t>大湖鄉大寮村</t>
    </r>
    <r>
      <rPr>
        <sz val="12"/>
        <rFont val="Times New Roman"/>
        <family val="1"/>
      </rPr>
      <t xml:space="preserve">8 </t>
    </r>
    <r>
      <rPr>
        <sz val="12"/>
        <rFont val="標楷體"/>
        <family val="4"/>
        <charset val="136"/>
      </rPr>
      <t>鄰民宅後方坡地於蘇拉颱風期間發生崩塌災害，受豪雨沖刷造成土砂下移，導致土砂侵入民宅住戶。</t>
    </r>
    <phoneticPr fontId="5" type="noConversion"/>
  </si>
  <si>
    <t>C0E520</t>
  </si>
  <si>
    <r>
      <rPr>
        <sz val="12"/>
        <rFont val="標楷體"/>
        <family val="4"/>
        <charset val="136"/>
      </rPr>
      <t>嘉</t>
    </r>
    <r>
      <rPr>
        <sz val="12"/>
        <rFont val="Times New Roman"/>
        <family val="1"/>
      </rPr>
      <t>128</t>
    </r>
    <r>
      <rPr>
        <sz val="12"/>
        <rFont val="標楷體"/>
        <family val="4"/>
        <charset val="136"/>
      </rPr>
      <t>線</t>
    </r>
    <r>
      <rPr>
        <sz val="12"/>
        <rFont val="Times New Roman"/>
        <family val="1"/>
      </rPr>
      <t>(</t>
    </r>
    <r>
      <rPr>
        <sz val="12"/>
        <rFont val="標楷體"/>
        <family val="4"/>
        <charset val="136"/>
      </rPr>
      <t>仁宇橋</t>
    </r>
    <r>
      <rPr>
        <sz val="12"/>
        <rFont val="Times New Roman"/>
        <family val="1"/>
      </rPr>
      <t>)</t>
    </r>
  </si>
  <si>
    <r>
      <rPr>
        <sz val="12"/>
        <rFont val="標楷體"/>
        <family val="4"/>
        <charset val="136"/>
      </rPr>
      <t>桃源村</t>
    </r>
    <phoneticPr fontId="5" type="noConversion"/>
  </si>
  <si>
    <r>
      <rPr>
        <sz val="12"/>
        <rFont val="標楷體"/>
        <family val="4"/>
        <charset val="136"/>
      </rPr>
      <t>其他</t>
    </r>
    <phoneticPr fontId="5" type="noConversion"/>
  </si>
  <si>
    <r>
      <rPr>
        <sz val="12"/>
        <rFont val="標楷體"/>
        <family val="4"/>
        <charset val="136"/>
      </rPr>
      <t>竹崎鄉桃源村仁宇橋下游坡面因連日午後雷陣雨影響，坡面土體順沿陡峭坡面快速滑落而下，河道左側護岸遭崩塌土砂掩埋，崩落土砂堆積於水溪河道，造成洪水溢淹，農園受損。竹崎鄉公所辦理緊急清疏，維持原河道暢通。本次災害無造成人員傷亡。</t>
    </r>
    <r>
      <rPr>
        <sz val="12"/>
        <rFont val="Times New Roman"/>
        <family val="1"/>
      </rPr>
      <t xml:space="preserve"> </t>
    </r>
    <r>
      <rPr>
        <sz val="12"/>
        <rFont val="標楷體"/>
        <family val="4"/>
        <charset val="136"/>
      </rPr>
      <t>崩塌長</t>
    </r>
    <r>
      <rPr>
        <sz val="12"/>
        <rFont val="Times New Roman"/>
        <family val="1"/>
      </rPr>
      <t xml:space="preserve"> 150</t>
    </r>
    <r>
      <rPr>
        <sz val="12"/>
        <rFont val="標楷體"/>
        <family val="4"/>
        <charset val="136"/>
      </rPr>
      <t>公尺、寬</t>
    </r>
    <r>
      <rPr>
        <sz val="12"/>
        <rFont val="Times New Roman"/>
        <family val="1"/>
      </rPr>
      <t xml:space="preserve"> 60</t>
    </r>
    <r>
      <rPr>
        <sz val="12"/>
        <rFont val="標楷體"/>
        <family val="4"/>
        <charset val="136"/>
      </rPr>
      <t>公尺堆積區長</t>
    </r>
    <r>
      <rPr>
        <sz val="12"/>
        <rFont val="Times New Roman"/>
        <family val="1"/>
      </rPr>
      <t xml:space="preserve"> 80</t>
    </r>
    <r>
      <rPr>
        <sz val="12"/>
        <rFont val="標楷體"/>
        <family val="4"/>
        <charset val="136"/>
      </rPr>
      <t>公尺、寬</t>
    </r>
    <r>
      <rPr>
        <sz val="12"/>
        <rFont val="Times New Roman"/>
        <family val="1"/>
      </rPr>
      <t xml:space="preserve"> 40</t>
    </r>
    <r>
      <rPr>
        <sz val="12"/>
        <rFont val="標楷體"/>
        <family val="4"/>
        <charset val="136"/>
      </rPr>
      <t>公尺、堆積深</t>
    </r>
    <r>
      <rPr>
        <sz val="12"/>
        <rFont val="Times New Roman"/>
        <family val="1"/>
      </rPr>
      <t xml:space="preserve"> 2.5</t>
    </r>
    <r>
      <rPr>
        <sz val="12"/>
        <rFont val="標楷體"/>
        <family val="4"/>
        <charset val="136"/>
      </rPr>
      <t>公尺以上。崩塌冠部呈陡峭</t>
    </r>
    <r>
      <rPr>
        <sz val="12"/>
        <rFont val="Times New Roman"/>
        <family val="1"/>
      </rPr>
      <t>(</t>
    </r>
    <r>
      <rPr>
        <sz val="12"/>
        <rFont val="標楷體"/>
        <family val="4"/>
        <charset val="136"/>
      </rPr>
      <t>大於</t>
    </r>
    <r>
      <rPr>
        <sz val="12"/>
        <rFont val="Times New Roman"/>
        <family val="1"/>
      </rPr>
      <t xml:space="preserve"> 45%)</t>
    </r>
    <r>
      <rPr>
        <sz val="12"/>
        <rFont val="標楷體"/>
        <family val="4"/>
        <charset val="136"/>
      </rPr>
      <t>裸露岩面。</t>
    </r>
    <r>
      <rPr>
        <sz val="12"/>
        <rFont val="Times New Roman"/>
        <family val="1"/>
      </rPr>
      <t xml:space="preserve"> </t>
    </r>
    <r>
      <rPr>
        <sz val="12"/>
        <rFont val="標楷體"/>
        <family val="4"/>
        <charset val="136"/>
      </rPr>
      <t>洪水溢淹造成</t>
    </r>
    <r>
      <rPr>
        <sz val="12"/>
        <rFont val="Times New Roman"/>
        <family val="1"/>
      </rPr>
      <t xml:space="preserve"> 1</t>
    </r>
    <r>
      <rPr>
        <sz val="12"/>
        <rFont val="標楷體"/>
        <family val="4"/>
        <charset val="136"/>
      </rPr>
      <t>座農園受損。</t>
    </r>
    <r>
      <rPr>
        <sz val="12"/>
        <rFont val="Times New Roman"/>
        <family val="1"/>
      </rPr>
      <t xml:space="preserve"> 
</t>
    </r>
    <phoneticPr fontId="5" type="noConversion"/>
  </si>
  <si>
    <t>C1M490</t>
    <phoneticPr fontId="5" type="noConversion"/>
  </si>
  <si>
    <r>
      <rPr>
        <sz val="12"/>
        <rFont val="標楷體"/>
        <family val="4"/>
        <charset val="136"/>
      </rPr>
      <t>內埔</t>
    </r>
    <phoneticPr fontId="5" type="noConversion"/>
  </si>
  <si>
    <r>
      <rPr>
        <sz val="12"/>
        <rFont val="標楷體"/>
        <family val="4"/>
        <charset val="136"/>
      </rPr>
      <t>武榮村</t>
    </r>
    <r>
      <rPr>
        <sz val="12"/>
        <rFont val="Times New Roman"/>
        <family val="1"/>
      </rPr>
      <t xml:space="preserve"> 8</t>
    </r>
    <r>
      <rPr>
        <sz val="12"/>
        <rFont val="標楷體"/>
        <family val="4"/>
        <charset val="136"/>
      </rPr>
      <t>鄰</t>
    </r>
    <r>
      <rPr>
        <sz val="12"/>
        <rFont val="Times New Roman"/>
        <family val="1"/>
      </rPr>
      <t>(</t>
    </r>
    <r>
      <rPr>
        <sz val="12"/>
        <rFont val="標楷體"/>
        <family val="4"/>
        <charset val="136"/>
      </rPr>
      <t>坪林道路</t>
    </r>
    <r>
      <rPr>
        <sz val="12"/>
        <rFont val="Times New Roman"/>
        <family val="1"/>
      </rPr>
      <t>)</t>
    </r>
  </si>
  <si>
    <r>
      <rPr>
        <sz val="12"/>
        <rFont val="標楷體"/>
        <family val="4"/>
        <charset val="136"/>
      </rPr>
      <t>榮武村</t>
    </r>
    <phoneticPr fontId="5" type="noConversion"/>
  </si>
  <si>
    <r>
      <rPr>
        <sz val="12"/>
        <rFont val="標楷體"/>
        <family val="4"/>
        <charset val="136"/>
      </rPr>
      <t>蘇力颱風</t>
    </r>
    <phoneticPr fontId="5" type="noConversion"/>
  </si>
  <si>
    <r>
      <rPr>
        <sz val="12"/>
        <rFont val="標楷體"/>
        <family val="4"/>
        <charset val="136"/>
      </rPr>
      <t>蘇力颱風所挾帶之豪雨影響，造成通往武榮村</t>
    </r>
    <r>
      <rPr>
        <sz val="12"/>
        <rFont val="Times New Roman"/>
        <family val="1"/>
      </rPr>
      <t xml:space="preserve"> 8 </t>
    </r>
    <r>
      <rPr>
        <sz val="12"/>
        <rFont val="標楷體"/>
        <family val="4"/>
        <charset val="136"/>
      </rPr>
      <t>鄰道路</t>
    </r>
    <r>
      <rPr>
        <sz val="12"/>
        <rFont val="Times New Roman"/>
        <family val="1"/>
      </rPr>
      <t>(</t>
    </r>
    <r>
      <rPr>
        <sz val="12"/>
        <rFont val="標楷體"/>
        <family val="4"/>
        <charset val="136"/>
      </rPr>
      <t>坪林道路</t>
    </r>
    <r>
      <rPr>
        <sz val="12"/>
        <rFont val="Times New Roman"/>
        <family val="1"/>
      </rPr>
      <t>)</t>
    </r>
    <r>
      <rPr>
        <sz val="12"/>
        <rFont val="標楷體"/>
        <family val="4"/>
        <charset val="136"/>
      </rPr>
      <t>下邊坡發生崩塌，岩層土石塊體向下滑動，坡面已可見陡峭岩面，道路交通中斷。</t>
    </r>
    <r>
      <rPr>
        <sz val="12"/>
        <rFont val="Times New Roman"/>
        <family val="1"/>
      </rPr>
      <t xml:space="preserve"> </t>
    </r>
    <r>
      <rPr>
        <sz val="12"/>
        <rFont val="標楷體"/>
        <family val="4"/>
        <charset val="136"/>
      </rPr>
      <t>崩塌地概估規模，長約</t>
    </r>
    <r>
      <rPr>
        <sz val="12"/>
        <rFont val="Times New Roman"/>
        <family val="1"/>
      </rPr>
      <t xml:space="preserve"> 80 </t>
    </r>
    <r>
      <rPr>
        <sz val="12"/>
        <rFont val="標楷體"/>
        <family val="4"/>
        <charset val="136"/>
      </rPr>
      <t>公尺、寬約</t>
    </r>
    <r>
      <rPr>
        <sz val="12"/>
        <rFont val="Times New Roman"/>
        <family val="1"/>
      </rPr>
      <t xml:space="preserve"> 70 </t>
    </r>
    <r>
      <rPr>
        <sz val="12"/>
        <rFont val="標楷體"/>
        <family val="4"/>
        <charset val="136"/>
      </rPr>
      <t>公尺，坡度約</t>
    </r>
    <r>
      <rPr>
        <sz val="12"/>
        <rFont val="Times New Roman"/>
        <family val="1"/>
      </rPr>
      <t xml:space="preserve"> 30~35 </t>
    </r>
    <r>
      <rPr>
        <sz val="12"/>
        <rFont val="標楷體"/>
        <family val="4"/>
        <charset val="136"/>
      </rPr>
      <t>度，最大崩塌深度約</t>
    </r>
    <r>
      <rPr>
        <sz val="12"/>
        <rFont val="Times New Roman"/>
        <family val="1"/>
      </rPr>
      <t xml:space="preserve">2.5 </t>
    </r>
    <r>
      <rPr>
        <sz val="12"/>
        <rFont val="標楷體"/>
        <family val="4"/>
        <charset val="136"/>
      </rPr>
      <t>公尺。部分崩塌坡面目視已可見岩層出露，坡面土石沿岩面滑落。</t>
    </r>
    <r>
      <rPr>
        <sz val="12"/>
        <rFont val="Times New Roman"/>
        <family val="1"/>
      </rPr>
      <t xml:space="preserve">  </t>
    </r>
    <r>
      <rPr>
        <sz val="12"/>
        <rFont val="標楷體"/>
        <family val="4"/>
        <charset val="136"/>
      </rPr>
      <t>苗</t>
    </r>
    <r>
      <rPr>
        <sz val="12"/>
        <rFont val="Times New Roman"/>
        <family val="1"/>
      </rPr>
      <t xml:space="preserve"> 55</t>
    </r>
    <r>
      <rPr>
        <sz val="12"/>
        <rFont val="標楷體"/>
        <family val="4"/>
        <charset val="136"/>
      </rPr>
      <t>線道路中斷約</t>
    </r>
    <r>
      <rPr>
        <sz val="12"/>
        <rFont val="Times New Roman"/>
        <family val="1"/>
      </rPr>
      <t xml:space="preserve"> 70</t>
    </r>
    <r>
      <rPr>
        <sz val="12"/>
        <rFont val="標楷體"/>
        <family val="4"/>
        <charset val="136"/>
      </rPr>
      <t>公尺、下方農地堆積土砂掩蓋聯絡道路中斷</t>
    </r>
    <r>
      <rPr>
        <sz val="12"/>
        <rFont val="Times New Roman"/>
        <family val="1"/>
      </rPr>
      <t xml:space="preserve"> 100</t>
    </r>
    <r>
      <rPr>
        <sz val="12"/>
        <rFont val="標楷體"/>
        <family val="4"/>
        <charset val="136"/>
      </rPr>
      <t>公尺。</t>
    </r>
    <r>
      <rPr>
        <sz val="12"/>
        <rFont val="Times New Roman"/>
        <family val="1"/>
      </rPr>
      <t xml:space="preserve"> 
</t>
    </r>
    <phoneticPr fontId="5" type="noConversion"/>
  </si>
  <si>
    <t>C1E710</t>
  </si>
  <si>
    <r>
      <rPr>
        <sz val="12"/>
        <rFont val="標楷體"/>
        <family val="4"/>
        <charset val="136"/>
      </rPr>
      <t>馬拉邦山</t>
    </r>
    <phoneticPr fontId="5" type="noConversion"/>
  </si>
  <si>
    <r>
      <rPr>
        <sz val="12"/>
        <rFont val="標楷體"/>
        <family val="4"/>
        <charset val="136"/>
      </rPr>
      <t>清龍宮</t>
    </r>
    <r>
      <rPr>
        <sz val="12"/>
        <rFont val="Times New Roman"/>
        <family val="1"/>
      </rPr>
      <t>(</t>
    </r>
    <r>
      <rPr>
        <sz val="12"/>
        <rFont val="標楷體"/>
        <family val="4"/>
        <charset val="136"/>
      </rPr>
      <t>台</t>
    </r>
    <r>
      <rPr>
        <sz val="12"/>
        <rFont val="Times New Roman"/>
        <family val="1"/>
      </rPr>
      <t xml:space="preserve"> 20</t>
    </r>
    <r>
      <rPr>
        <sz val="12"/>
        <rFont val="標楷體"/>
        <family val="4"/>
        <charset val="136"/>
      </rPr>
      <t>線</t>
    </r>
    <r>
      <rPr>
        <sz val="12"/>
        <rFont val="Times New Roman"/>
        <family val="1"/>
      </rPr>
      <t xml:space="preserve"> 74.5K) </t>
    </r>
  </si>
  <si>
    <r>
      <rPr>
        <sz val="12"/>
        <rFont val="標楷體"/>
        <family val="4"/>
        <charset val="136"/>
      </rPr>
      <t>荖濃里</t>
    </r>
    <phoneticPr fontId="5" type="noConversion"/>
  </si>
  <si>
    <r>
      <rPr>
        <sz val="12"/>
        <rFont val="標楷體"/>
        <family val="4"/>
        <charset val="136"/>
      </rPr>
      <t>蘇力颱風所挾帶之豪雨影響，造成台</t>
    </r>
    <r>
      <rPr>
        <sz val="12"/>
        <rFont val="Times New Roman"/>
        <family val="1"/>
      </rPr>
      <t xml:space="preserve">20 </t>
    </r>
    <r>
      <rPr>
        <sz val="12"/>
        <rFont val="標楷體"/>
        <family val="4"/>
        <charset val="136"/>
      </rPr>
      <t>線旁土石流潛勢溪流高市</t>
    </r>
    <r>
      <rPr>
        <sz val="12"/>
        <rFont val="Times New Roman"/>
        <family val="1"/>
      </rPr>
      <t xml:space="preserve"> DF097 </t>
    </r>
    <r>
      <rPr>
        <sz val="12"/>
        <rFont val="標楷體"/>
        <family val="4"/>
        <charset val="136"/>
      </rPr>
      <t>發生洪水災情，溪床堆積土砂粒徑較小且均勻、水砂堵塞舊頂濃橋造成洪水溢流保全對象致災。</t>
    </r>
    <r>
      <rPr>
        <sz val="12"/>
        <rFont val="Times New Roman"/>
        <family val="1"/>
      </rPr>
      <t xml:space="preserve">  </t>
    </r>
    <r>
      <rPr>
        <sz val="12"/>
        <rFont val="標楷體"/>
        <family val="4"/>
        <charset val="136"/>
      </rPr>
      <t>舊頂濃橋通洪斷面不足</t>
    </r>
    <r>
      <rPr>
        <sz val="12"/>
        <rFont val="Times New Roman"/>
        <family val="1"/>
      </rPr>
      <t xml:space="preserve"> 1</t>
    </r>
    <r>
      <rPr>
        <sz val="12"/>
        <rFont val="標楷體"/>
        <family val="4"/>
        <charset val="136"/>
      </rPr>
      <t>公尺。溪床目視多為均勻土砂堆積。</t>
    </r>
    <r>
      <rPr>
        <sz val="12"/>
        <rFont val="Times New Roman"/>
        <family val="1"/>
      </rPr>
      <t xml:space="preserve">  </t>
    </r>
    <r>
      <rPr>
        <sz val="12"/>
        <rFont val="標楷體"/>
        <family val="4"/>
        <charset val="136"/>
      </rPr>
      <t>清龍宮旁</t>
    </r>
    <r>
      <rPr>
        <sz val="12"/>
        <rFont val="Times New Roman"/>
        <family val="1"/>
      </rPr>
      <t xml:space="preserve"> 1</t>
    </r>
    <r>
      <rPr>
        <sz val="12"/>
        <rFont val="標楷體"/>
        <family val="4"/>
        <charset val="136"/>
      </rPr>
      <t>戶民宅受災，住戶於豪雨發布前已由村長及消防單位協助，先前離開住處依親避難，無人傷亡。</t>
    </r>
    <r>
      <rPr>
        <sz val="12"/>
        <rFont val="Times New Roman"/>
        <family val="1"/>
      </rPr>
      <t xml:space="preserve"> 
</t>
    </r>
    <phoneticPr fontId="5" type="noConversion"/>
  </si>
  <si>
    <r>
      <rPr>
        <sz val="12"/>
        <rFont val="標楷體"/>
        <family val="4"/>
        <charset val="136"/>
      </rPr>
      <t>白冷國小</t>
    </r>
  </si>
  <si>
    <r>
      <rPr>
        <sz val="12"/>
        <rFont val="標楷體"/>
        <family val="4"/>
        <charset val="136"/>
      </rPr>
      <t>蘇力颱風挾帶之受豪雨影響，白冷國小旁野溪爆發土石流災情；上方聯絡道路路基崩塌，崩塌土砂沿白冷國小旁野溪流下明顯堆積白冷國小校門。野溪河道與道路雨水溝遭土砂掩埋，豪雨宣洩不及洪水沿天輪巷漫流，沿路民宅遭洪水入侵。</t>
    </r>
    <r>
      <rPr>
        <sz val="12"/>
        <rFont val="Times New Roman"/>
        <family val="1"/>
      </rPr>
      <t xml:space="preserve"> </t>
    </r>
    <r>
      <rPr>
        <sz val="12"/>
        <rFont val="標楷體"/>
        <family val="4"/>
        <charset val="136"/>
      </rPr>
      <t>土砂堆積面積約</t>
    </r>
    <r>
      <rPr>
        <sz val="12"/>
        <rFont val="Times New Roman"/>
        <family val="1"/>
      </rPr>
      <t xml:space="preserve"> 900</t>
    </r>
    <r>
      <rPr>
        <sz val="12"/>
        <rFont val="標楷體"/>
        <family val="4"/>
        <charset val="136"/>
      </rPr>
      <t>平方公尺，堆積土方量約</t>
    </r>
    <r>
      <rPr>
        <sz val="12"/>
        <rFont val="Times New Roman"/>
        <family val="1"/>
      </rPr>
      <t xml:space="preserve"> 600</t>
    </r>
    <r>
      <rPr>
        <sz val="12"/>
        <rFont val="標楷體"/>
        <family val="4"/>
        <charset val="136"/>
      </rPr>
      <t>立方公尺，水砂沿天輪巷道路漫流長度約</t>
    </r>
    <r>
      <rPr>
        <sz val="12"/>
        <rFont val="Times New Roman"/>
        <family val="1"/>
      </rPr>
      <t xml:space="preserve"> 100</t>
    </r>
    <r>
      <rPr>
        <sz val="12"/>
        <rFont val="標楷體"/>
        <family val="4"/>
        <charset val="136"/>
      </rPr>
      <t>公尺。</t>
    </r>
    <r>
      <rPr>
        <sz val="12"/>
        <rFont val="Times New Roman"/>
        <family val="1"/>
      </rPr>
      <t xml:space="preserve">  </t>
    </r>
    <r>
      <rPr>
        <sz val="12"/>
        <rFont val="標楷體"/>
        <family val="4"/>
        <charset val="136"/>
      </rPr>
      <t>土石流沖毀白冷國小門口設施，並入侵部分校區；天輪巷</t>
    </r>
    <r>
      <rPr>
        <sz val="12"/>
        <rFont val="Times New Roman"/>
        <family val="1"/>
      </rPr>
      <t xml:space="preserve"> 4 </t>
    </r>
    <r>
      <rPr>
        <sz val="12"/>
        <rFont val="標楷體"/>
        <family val="4"/>
        <charset val="136"/>
      </rPr>
      <t>戶民宅遭土砂入侵；上方聯絡道路崩塌流失路基約</t>
    </r>
    <r>
      <rPr>
        <sz val="12"/>
        <rFont val="Times New Roman"/>
        <family val="1"/>
      </rPr>
      <t xml:space="preserve"> 20</t>
    </r>
    <r>
      <rPr>
        <sz val="12"/>
        <rFont val="標楷體"/>
        <family val="4"/>
        <charset val="136"/>
      </rPr>
      <t>公尺。</t>
    </r>
    <r>
      <rPr>
        <sz val="12"/>
        <rFont val="Times New Roman"/>
        <family val="1"/>
      </rPr>
      <t xml:space="preserve"> </t>
    </r>
    <phoneticPr fontId="5" type="noConversion"/>
  </si>
  <si>
    <t>C1F9C</t>
  </si>
  <si>
    <r>
      <rPr>
        <sz val="12"/>
        <rFont val="標楷體"/>
        <family val="4"/>
        <charset val="136"/>
      </rPr>
      <t>白冷國小</t>
    </r>
    <phoneticPr fontId="5" type="noConversion"/>
  </si>
  <si>
    <r>
      <rPr>
        <sz val="12"/>
        <rFont val="標楷體"/>
        <family val="4"/>
        <charset val="136"/>
      </rPr>
      <t>中正路</t>
    </r>
    <r>
      <rPr>
        <sz val="12"/>
        <rFont val="Times New Roman"/>
        <family val="1"/>
      </rPr>
      <t xml:space="preserve"> 367</t>
    </r>
    <r>
      <rPr>
        <sz val="12"/>
        <rFont val="標楷體"/>
        <family val="4"/>
        <charset val="136"/>
      </rPr>
      <t>巷</t>
    </r>
    <r>
      <rPr>
        <sz val="12"/>
        <rFont val="Times New Roman"/>
        <family val="1"/>
      </rPr>
      <t xml:space="preserve"> 69-2 </t>
    </r>
    <r>
      <rPr>
        <sz val="12"/>
        <rFont val="標楷體"/>
        <family val="4"/>
        <charset val="136"/>
      </rPr>
      <t>號民宅</t>
    </r>
  </si>
  <si>
    <r>
      <rPr>
        <sz val="12"/>
        <rFont val="標楷體"/>
        <family val="4"/>
        <charset val="136"/>
      </rPr>
      <t>投縣</t>
    </r>
    <r>
      <rPr>
        <sz val="12"/>
        <rFont val="Times New Roman"/>
        <family val="1"/>
      </rPr>
      <t>DF080</t>
    </r>
    <phoneticPr fontId="5" type="noConversion"/>
  </si>
  <si>
    <r>
      <rPr>
        <sz val="12"/>
        <rFont val="標楷體"/>
        <family val="4"/>
        <charset val="136"/>
      </rPr>
      <t>受蘇力颱風所挾帶之豪雨影響，投縣</t>
    </r>
    <r>
      <rPr>
        <sz val="12"/>
        <rFont val="Times New Roman"/>
        <family val="1"/>
      </rPr>
      <t xml:space="preserve"> DF080 </t>
    </r>
    <r>
      <rPr>
        <sz val="12"/>
        <rFont val="標楷體"/>
        <family val="4"/>
        <charset val="136"/>
      </rPr>
      <t>發生土石流災害，沖毀溪流護岸及</t>
    </r>
    <r>
      <rPr>
        <sz val="12"/>
        <rFont val="Times New Roman"/>
        <family val="1"/>
      </rPr>
      <t>69-2</t>
    </r>
    <r>
      <rPr>
        <sz val="12"/>
        <rFont val="標楷體"/>
        <family val="4"/>
        <charset val="136"/>
      </rPr>
      <t>號民宅，大量土石淤積於河道；洪水溢淹至下游民宅受災。石流規模概估長度約</t>
    </r>
    <r>
      <rPr>
        <sz val="12"/>
        <rFont val="Times New Roman"/>
        <family val="1"/>
      </rPr>
      <t xml:space="preserve"> 150</t>
    </r>
    <r>
      <rPr>
        <sz val="12"/>
        <rFont val="標楷體"/>
        <family val="4"/>
        <charset val="136"/>
      </rPr>
      <t>公尺，寬度</t>
    </r>
    <r>
      <rPr>
        <sz val="12"/>
        <rFont val="Times New Roman"/>
        <family val="1"/>
      </rPr>
      <t xml:space="preserve"> 30 </t>
    </r>
    <r>
      <rPr>
        <sz val="12"/>
        <rFont val="標楷體"/>
        <family val="4"/>
        <charset val="136"/>
      </rPr>
      <t>公尺，深度約</t>
    </r>
    <r>
      <rPr>
        <sz val="12"/>
        <rFont val="Times New Roman"/>
        <family val="1"/>
      </rPr>
      <t xml:space="preserve"> 1 </t>
    </r>
    <r>
      <rPr>
        <sz val="12"/>
        <rFont val="標楷體"/>
        <family val="4"/>
        <charset val="136"/>
      </rPr>
      <t>公尺，土砂堆積面積約</t>
    </r>
    <r>
      <rPr>
        <sz val="12"/>
        <rFont val="Times New Roman"/>
        <family val="1"/>
      </rPr>
      <t xml:space="preserve"> 2250</t>
    </r>
    <r>
      <rPr>
        <sz val="12"/>
        <rFont val="標楷體"/>
        <family val="4"/>
        <charset val="136"/>
      </rPr>
      <t>平方公尺，土砂量約</t>
    </r>
    <r>
      <rPr>
        <sz val="12"/>
        <rFont val="Times New Roman"/>
        <family val="1"/>
      </rPr>
      <t xml:space="preserve"> 1500</t>
    </r>
    <r>
      <rPr>
        <sz val="12"/>
        <rFont val="標楷體"/>
        <family val="4"/>
        <charset val="136"/>
      </rPr>
      <t>立方公尺。</t>
    </r>
    <r>
      <rPr>
        <sz val="12"/>
        <rFont val="Times New Roman"/>
        <family val="1"/>
      </rPr>
      <t xml:space="preserve">  1 </t>
    </r>
    <r>
      <rPr>
        <sz val="12"/>
        <rFont val="標楷體"/>
        <family val="4"/>
        <charset val="136"/>
      </rPr>
      <t>戶民宅沖毀，</t>
    </r>
    <r>
      <rPr>
        <sz val="12"/>
        <rFont val="Times New Roman"/>
        <family val="1"/>
      </rPr>
      <t xml:space="preserve">1 </t>
    </r>
    <r>
      <rPr>
        <sz val="12"/>
        <rFont val="標楷體"/>
        <family val="4"/>
        <charset val="136"/>
      </rPr>
      <t>戶民遭土石入侵受災。</t>
    </r>
    <r>
      <rPr>
        <sz val="12"/>
        <rFont val="Times New Roman"/>
        <family val="1"/>
      </rPr>
      <t xml:space="preserve"> </t>
    </r>
    <phoneticPr fontId="5" type="noConversion"/>
  </si>
  <si>
    <r>
      <rPr>
        <sz val="12"/>
        <rFont val="標楷體"/>
        <family val="4"/>
        <charset val="136"/>
      </rPr>
      <t>中心嶺部落</t>
    </r>
    <r>
      <rPr>
        <sz val="12"/>
        <rFont val="Times New Roman"/>
        <family val="1"/>
      </rPr>
      <t>(</t>
    </r>
    <r>
      <rPr>
        <sz val="12"/>
        <rFont val="標楷體"/>
        <family val="4"/>
        <charset val="136"/>
      </rPr>
      <t>行鼓吊橋</t>
    </r>
    <r>
      <rPr>
        <sz val="12"/>
        <rFont val="Times New Roman"/>
        <family val="1"/>
      </rPr>
      <t>)</t>
    </r>
  </si>
  <si>
    <r>
      <rPr>
        <sz val="12"/>
        <rFont val="標楷體"/>
        <family val="4"/>
        <charset val="136"/>
      </rPr>
      <t>阿里山鄉</t>
    </r>
    <phoneticPr fontId="5" type="noConversion"/>
  </si>
  <si>
    <r>
      <rPr>
        <sz val="12"/>
        <rFont val="標楷體"/>
        <family val="4"/>
        <charset val="136"/>
      </rPr>
      <t>豐山村</t>
    </r>
    <phoneticPr fontId="5" type="noConversion"/>
  </si>
  <si>
    <r>
      <rPr>
        <sz val="12"/>
        <rFont val="標楷體"/>
        <family val="4"/>
        <charset val="136"/>
      </rPr>
      <t>嘉縣</t>
    </r>
    <r>
      <rPr>
        <sz val="12"/>
        <rFont val="Times New Roman"/>
        <family val="1"/>
      </rPr>
      <t>DF039</t>
    </r>
  </si>
  <si>
    <r>
      <t xml:space="preserve">0602 </t>
    </r>
    <r>
      <rPr>
        <sz val="12"/>
        <rFont val="標楷體"/>
        <family val="4"/>
        <charset val="136"/>
      </rPr>
      <t>地震造成獅子頭山原裸露坡地再次發生崩塌，為本次土石流災害料源。</t>
    </r>
    <r>
      <rPr>
        <sz val="12"/>
        <rFont val="Times New Roman"/>
        <family val="1"/>
      </rPr>
      <t xml:space="preserve"> </t>
    </r>
    <r>
      <rPr>
        <sz val="12"/>
        <rFont val="標楷體"/>
        <family val="4"/>
        <charset val="136"/>
      </rPr>
      <t>阿里山鄉豐山村連續數日午後雷陣雨，乾坑溪</t>
    </r>
    <r>
      <rPr>
        <sz val="12"/>
        <rFont val="Times New Roman"/>
        <family val="1"/>
      </rPr>
      <t>(</t>
    </r>
    <r>
      <rPr>
        <sz val="12"/>
        <rFont val="標楷體"/>
        <family val="4"/>
        <charset val="136"/>
      </rPr>
      <t>嘉縣</t>
    </r>
    <r>
      <rPr>
        <sz val="12"/>
        <rFont val="Times New Roman"/>
        <family val="1"/>
      </rPr>
      <t xml:space="preserve"> DF039)</t>
    </r>
    <r>
      <rPr>
        <sz val="12"/>
        <rFont val="標楷體"/>
        <family val="4"/>
        <charset val="136"/>
      </rPr>
      <t>爆發土石流災害。</t>
    </r>
    <r>
      <rPr>
        <sz val="12"/>
        <rFont val="Times New Roman"/>
        <family val="1"/>
      </rPr>
      <t xml:space="preserve"> </t>
    </r>
    <r>
      <rPr>
        <sz val="12"/>
        <rFont val="標楷體"/>
        <family val="4"/>
        <charset val="136"/>
      </rPr>
      <t>溪水挾帶上游崩塌土砂沖刷河道兩側，並沖毀行鼓吊橋上游中心嶺部落聯絡道過水路面。中心嶺部落聯絡道路毀損約</t>
    </r>
    <r>
      <rPr>
        <sz val="12"/>
        <rFont val="Times New Roman"/>
        <family val="1"/>
      </rPr>
      <t xml:space="preserve"> 75</t>
    </r>
    <r>
      <rPr>
        <sz val="12"/>
        <rFont val="標楷體"/>
        <family val="4"/>
        <charset val="136"/>
      </rPr>
      <t>公尺。</t>
    </r>
    <phoneticPr fontId="5" type="noConversion"/>
  </si>
  <si>
    <r>
      <rPr>
        <sz val="12"/>
        <rFont val="標楷體"/>
        <family val="4"/>
        <charset val="136"/>
      </rPr>
      <t>筆石橋</t>
    </r>
    <r>
      <rPr>
        <sz val="12"/>
        <rFont val="Times New Roman"/>
        <family val="1"/>
      </rPr>
      <t>(</t>
    </r>
    <r>
      <rPr>
        <sz val="12"/>
        <rFont val="標楷體"/>
        <family val="4"/>
        <charset val="136"/>
      </rPr>
      <t>新中橫公路</t>
    </r>
    <r>
      <rPr>
        <sz val="12"/>
        <rFont val="Times New Roman"/>
        <family val="1"/>
      </rPr>
      <t>95.5K</t>
    </r>
    <r>
      <rPr>
        <sz val="12"/>
        <rFont val="標楷體"/>
        <family val="4"/>
        <charset val="136"/>
      </rPr>
      <t>處筆石段</t>
    </r>
    <r>
      <rPr>
        <sz val="12"/>
        <rFont val="Times New Roman"/>
        <family val="1"/>
      </rPr>
      <t>)</t>
    </r>
    <phoneticPr fontId="5" type="noConversion"/>
  </si>
  <si>
    <r>
      <rPr>
        <sz val="12"/>
        <rFont val="標楷體"/>
        <family val="4"/>
        <charset val="136"/>
      </rPr>
      <t>望美村</t>
    </r>
    <phoneticPr fontId="5" type="noConversion"/>
  </si>
  <si>
    <r>
      <t>0602</t>
    </r>
    <r>
      <rPr>
        <sz val="12"/>
        <rFont val="標楷體"/>
        <family val="4"/>
        <charset val="136"/>
      </rPr>
      <t>地震</t>
    </r>
    <phoneticPr fontId="5" type="noConversion"/>
  </si>
  <si>
    <r>
      <rPr>
        <sz val="12"/>
        <rFont val="標楷體"/>
        <family val="4"/>
        <charset val="136"/>
      </rPr>
      <t>南投縣仁愛鄉盲斷層引發芮氏規模</t>
    </r>
    <r>
      <rPr>
        <sz val="12"/>
        <rFont val="Times New Roman"/>
        <family val="1"/>
      </rPr>
      <t>6.3</t>
    </r>
    <r>
      <rPr>
        <sz val="12"/>
        <rFont val="標楷體"/>
        <family val="4"/>
        <charset val="136"/>
      </rPr>
      <t>地震，造成信義鄉羅娜村發生坡面崩塌。</t>
    </r>
    <r>
      <rPr>
        <sz val="12"/>
        <rFont val="Times New Roman"/>
        <family val="1"/>
      </rPr>
      <t xml:space="preserve"> </t>
    </r>
    <r>
      <rPr>
        <sz val="12"/>
        <rFont val="標楷體"/>
        <family val="4"/>
        <charset val="136"/>
      </rPr>
      <t>地震前坡面植生稀疏且多處裸露，本次地震後原裸露面受風化作用及地震外力影響，造成表層風化岩屑沿陡斜坡面滑落。</t>
    </r>
    <r>
      <rPr>
        <sz val="12"/>
        <rFont val="Times New Roman"/>
        <family val="1"/>
      </rPr>
      <t xml:space="preserve">  </t>
    </r>
    <r>
      <rPr>
        <sz val="12"/>
        <rFont val="標楷體"/>
        <family val="4"/>
        <charset val="136"/>
      </rPr>
      <t>破碎之土砂岩屑堆積厚度小於</t>
    </r>
    <r>
      <rPr>
        <sz val="12"/>
        <rFont val="Times New Roman"/>
        <family val="1"/>
      </rPr>
      <t xml:space="preserve"> 1</t>
    </r>
    <r>
      <rPr>
        <sz val="12"/>
        <rFont val="標楷體"/>
        <family val="4"/>
        <charset val="136"/>
      </rPr>
      <t>公尺，暫無影響陳有蘭溪河道通洪，本災例無造成人員傷亡。</t>
    </r>
    <r>
      <rPr>
        <sz val="12"/>
        <rFont val="Times New Roman"/>
        <family val="1"/>
      </rPr>
      <t xml:space="preserve"> </t>
    </r>
    <phoneticPr fontId="5" type="noConversion"/>
  </si>
  <si>
    <r>
      <rPr>
        <sz val="12"/>
        <rFont val="標楷體"/>
        <family val="4"/>
        <charset val="136"/>
      </rPr>
      <t>投</t>
    </r>
    <r>
      <rPr>
        <sz val="12"/>
        <rFont val="Times New Roman"/>
        <family val="1"/>
      </rPr>
      <t>56</t>
    </r>
    <r>
      <rPr>
        <sz val="12"/>
        <rFont val="標楷體"/>
        <family val="4"/>
        <charset val="136"/>
      </rPr>
      <t>線</t>
    </r>
    <r>
      <rPr>
        <sz val="12"/>
        <rFont val="Times New Roman"/>
        <family val="1"/>
      </rPr>
      <t xml:space="preserve"> 9K~9.5K </t>
    </r>
  </si>
  <si>
    <r>
      <rPr>
        <sz val="12"/>
        <rFont val="標楷體"/>
        <family val="4"/>
        <charset val="136"/>
      </rPr>
      <t>南投縣仁愛鄉盲斷層引發芮氏規模</t>
    </r>
    <r>
      <rPr>
        <sz val="12"/>
        <rFont val="Times New Roman"/>
        <family val="1"/>
      </rPr>
      <t xml:space="preserve">6.3 </t>
    </r>
    <r>
      <rPr>
        <sz val="12"/>
        <rFont val="標楷體"/>
        <family val="4"/>
        <charset val="136"/>
      </rPr>
      <t>地震，於鹿谷鄉鳳凰村之清水溝溪河道坡面發生崩塌，土體堆積清水溝溪河道形成堰塞湖。</t>
    </r>
    <r>
      <rPr>
        <sz val="12"/>
        <rFont val="Times New Roman"/>
        <family val="1"/>
      </rPr>
      <t xml:space="preserve"> </t>
    </r>
    <r>
      <rPr>
        <sz val="12"/>
        <rFont val="標楷體"/>
        <family val="4"/>
        <charset val="136"/>
      </rPr>
      <t>清水溝溪右河岸崩塌地規模概估，長約</t>
    </r>
    <r>
      <rPr>
        <sz val="12"/>
        <rFont val="Times New Roman"/>
        <family val="1"/>
      </rPr>
      <t>70</t>
    </r>
    <r>
      <rPr>
        <sz val="12"/>
        <rFont val="標楷體"/>
        <family val="4"/>
        <charset val="136"/>
      </rPr>
      <t>公尺、寬約</t>
    </r>
    <r>
      <rPr>
        <sz val="12"/>
        <rFont val="Times New Roman"/>
        <family val="1"/>
      </rPr>
      <t xml:space="preserve"> 35</t>
    </r>
    <r>
      <rPr>
        <sz val="12"/>
        <rFont val="標楷體"/>
        <family val="4"/>
        <charset val="136"/>
      </rPr>
      <t>公尺，坡度大於</t>
    </r>
    <r>
      <rPr>
        <sz val="12"/>
        <rFont val="Times New Roman"/>
        <family val="1"/>
      </rPr>
      <t xml:space="preserve"> 30 </t>
    </r>
    <r>
      <rPr>
        <sz val="12"/>
        <rFont val="標楷體"/>
        <family val="4"/>
        <charset val="136"/>
      </rPr>
      <t>度，最大崩塌深度約</t>
    </r>
    <r>
      <rPr>
        <sz val="12"/>
        <rFont val="Times New Roman"/>
        <family val="1"/>
      </rPr>
      <t xml:space="preserve"> 2 </t>
    </r>
    <r>
      <rPr>
        <sz val="12"/>
        <rFont val="標楷體"/>
        <family val="4"/>
        <charset val="136"/>
      </rPr>
      <t>公尺。上緣部分崩塌坡面目視已可見岩層出露，坡面土石沿岩面滑落。投</t>
    </r>
    <r>
      <rPr>
        <sz val="12"/>
        <rFont val="Times New Roman"/>
        <family val="1"/>
      </rPr>
      <t xml:space="preserve"> 56</t>
    </r>
    <r>
      <rPr>
        <sz val="12"/>
        <rFont val="標楷體"/>
        <family val="4"/>
        <charset val="136"/>
      </rPr>
      <t>線道路</t>
    </r>
    <r>
      <rPr>
        <sz val="12"/>
        <rFont val="Times New Roman"/>
        <family val="1"/>
      </rPr>
      <t xml:space="preserve">9.5K </t>
    </r>
    <r>
      <rPr>
        <sz val="12"/>
        <rFont val="標楷體"/>
        <family val="4"/>
        <charset val="136"/>
      </rPr>
      <t>處上邊坡崩塌落石影響交通，崩塌長約</t>
    </r>
    <r>
      <rPr>
        <sz val="12"/>
        <rFont val="Times New Roman"/>
        <family val="1"/>
      </rPr>
      <t xml:space="preserve"> 90</t>
    </r>
    <r>
      <rPr>
        <sz val="12"/>
        <rFont val="標楷體"/>
        <family val="4"/>
        <charset val="136"/>
      </rPr>
      <t>公尺、寬約</t>
    </r>
    <r>
      <rPr>
        <sz val="12"/>
        <rFont val="Times New Roman"/>
        <family val="1"/>
      </rPr>
      <t xml:space="preserve"> 15</t>
    </r>
    <r>
      <rPr>
        <sz val="12"/>
        <rFont val="標楷體"/>
        <family val="4"/>
        <charset val="136"/>
      </rPr>
      <t>公尺，坡度大於</t>
    </r>
    <r>
      <rPr>
        <sz val="12"/>
        <rFont val="Times New Roman"/>
        <family val="1"/>
      </rPr>
      <t>30</t>
    </r>
    <r>
      <rPr>
        <sz val="12"/>
        <rFont val="標楷體"/>
        <family val="4"/>
        <charset val="136"/>
      </rPr>
      <t>度，調查時仍有巨石堆積於坡面。</t>
    </r>
    <r>
      <rPr>
        <sz val="12"/>
        <rFont val="Times New Roman"/>
        <family val="1"/>
      </rPr>
      <t xml:space="preserve"> </t>
    </r>
    <phoneticPr fontId="5" type="noConversion"/>
  </si>
  <si>
    <r>
      <rPr>
        <sz val="12"/>
        <rFont val="標楷體"/>
        <family val="4"/>
        <charset val="136"/>
      </rPr>
      <t>中平巷</t>
    </r>
    <r>
      <rPr>
        <sz val="12"/>
        <rFont val="Times New Roman"/>
        <family val="1"/>
      </rPr>
      <t xml:space="preserve"> 4</t>
    </r>
    <r>
      <rPr>
        <sz val="12"/>
        <rFont val="標楷體"/>
        <family val="4"/>
        <charset val="136"/>
      </rPr>
      <t>號民宅</t>
    </r>
    <r>
      <rPr>
        <sz val="12"/>
        <rFont val="Times New Roman"/>
        <family val="1"/>
      </rPr>
      <t xml:space="preserve"> </t>
    </r>
  </si>
  <si>
    <r>
      <rPr>
        <sz val="12"/>
        <rFont val="標楷體"/>
        <family val="4"/>
        <charset val="136"/>
      </rPr>
      <t>投縣</t>
    </r>
    <r>
      <rPr>
        <sz val="12"/>
        <rFont val="Times New Roman"/>
        <family val="1"/>
      </rPr>
      <t>DF185</t>
    </r>
    <phoneticPr fontId="5" type="noConversion"/>
  </si>
  <si>
    <r>
      <t>0517</t>
    </r>
    <r>
      <rPr>
        <sz val="12"/>
        <rFont val="標楷體"/>
        <family val="4"/>
        <charset val="136"/>
      </rPr>
      <t>豪雨</t>
    </r>
    <phoneticPr fontId="5" type="noConversion"/>
  </si>
  <si>
    <r>
      <rPr>
        <sz val="12"/>
        <rFont val="標楷體"/>
        <family val="4"/>
        <charset val="136"/>
      </rPr>
      <t>受滯留鋒面所挾帶之豪雨影響，中平巷</t>
    </r>
    <r>
      <rPr>
        <sz val="12"/>
        <rFont val="Times New Roman"/>
        <family val="1"/>
      </rPr>
      <t xml:space="preserve"> 4</t>
    </r>
    <r>
      <rPr>
        <sz val="12"/>
        <rFont val="標楷體"/>
        <family val="4"/>
        <charset val="136"/>
      </rPr>
      <t>號民宅後方坡地發生崩塌。</t>
    </r>
    <r>
      <rPr>
        <sz val="12"/>
        <rFont val="Times New Roman"/>
        <family val="1"/>
      </rPr>
      <t xml:space="preserve"> </t>
    </r>
    <r>
      <rPr>
        <sz val="12"/>
        <rFont val="標楷體"/>
        <family val="4"/>
        <charset val="136"/>
      </rPr>
      <t>崩塌地概估規模，長約</t>
    </r>
    <r>
      <rPr>
        <sz val="12"/>
        <rFont val="Times New Roman"/>
        <family val="1"/>
      </rPr>
      <t xml:space="preserve"> 120</t>
    </r>
    <r>
      <rPr>
        <sz val="12"/>
        <rFont val="標楷體"/>
        <family val="4"/>
        <charset val="136"/>
      </rPr>
      <t>公尺、寬約</t>
    </r>
    <r>
      <rPr>
        <sz val="12"/>
        <rFont val="Times New Roman"/>
        <family val="1"/>
      </rPr>
      <t xml:space="preserve"> 100</t>
    </r>
    <r>
      <rPr>
        <sz val="12"/>
        <rFont val="標楷體"/>
        <family val="4"/>
        <charset val="136"/>
      </rPr>
      <t>公尺，坡度約</t>
    </r>
    <r>
      <rPr>
        <sz val="12"/>
        <rFont val="Times New Roman"/>
        <family val="1"/>
      </rPr>
      <t xml:space="preserve"> 30~35</t>
    </r>
    <r>
      <rPr>
        <sz val="12"/>
        <rFont val="標楷體"/>
        <family val="4"/>
        <charset val="136"/>
      </rPr>
      <t>度，最大崩塌深度約</t>
    </r>
    <r>
      <rPr>
        <sz val="12"/>
        <rFont val="Times New Roman"/>
        <family val="1"/>
      </rPr>
      <t xml:space="preserve">2.5 </t>
    </r>
    <r>
      <rPr>
        <sz val="12"/>
        <rFont val="標楷體"/>
        <family val="4"/>
        <charset val="136"/>
      </rPr>
      <t>公尺。上緣部分崩塌坡面目視已可見岩層出露，坡面土石沿岩面滑落。</t>
    </r>
    <r>
      <rPr>
        <sz val="12"/>
        <rFont val="Times New Roman"/>
        <family val="1"/>
      </rPr>
      <t xml:space="preserve"> </t>
    </r>
    <r>
      <rPr>
        <sz val="12"/>
        <rFont val="標楷體"/>
        <family val="4"/>
        <charset val="136"/>
      </rPr>
      <t>中平巷聯絡道路坍滑中斷約</t>
    </r>
    <r>
      <rPr>
        <sz val="12"/>
        <rFont val="Times New Roman"/>
        <family val="1"/>
      </rPr>
      <t xml:space="preserve"> 70</t>
    </r>
    <r>
      <rPr>
        <sz val="12"/>
        <rFont val="標楷體"/>
        <family val="4"/>
        <charset val="136"/>
      </rPr>
      <t>公尺，</t>
    </r>
    <r>
      <rPr>
        <sz val="12"/>
        <rFont val="Times New Roman"/>
        <family val="1"/>
      </rPr>
      <t xml:space="preserve">1 </t>
    </r>
    <r>
      <rPr>
        <sz val="12"/>
        <rFont val="標楷體"/>
        <family val="4"/>
        <charset val="136"/>
      </rPr>
      <t>戶民宅建物毀損受災住戶於豪雨發布時已由村長宣導，先前自行避難至親友住處，無人傷亡。</t>
    </r>
    <phoneticPr fontId="5" type="noConversion"/>
  </si>
  <si>
    <t>C1I080</t>
    <phoneticPr fontId="5" type="noConversion"/>
  </si>
  <si>
    <r>
      <rPr>
        <sz val="12"/>
        <rFont val="標楷體"/>
        <family val="4"/>
        <charset val="136"/>
      </rPr>
      <t>玉霖橋</t>
    </r>
    <phoneticPr fontId="5" type="noConversion"/>
  </si>
  <si>
    <r>
      <rPr>
        <sz val="12"/>
        <rFont val="標楷體"/>
        <family val="4"/>
        <charset val="136"/>
      </rPr>
      <t>臺東縣</t>
    </r>
    <phoneticPr fontId="5" type="noConversion"/>
  </si>
  <si>
    <r>
      <rPr>
        <sz val="12"/>
        <rFont val="標楷體"/>
        <family val="4"/>
        <charset val="136"/>
      </rPr>
      <t>卑南鄉</t>
    </r>
    <phoneticPr fontId="5" type="noConversion"/>
  </si>
  <si>
    <r>
      <rPr>
        <sz val="12"/>
        <rFont val="標楷體"/>
        <family val="4"/>
        <charset val="136"/>
      </rPr>
      <t>溫泉村</t>
    </r>
    <phoneticPr fontId="5" type="noConversion"/>
  </si>
  <si>
    <r>
      <rPr>
        <sz val="12"/>
        <rFont val="標楷體"/>
        <family val="4"/>
        <charset val="136"/>
      </rPr>
      <t>東縣</t>
    </r>
    <r>
      <rPr>
        <sz val="12"/>
        <rFont val="Times New Roman"/>
        <family val="1"/>
      </rPr>
      <t>DF058</t>
    </r>
    <phoneticPr fontId="5" type="noConversion"/>
  </si>
  <si>
    <r>
      <rPr>
        <sz val="12"/>
        <rFont val="標楷體"/>
        <family val="4"/>
        <charset val="136"/>
      </rPr>
      <t>因鳳凰颱風期間降下超大豪雨，引</t>
    </r>
    <r>
      <rPr>
        <sz val="12"/>
        <rFont val="Times New Roman"/>
        <family val="1"/>
      </rPr>
      <t xml:space="preserve"> </t>
    </r>
    <r>
      <rPr>
        <sz val="12"/>
        <rFont val="標楷體"/>
        <family val="4"/>
        <charset val="136"/>
      </rPr>
      <t>發土石流潛勢溪流東縣</t>
    </r>
    <r>
      <rPr>
        <sz val="12"/>
        <rFont val="Times New Roman"/>
        <family val="1"/>
      </rPr>
      <t xml:space="preserve"> DF058 </t>
    </r>
    <r>
      <rPr>
        <sz val="12"/>
        <rFont val="標楷體"/>
        <family val="4"/>
        <charset val="136"/>
      </rPr>
      <t>溪水瀑漲及大</t>
    </r>
    <r>
      <rPr>
        <sz val="12"/>
        <rFont val="Times New Roman"/>
        <family val="1"/>
      </rPr>
      <t xml:space="preserve"> </t>
    </r>
    <r>
      <rPr>
        <sz val="12"/>
        <rFont val="標楷體"/>
        <family val="4"/>
        <charset val="136"/>
      </rPr>
      <t>量土砂下移，造成射馬干土石流觀測站上、下</t>
    </r>
    <r>
      <rPr>
        <sz val="12"/>
        <rFont val="Times New Roman"/>
        <family val="1"/>
      </rPr>
      <t xml:space="preserve"> </t>
    </r>
    <r>
      <rPr>
        <sz val="12"/>
        <rFont val="標楷體"/>
        <family val="4"/>
        <charset val="136"/>
      </rPr>
      <t>游鋼索斷裂，大量土石淤積於河道；洪水溢淹</t>
    </r>
    <r>
      <rPr>
        <sz val="12"/>
        <rFont val="Times New Roman"/>
        <family val="1"/>
      </rPr>
      <t xml:space="preserve"> </t>
    </r>
    <r>
      <rPr>
        <sz val="12"/>
        <rFont val="標楷體"/>
        <family val="4"/>
        <charset val="136"/>
      </rPr>
      <t>至下游農民用地。</t>
    </r>
    <phoneticPr fontId="5" type="noConversion"/>
  </si>
  <si>
    <t>swc09</t>
    <phoneticPr fontId="5" type="noConversion"/>
  </si>
  <si>
    <r>
      <rPr>
        <sz val="12"/>
        <rFont val="標楷體"/>
        <family val="4"/>
        <charset val="136"/>
      </rPr>
      <t>射馬干</t>
    </r>
    <phoneticPr fontId="5" type="noConversion"/>
  </si>
  <si>
    <r>
      <rPr>
        <sz val="12"/>
        <rFont val="標楷體"/>
        <family val="4"/>
        <charset val="136"/>
      </rPr>
      <t>宜</t>
    </r>
    <r>
      <rPr>
        <sz val="12"/>
        <rFont val="Times New Roman"/>
        <family val="1"/>
      </rPr>
      <t>57</t>
    </r>
    <r>
      <rPr>
        <sz val="12"/>
        <rFont val="標楷體"/>
        <family val="4"/>
        <charset val="136"/>
      </rPr>
      <t>線</t>
    </r>
    <r>
      <rPr>
        <sz val="12"/>
        <rFont val="Times New Roman"/>
        <family val="1"/>
      </rPr>
      <t>0.8K</t>
    </r>
    <phoneticPr fontId="5" type="noConversion"/>
  </si>
  <si>
    <r>
      <rPr>
        <sz val="12"/>
        <rFont val="標楷體"/>
        <family val="4"/>
        <charset val="136"/>
      </rPr>
      <t>金洋村</t>
    </r>
    <phoneticPr fontId="5" type="noConversion"/>
  </si>
  <si>
    <r>
      <rPr>
        <sz val="12"/>
        <rFont val="標楷體"/>
        <family val="4"/>
        <charset val="136"/>
      </rPr>
      <t>麥德姆颱風</t>
    </r>
    <phoneticPr fontId="5" type="noConversion"/>
  </si>
  <si>
    <r>
      <rPr>
        <sz val="12"/>
        <rFont val="標楷體"/>
        <family val="4"/>
        <charset val="136"/>
      </rPr>
      <t>麥德姆颱風挾帶之受豪雨影響，金</t>
    </r>
    <r>
      <rPr>
        <sz val="12"/>
        <rFont val="Times New Roman"/>
        <family val="1"/>
      </rPr>
      <t xml:space="preserve"> </t>
    </r>
    <r>
      <rPr>
        <sz val="12"/>
        <rFont val="標楷體"/>
        <family val="4"/>
        <charset val="136"/>
      </rPr>
      <t>洋村往金洋公墓之產業道路旁野溪爆發土石</t>
    </r>
    <r>
      <rPr>
        <sz val="12"/>
        <rFont val="Times New Roman"/>
        <family val="1"/>
      </rPr>
      <t xml:space="preserve"> </t>
    </r>
    <r>
      <rPr>
        <sz val="12"/>
        <rFont val="標楷體"/>
        <family val="4"/>
        <charset val="136"/>
      </rPr>
      <t>流災情；上方崩塌山坡地與蘇拉颱風堆積河道</t>
    </r>
    <r>
      <rPr>
        <sz val="12"/>
        <rFont val="Times New Roman"/>
        <family val="1"/>
      </rPr>
      <t xml:space="preserve"> </t>
    </r>
    <r>
      <rPr>
        <sz val="12"/>
        <rFont val="標楷體"/>
        <family val="4"/>
        <charset val="136"/>
      </rPr>
      <t>之土石為致災料源，土石流沿河道沖毀上游水</t>
    </r>
    <r>
      <rPr>
        <sz val="12"/>
        <rFont val="Times New Roman"/>
        <family val="1"/>
      </rPr>
      <t xml:space="preserve"> </t>
    </r>
    <r>
      <rPr>
        <sz val="12"/>
        <rFont val="標楷體"/>
        <family val="4"/>
        <charset val="136"/>
      </rPr>
      <t>保局興建中防砂壩基樁。</t>
    </r>
  </si>
  <si>
    <t>C0U770</t>
    <phoneticPr fontId="5" type="noConversion"/>
  </si>
  <si>
    <r>
      <rPr>
        <sz val="12"/>
        <rFont val="標楷體"/>
        <family val="4"/>
        <charset val="136"/>
      </rPr>
      <t>桐竹路</t>
    </r>
    <r>
      <rPr>
        <sz val="12"/>
        <rFont val="Times New Roman"/>
        <family val="1"/>
      </rPr>
      <t>25</t>
    </r>
    <r>
      <rPr>
        <sz val="12"/>
        <rFont val="標楷體"/>
        <family val="4"/>
        <charset val="136"/>
      </rPr>
      <t>號民宅</t>
    </r>
    <phoneticPr fontId="5" type="noConversion"/>
  </si>
  <si>
    <r>
      <rPr>
        <sz val="12"/>
        <rFont val="標楷體"/>
        <family val="4"/>
        <charset val="136"/>
      </rPr>
      <t>杉林區</t>
    </r>
    <phoneticPr fontId="5" type="noConversion"/>
  </si>
  <si>
    <r>
      <rPr>
        <sz val="12"/>
        <rFont val="標楷體"/>
        <family val="4"/>
        <charset val="136"/>
      </rPr>
      <t>月眉里</t>
    </r>
    <phoneticPr fontId="5" type="noConversion"/>
  </si>
  <si>
    <t xml:space="preserve">2014/7/23 </t>
    <phoneticPr fontId="5" type="noConversion"/>
  </si>
  <si>
    <r>
      <rPr>
        <sz val="12"/>
        <rFont val="標楷體"/>
        <family val="4"/>
        <charset val="136"/>
      </rPr>
      <t>：崩塌點於</t>
    </r>
    <r>
      <rPr>
        <sz val="12"/>
        <rFont val="Times New Roman"/>
        <family val="1"/>
      </rPr>
      <t xml:space="preserve"> 5.6 </t>
    </r>
    <r>
      <rPr>
        <sz val="12"/>
        <rFont val="標楷體"/>
        <family val="4"/>
        <charset val="136"/>
      </rPr>
      <t>年前開始逐年崩塌，</t>
    </r>
    <r>
      <rPr>
        <sz val="12"/>
        <rFont val="Times New Roman"/>
        <family val="1"/>
      </rPr>
      <t xml:space="preserve"> </t>
    </r>
    <r>
      <rPr>
        <sz val="12"/>
        <rFont val="標楷體"/>
        <family val="4"/>
        <charset val="136"/>
      </rPr>
      <t>於</t>
    </r>
    <r>
      <rPr>
        <sz val="12"/>
        <rFont val="Times New Roman"/>
        <family val="1"/>
      </rPr>
      <t xml:space="preserve"> 103 </t>
    </r>
    <r>
      <rPr>
        <sz val="12"/>
        <rFont val="標楷體"/>
        <family val="4"/>
        <charset val="136"/>
      </rPr>
      <t>年麥德姆颱風期間，崩塌情形變嚴重，</t>
    </r>
    <r>
      <rPr>
        <sz val="12"/>
        <rFont val="Times New Roman"/>
        <family val="1"/>
      </rPr>
      <t xml:space="preserve"> </t>
    </r>
    <r>
      <rPr>
        <sz val="12"/>
        <rFont val="標楷體"/>
        <family val="4"/>
        <charset val="136"/>
      </rPr>
      <t>現場土石崩落，以致產業道路中斷，下游野溪</t>
    </r>
    <r>
      <rPr>
        <sz val="12"/>
        <rFont val="Times New Roman"/>
        <family val="1"/>
      </rPr>
      <t xml:space="preserve"> </t>
    </r>
    <r>
      <rPr>
        <sz val="12"/>
        <rFont val="標楷體"/>
        <family val="4"/>
        <charset val="136"/>
      </rPr>
      <t>流向改變，危及居民土地。</t>
    </r>
  </si>
  <si>
    <t>C0V26</t>
    <phoneticPr fontId="5" type="noConversion"/>
  </si>
  <si>
    <r>
      <rPr>
        <sz val="12"/>
        <rFont val="標楷體"/>
        <family val="4"/>
        <charset val="136"/>
      </rPr>
      <t>臺</t>
    </r>
    <r>
      <rPr>
        <sz val="12"/>
        <rFont val="Times New Roman"/>
        <family val="1"/>
      </rPr>
      <t>9</t>
    </r>
    <r>
      <rPr>
        <sz val="12"/>
        <rFont val="標楷體"/>
        <family val="4"/>
        <charset val="136"/>
      </rPr>
      <t>線、瑞北</t>
    </r>
    <phoneticPr fontId="5" type="noConversion"/>
  </si>
  <si>
    <r>
      <rPr>
        <sz val="12"/>
        <rFont val="標楷體"/>
        <family val="4"/>
        <charset val="136"/>
      </rPr>
      <t>萬榮鄉</t>
    </r>
    <phoneticPr fontId="5" type="noConversion"/>
  </si>
  <si>
    <r>
      <rPr>
        <sz val="12"/>
        <rFont val="標楷體"/>
        <family val="4"/>
        <charset val="136"/>
      </rPr>
      <t>馬遠村</t>
    </r>
    <phoneticPr fontId="5" type="noConversion"/>
  </si>
  <si>
    <r>
      <rPr>
        <sz val="12"/>
        <rFont val="標楷體"/>
        <family val="4"/>
        <charset val="136"/>
      </rPr>
      <t>花縣</t>
    </r>
    <r>
      <rPr>
        <sz val="12"/>
        <rFont val="Times New Roman"/>
        <family val="1"/>
      </rPr>
      <t>DF168</t>
    </r>
  </si>
  <si>
    <r>
      <rPr>
        <sz val="12"/>
        <rFont val="標楷體"/>
        <family val="4"/>
        <charset val="136"/>
      </rPr>
      <t>花蓮縣萬榮鄉馬遠村於麥德姆颱風</t>
    </r>
    <r>
      <rPr>
        <sz val="12"/>
        <rFont val="Times New Roman"/>
        <family val="1"/>
      </rPr>
      <t xml:space="preserve"> </t>
    </r>
    <r>
      <rPr>
        <sz val="12"/>
        <rFont val="標楷體"/>
        <family val="4"/>
        <charset val="136"/>
      </rPr>
      <t>過境時帶來充沛雨量，導致民宅旁山</t>
    </r>
    <r>
      <rPr>
        <sz val="12"/>
        <rFont val="Times New Roman"/>
        <family val="1"/>
      </rPr>
      <t xml:space="preserve"> </t>
    </r>
    <r>
      <rPr>
        <sz val="12"/>
        <rFont val="標楷體"/>
        <family val="4"/>
        <charset val="136"/>
      </rPr>
      <t>坡土石崩塌，崩塌土石撞擊民宅三戶</t>
    </r>
    <r>
      <rPr>
        <sz val="12"/>
        <rFont val="Times New Roman"/>
        <family val="1"/>
      </rPr>
      <t xml:space="preserve"> (157;157-2;157-1 </t>
    </r>
    <r>
      <rPr>
        <sz val="12"/>
        <rFont val="標楷體"/>
        <family val="4"/>
        <charset val="136"/>
      </rPr>
      <t>號</t>
    </r>
    <r>
      <rPr>
        <sz val="12"/>
        <rFont val="Times New Roman"/>
        <family val="1"/>
      </rPr>
      <t>)</t>
    </r>
    <r>
      <rPr>
        <sz val="12"/>
        <rFont val="標楷體"/>
        <family val="4"/>
        <charset val="136"/>
      </rPr>
      <t>，造成部份房</t>
    </r>
    <r>
      <rPr>
        <sz val="12"/>
        <rFont val="Times New Roman"/>
        <family val="1"/>
      </rPr>
      <t xml:space="preserve"> </t>
    </r>
    <r>
      <rPr>
        <sz val="12"/>
        <rFont val="標楷體"/>
        <family val="4"/>
        <charset val="136"/>
      </rPr>
      <t>舍遭土石入侵毀損，崩塌面積估計約</t>
    </r>
    <r>
      <rPr>
        <sz val="12"/>
        <rFont val="Times New Roman"/>
        <family val="1"/>
      </rPr>
      <t xml:space="preserve"> 400 </t>
    </r>
    <r>
      <rPr>
        <sz val="12"/>
        <rFont val="標楷體"/>
        <family val="4"/>
        <charset val="136"/>
      </rPr>
      <t>平方公尺</t>
    </r>
    <r>
      <rPr>
        <sz val="12"/>
        <rFont val="Times New Roman"/>
        <family val="1"/>
      </rPr>
      <t xml:space="preserve"> </t>
    </r>
    <r>
      <rPr>
        <sz val="12"/>
        <rFont val="標楷體"/>
        <family val="4"/>
        <charset val="136"/>
      </rPr>
      <t>。</t>
    </r>
  </si>
  <si>
    <r>
      <rPr>
        <sz val="12"/>
        <rFont val="標楷體"/>
        <family val="4"/>
        <charset val="136"/>
      </rPr>
      <t>紅葉</t>
    </r>
    <phoneticPr fontId="5" type="noConversion"/>
  </si>
  <si>
    <r>
      <rPr>
        <sz val="12"/>
        <rFont val="標楷體"/>
        <family val="4"/>
        <charset val="136"/>
      </rPr>
      <t>愛國蒲部落後方崩塌地</t>
    </r>
    <phoneticPr fontId="5" type="noConversion"/>
  </si>
  <si>
    <r>
      <rPr>
        <sz val="12"/>
        <rFont val="標楷體"/>
        <family val="4"/>
        <charset val="136"/>
      </rPr>
      <t>哈吉貝颱風</t>
    </r>
    <phoneticPr fontId="5" type="noConversion"/>
  </si>
  <si>
    <r>
      <rPr>
        <sz val="12"/>
        <rFont val="標楷體"/>
        <family val="4"/>
        <charset val="136"/>
      </rPr>
      <t>因</t>
    </r>
    <r>
      <rPr>
        <sz val="12"/>
        <rFont val="Times New Roman"/>
        <family val="1"/>
      </rPr>
      <t xml:space="preserve"> 98 </t>
    </r>
    <r>
      <rPr>
        <sz val="12"/>
        <rFont val="標楷體"/>
        <family val="4"/>
        <charset val="136"/>
      </rPr>
      <t>年莫拉克颱風造成崩塌，本</t>
    </r>
    <r>
      <rPr>
        <sz val="12"/>
        <rFont val="Times New Roman"/>
        <family val="1"/>
      </rPr>
      <t xml:space="preserve"> </t>
    </r>
    <r>
      <rPr>
        <sz val="12"/>
        <rFont val="標楷體"/>
        <family val="4"/>
        <charset val="136"/>
      </rPr>
      <t>次又受哈吉貝颱風所挾帶之豪雨影響，發生土</t>
    </r>
    <r>
      <rPr>
        <sz val="12"/>
        <rFont val="Times New Roman"/>
        <family val="1"/>
      </rPr>
      <t xml:space="preserve"> </t>
    </r>
    <r>
      <rPr>
        <sz val="12"/>
        <rFont val="標楷體"/>
        <family val="4"/>
        <charset val="136"/>
      </rPr>
      <t>砂下移之災害，導致原本於</t>
    </r>
    <r>
      <rPr>
        <sz val="12"/>
        <rFont val="Times New Roman"/>
        <family val="1"/>
      </rPr>
      <t xml:space="preserve"> 6 </t>
    </r>
    <r>
      <rPr>
        <sz val="12"/>
        <rFont val="標楷體"/>
        <family val="4"/>
        <charset val="136"/>
      </rPr>
      <t>月</t>
    </r>
    <r>
      <rPr>
        <sz val="12"/>
        <rFont val="Times New Roman"/>
        <family val="1"/>
      </rPr>
      <t xml:space="preserve"> 9 </t>
    </r>
    <r>
      <rPr>
        <sz val="12"/>
        <rFont val="標楷體"/>
        <family val="4"/>
        <charset val="136"/>
      </rPr>
      <t>日清疏沉砂</t>
    </r>
    <r>
      <rPr>
        <sz val="12"/>
        <rFont val="Times New Roman"/>
        <family val="1"/>
      </rPr>
      <t xml:space="preserve"> </t>
    </r>
    <r>
      <rPr>
        <sz val="12"/>
        <rFont val="標楷體"/>
        <family val="4"/>
        <charset val="136"/>
      </rPr>
      <t>池一夕之間淤滿。</t>
    </r>
  </si>
  <si>
    <t>C1H910</t>
    <phoneticPr fontId="5" type="noConversion"/>
  </si>
  <si>
    <r>
      <rPr>
        <sz val="12"/>
        <rFont val="標楷體"/>
        <family val="4"/>
        <charset val="136"/>
      </rPr>
      <t>福興路</t>
    </r>
    <r>
      <rPr>
        <sz val="12"/>
        <rFont val="Times New Roman"/>
        <family val="1"/>
      </rPr>
      <t>116</t>
    </r>
    <r>
      <rPr>
        <sz val="12"/>
        <rFont val="標楷體"/>
        <family val="4"/>
        <charset val="136"/>
      </rPr>
      <t>號</t>
    </r>
  </si>
  <si>
    <r>
      <rPr>
        <sz val="12"/>
        <rFont val="標楷體"/>
        <family val="4"/>
        <charset val="136"/>
      </rPr>
      <t>臺北市</t>
    </r>
    <phoneticPr fontId="5" type="noConversion"/>
  </si>
  <si>
    <r>
      <rPr>
        <sz val="12"/>
        <rFont val="標楷體"/>
        <family val="4"/>
        <charset val="136"/>
      </rPr>
      <t>文山區</t>
    </r>
  </si>
  <si>
    <r>
      <rPr>
        <sz val="12"/>
        <rFont val="標楷體"/>
        <family val="4"/>
        <charset val="136"/>
      </rPr>
      <t>興旺里</t>
    </r>
  </si>
  <si>
    <t> 2766935.753</t>
  </si>
  <si>
    <r>
      <rPr>
        <sz val="12"/>
        <rFont val="標楷體"/>
        <family val="4"/>
        <charset val="136"/>
      </rPr>
      <t>蘇迪勒颱風</t>
    </r>
    <phoneticPr fontId="5" type="noConversion"/>
  </si>
  <si>
    <r>
      <rPr>
        <sz val="12"/>
        <rFont val="標楷體"/>
        <family val="4"/>
        <charset val="136"/>
      </rPr>
      <t>受災戶位於文山區景美</t>
    </r>
    <r>
      <rPr>
        <sz val="12"/>
        <rFont val="Times New Roman"/>
        <family val="1"/>
      </rPr>
      <t xml:space="preserve"> 11 </t>
    </r>
    <r>
      <rPr>
        <sz val="12"/>
        <rFont val="標楷體"/>
        <family val="4"/>
        <charset val="136"/>
      </rPr>
      <t>號公墓</t>
    </r>
    <r>
      <rPr>
        <sz val="12"/>
        <rFont val="Times New Roman"/>
        <family val="1"/>
      </rPr>
      <t xml:space="preserve"> </t>
    </r>
    <r>
      <rPr>
        <sz val="12"/>
        <rFont val="標楷體"/>
        <family val="4"/>
        <charset val="136"/>
      </rPr>
      <t>下方，由於公墓已變更為公園用地，現已全部</t>
    </r>
    <r>
      <rPr>
        <sz val="12"/>
        <rFont val="Times New Roman"/>
        <family val="1"/>
      </rPr>
      <t xml:space="preserve"> </t>
    </r>
    <r>
      <rPr>
        <sz val="12"/>
        <rFont val="標楷體"/>
        <family val="4"/>
        <charset val="136"/>
      </rPr>
      <t>遷葬完成，坡面尚無植生，暫以打樁編柵方式</t>
    </r>
    <r>
      <rPr>
        <sz val="12"/>
        <rFont val="Times New Roman"/>
        <family val="1"/>
      </rPr>
      <t xml:space="preserve"> </t>
    </r>
    <r>
      <rPr>
        <sz val="12"/>
        <rFont val="標楷體"/>
        <family val="4"/>
        <charset val="136"/>
      </rPr>
      <t>保護。蘇迪勒颱風期間，大量地表逕流集中流</t>
    </r>
    <r>
      <rPr>
        <sz val="12"/>
        <rFont val="Times New Roman"/>
        <family val="1"/>
      </rPr>
      <t xml:space="preserve"> </t>
    </r>
    <r>
      <rPr>
        <sz val="12"/>
        <rFont val="標楷體"/>
        <family val="4"/>
        <charset val="136"/>
      </rPr>
      <t>入公墓下方沉砂池，溢流後造成沉砂池下邊坡</t>
    </r>
    <r>
      <rPr>
        <sz val="12"/>
        <rFont val="Times New Roman"/>
        <family val="1"/>
      </rPr>
      <t xml:space="preserve"> </t>
    </r>
    <r>
      <rPr>
        <sz val="12"/>
        <rFont val="標楷體"/>
        <family val="4"/>
        <charset val="136"/>
      </rPr>
      <t>崩塌，土石衝破緊鄰邊坡之民宅。</t>
    </r>
  </si>
  <si>
    <t>C1A730</t>
    <phoneticPr fontId="5" type="noConversion"/>
  </si>
  <si>
    <r>
      <rPr>
        <sz val="12"/>
        <rFont val="標楷體"/>
        <family val="4"/>
        <charset val="136"/>
      </rPr>
      <t>桃市</t>
    </r>
    <r>
      <rPr>
        <sz val="12"/>
        <rFont val="Times New Roman"/>
        <family val="1"/>
      </rPr>
      <t>DF034</t>
    </r>
  </si>
  <si>
    <r>
      <rPr>
        <sz val="12"/>
        <rFont val="標楷體"/>
        <family val="4"/>
        <charset val="136"/>
      </rPr>
      <t>復興區</t>
    </r>
  </si>
  <si>
    <r>
      <rPr>
        <sz val="12"/>
        <rFont val="標楷體"/>
        <family val="4"/>
        <charset val="136"/>
      </rPr>
      <t>羅浮里</t>
    </r>
  </si>
  <si>
    <r>
      <rPr>
        <sz val="12"/>
        <rFont val="標楷體"/>
        <family val="4"/>
        <charset val="136"/>
      </rPr>
      <t>桃市</t>
    </r>
    <r>
      <rPr>
        <sz val="12"/>
        <rFont val="Times New Roman"/>
        <family val="1"/>
      </rPr>
      <t xml:space="preserve"> DF034</t>
    </r>
    <phoneticPr fontId="5" type="noConversion"/>
  </si>
  <si>
    <r>
      <rPr>
        <sz val="12"/>
        <rFont val="標楷體"/>
        <family val="4"/>
        <charset val="136"/>
      </rPr>
      <t>蘇迪勒颱風期間，桃園復興地區累</t>
    </r>
    <r>
      <rPr>
        <sz val="12"/>
        <rFont val="Times New Roman"/>
        <family val="1"/>
      </rPr>
      <t xml:space="preserve"> </t>
    </r>
    <r>
      <rPr>
        <sz val="12"/>
        <rFont val="標楷體"/>
        <family val="4"/>
        <charset val="136"/>
      </rPr>
      <t>積雨量大，造成羅浮里一處潛勢溪流</t>
    </r>
    <r>
      <rPr>
        <sz val="12"/>
        <rFont val="Times New Roman"/>
        <family val="1"/>
      </rPr>
      <t>(</t>
    </r>
    <r>
      <rPr>
        <sz val="12"/>
        <rFont val="標楷體"/>
        <family val="4"/>
        <charset val="136"/>
      </rPr>
      <t>桃市</t>
    </r>
    <r>
      <rPr>
        <sz val="12"/>
        <rFont val="Times New Roman"/>
        <family val="1"/>
      </rPr>
      <t xml:space="preserve"> DF034)</t>
    </r>
    <r>
      <rPr>
        <sz val="12"/>
        <rFont val="標楷體"/>
        <family val="4"/>
        <charset val="136"/>
      </rPr>
      <t>爆發土石流，於台</t>
    </r>
    <r>
      <rPr>
        <sz val="12"/>
        <rFont val="Times New Roman"/>
        <family val="1"/>
      </rPr>
      <t xml:space="preserve"> 7 </t>
    </r>
    <r>
      <rPr>
        <sz val="12"/>
        <rFont val="標楷體"/>
        <family val="4"/>
        <charset val="136"/>
      </rPr>
      <t>線</t>
    </r>
    <r>
      <rPr>
        <sz val="12"/>
        <rFont val="Times New Roman"/>
        <family val="1"/>
      </rPr>
      <t xml:space="preserve"> 21k </t>
    </r>
    <r>
      <rPr>
        <sz val="12"/>
        <rFont val="標楷體"/>
        <family val="4"/>
        <charset val="136"/>
      </rPr>
      <t>附近溢流</t>
    </r>
    <r>
      <rPr>
        <sz val="12"/>
        <rFont val="Times New Roman"/>
        <family val="1"/>
      </rPr>
      <t xml:space="preserve"> </t>
    </r>
    <r>
      <rPr>
        <sz val="12"/>
        <rFont val="標楷體"/>
        <family val="4"/>
        <charset val="136"/>
      </rPr>
      <t>後，堆積於下邊坡之合流部落，造成</t>
    </r>
    <r>
      <rPr>
        <sz val="12"/>
        <rFont val="Times New Roman"/>
        <family val="1"/>
      </rPr>
      <t xml:space="preserve"> 15 </t>
    </r>
    <r>
      <rPr>
        <sz val="12"/>
        <rFont val="標楷體"/>
        <family val="4"/>
        <charset val="136"/>
      </rPr>
      <t>戶民</t>
    </r>
    <r>
      <rPr>
        <sz val="12"/>
        <rFont val="Times New Roman"/>
        <family val="1"/>
      </rPr>
      <t xml:space="preserve"> </t>
    </r>
    <r>
      <rPr>
        <sz val="12"/>
        <rFont val="標楷體"/>
        <family val="4"/>
        <charset val="136"/>
      </rPr>
      <t>宅受損，所幸當地居民已於前一日</t>
    </r>
    <r>
      <rPr>
        <sz val="12"/>
        <rFont val="Times New Roman"/>
        <family val="1"/>
      </rPr>
      <t xml:space="preserve">(8 </t>
    </r>
    <r>
      <rPr>
        <sz val="12"/>
        <rFont val="標楷體"/>
        <family val="4"/>
        <charset val="136"/>
      </rPr>
      <t>月</t>
    </r>
    <r>
      <rPr>
        <sz val="12"/>
        <rFont val="Times New Roman"/>
        <family val="1"/>
      </rPr>
      <t xml:space="preserve"> 7 </t>
    </r>
    <r>
      <rPr>
        <sz val="12"/>
        <rFont val="標楷體"/>
        <family val="4"/>
        <charset val="136"/>
      </rPr>
      <t>日</t>
    </r>
    <r>
      <rPr>
        <sz val="12"/>
        <rFont val="Times New Roman"/>
        <family val="1"/>
      </rPr>
      <t xml:space="preserve">) </t>
    </r>
    <r>
      <rPr>
        <sz val="12"/>
        <rFont val="標楷體"/>
        <family val="4"/>
        <charset val="136"/>
      </rPr>
      <t>下午全數撤離，共</t>
    </r>
    <r>
      <rPr>
        <sz val="12"/>
        <rFont val="Times New Roman"/>
        <family val="1"/>
      </rPr>
      <t xml:space="preserve"> 25 </t>
    </r>
    <r>
      <rPr>
        <sz val="12"/>
        <rFont val="標楷體"/>
        <family val="4"/>
        <charset val="136"/>
      </rPr>
      <t>人，故未造成傷亡。</t>
    </r>
    <phoneticPr fontId="5" type="noConversion"/>
  </si>
  <si>
    <t>21C140</t>
    <phoneticPr fontId="5" type="noConversion"/>
  </si>
  <si>
    <r>
      <rPr>
        <sz val="12"/>
        <rFont val="標楷體"/>
        <family val="4"/>
        <charset val="136"/>
      </rPr>
      <t>霞雲</t>
    </r>
    <phoneticPr fontId="5" type="noConversion"/>
  </si>
  <si>
    <r>
      <rPr>
        <sz val="12"/>
        <rFont val="標楷體"/>
        <family val="4"/>
        <charset val="136"/>
      </rPr>
      <t>竹崙路</t>
    </r>
    <r>
      <rPr>
        <sz val="12"/>
        <rFont val="Times New Roman"/>
        <family val="1"/>
      </rPr>
      <t>162</t>
    </r>
    <r>
      <rPr>
        <sz val="12"/>
        <rFont val="標楷體"/>
        <family val="4"/>
        <charset val="136"/>
      </rPr>
      <t>號</t>
    </r>
  </si>
  <si>
    <r>
      <rPr>
        <sz val="12"/>
        <rFont val="標楷體"/>
        <family val="4"/>
        <charset val="136"/>
      </rPr>
      <t>三峽區</t>
    </r>
  </si>
  <si>
    <r>
      <rPr>
        <sz val="12"/>
        <rFont val="標楷體"/>
        <family val="4"/>
        <charset val="136"/>
      </rPr>
      <t>竹崙里</t>
    </r>
  </si>
  <si>
    <r>
      <rPr>
        <sz val="12"/>
        <rFont val="標楷體"/>
        <family val="4"/>
        <charset val="136"/>
      </rPr>
      <t>蘇迪勒颱風期間，三峽地區降雨強</t>
    </r>
    <r>
      <rPr>
        <sz val="12"/>
        <rFont val="Times New Roman"/>
        <family val="1"/>
      </rPr>
      <t xml:space="preserve"> </t>
    </r>
    <r>
      <rPr>
        <sz val="12"/>
        <rFont val="標楷體"/>
        <family val="4"/>
        <charset val="136"/>
      </rPr>
      <t>度高，竹崙路一處道路邊坡發生崩塌，崩落土</t>
    </r>
    <r>
      <rPr>
        <sz val="12"/>
        <rFont val="Times New Roman"/>
        <family val="1"/>
      </rPr>
      <t xml:space="preserve"> </t>
    </r>
    <r>
      <rPr>
        <sz val="12"/>
        <rFont val="標楷體"/>
        <family val="4"/>
        <charset val="136"/>
      </rPr>
      <t>石堵塞河道，造成溪水向對岸改道溢流，沖毀</t>
    </r>
    <r>
      <rPr>
        <sz val="12"/>
        <rFont val="Times New Roman"/>
        <family val="1"/>
      </rPr>
      <t xml:space="preserve"> </t>
    </r>
    <r>
      <rPr>
        <sz val="12"/>
        <rFont val="標楷體"/>
        <family val="4"/>
        <charset val="136"/>
      </rPr>
      <t>緊鄰溪岸之民宅門前庭院，</t>
    </r>
    <r>
      <rPr>
        <sz val="12"/>
        <rFont val="Times New Roman"/>
        <family val="1"/>
      </rPr>
      <t xml:space="preserve">2 </t>
    </r>
    <r>
      <rPr>
        <sz val="12"/>
        <rFont val="標楷體"/>
        <family val="4"/>
        <charset val="136"/>
      </rPr>
      <t>位居民於逃離時</t>
    </r>
    <r>
      <rPr>
        <sz val="12"/>
        <rFont val="Times New Roman"/>
        <family val="1"/>
      </rPr>
      <t xml:space="preserve"> </t>
    </r>
    <r>
      <rPr>
        <sz val="12"/>
        <rFont val="標楷體"/>
        <family val="4"/>
        <charset val="136"/>
      </rPr>
      <t>不幸遭洪水沖走身亡。</t>
    </r>
    <phoneticPr fontId="5" type="noConversion"/>
  </si>
  <si>
    <t>01A210</t>
    <phoneticPr fontId="5" type="noConversion"/>
  </si>
  <si>
    <r>
      <rPr>
        <sz val="12"/>
        <rFont val="標楷體"/>
        <family val="4"/>
        <charset val="136"/>
      </rPr>
      <t>滿月圓第一停車場</t>
    </r>
  </si>
  <si>
    <r>
      <rPr>
        <sz val="12"/>
        <rFont val="標楷體"/>
        <family val="4"/>
        <charset val="136"/>
      </rPr>
      <t>有木里</t>
    </r>
  </si>
  <si>
    <r>
      <rPr>
        <sz val="12"/>
        <rFont val="標楷體"/>
        <family val="4"/>
        <charset val="136"/>
      </rPr>
      <t>新北</t>
    </r>
    <r>
      <rPr>
        <sz val="12"/>
        <rFont val="Times New Roman"/>
        <family val="1"/>
      </rPr>
      <t>DF222</t>
    </r>
  </si>
  <si>
    <t> 294150.709</t>
  </si>
  <si>
    <r>
      <rPr>
        <sz val="12"/>
        <rFont val="標楷體"/>
        <family val="4"/>
        <charset val="136"/>
      </rPr>
      <t>蘇迪勒颱風期間，由於三峽地區降</t>
    </r>
    <r>
      <rPr>
        <sz val="12"/>
        <rFont val="Times New Roman"/>
        <family val="1"/>
      </rPr>
      <t xml:space="preserve"> </t>
    </r>
    <r>
      <rPr>
        <sz val="12"/>
        <rFont val="標楷體"/>
        <family val="4"/>
        <charset val="136"/>
      </rPr>
      <t>雨強度高，導致有木里一處野溪發生洪水，土</t>
    </r>
    <r>
      <rPr>
        <sz val="12"/>
        <rFont val="Times New Roman"/>
        <family val="1"/>
      </rPr>
      <t xml:space="preserve"> </t>
    </r>
    <r>
      <rPr>
        <sz val="12"/>
        <rFont val="標楷體"/>
        <family val="4"/>
        <charset val="136"/>
      </rPr>
      <t>石堵塞過路箱涵後，溪水挾帶大量泥砂溢流過</t>
    </r>
    <r>
      <rPr>
        <sz val="12"/>
        <rFont val="Times New Roman"/>
        <family val="1"/>
      </rPr>
      <t xml:space="preserve"> </t>
    </r>
    <r>
      <rPr>
        <sz val="12"/>
        <rFont val="標楷體"/>
        <family val="4"/>
        <charset val="136"/>
      </rPr>
      <t>路面，導致鄰近之三戶民宅及滿月圓森林遊樂</t>
    </r>
    <r>
      <rPr>
        <sz val="12"/>
        <rFont val="Times New Roman"/>
        <family val="1"/>
      </rPr>
      <t xml:space="preserve"> </t>
    </r>
    <r>
      <rPr>
        <sz val="12"/>
        <rFont val="標楷體"/>
        <family val="4"/>
        <charset val="136"/>
      </rPr>
      <t>區第一停車場遭到大量泥砂侵入，房舍遭淤埋</t>
    </r>
    <r>
      <rPr>
        <sz val="12"/>
        <rFont val="Times New Roman"/>
        <family val="1"/>
      </rPr>
      <t xml:space="preserve"> </t>
    </r>
    <r>
      <rPr>
        <sz val="12"/>
        <rFont val="標楷體"/>
        <family val="4"/>
        <charset val="136"/>
      </rPr>
      <t>之高度最高處達</t>
    </r>
    <r>
      <rPr>
        <sz val="12"/>
        <rFont val="Times New Roman"/>
        <family val="1"/>
      </rPr>
      <t xml:space="preserve"> 4m</t>
    </r>
    <r>
      <rPr>
        <sz val="12"/>
        <rFont val="標楷體"/>
        <family val="4"/>
        <charset val="136"/>
      </rPr>
      <t>，所幸居民於泥砂開始淤</t>
    </r>
    <r>
      <rPr>
        <sz val="12"/>
        <rFont val="Times New Roman"/>
        <family val="1"/>
      </rPr>
      <t xml:space="preserve"> </t>
    </r>
    <r>
      <rPr>
        <sz val="12"/>
        <rFont val="標楷體"/>
        <family val="4"/>
        <charset val="136"/>
      </rPr>
      <t>積時即開始往親友住家避難，故無人傷亡。</t>
    </r>
  </si>
  <si>
    <t>01AG10</t>
    <phoneticPr fontId="5" type="noConversion"/>
  </si>
  <si>
    <r>
      <rPr>
        <sz val="12"/>
        <rFont val="標楷體"/>
        <family val="4"/>
        <charset val="136"/>
      </rPr>
      <t>熊空山</t>
    </r>
    <phoneticPr fontId="5" type="noConversion"/>
  </si>
  <si>
    <r>
      <rPr>
        <sz val="12"/>
        <rFont val="標楷體"/>
        <family val="4"/>
        <charset val="136"/>
      </rPr>
      <t>建安路</t>
    </r>
    <r>
      <rPr>
        <sz val="12"/>
        <rFont val="Times New Roman"/>
        <family val="1"/>
      </rPr>
      <t>130</t>
    </r>
    <r>
      <rPr>
        <sz val="12"/>
        <rFont val="標楷體"/>
        <family val="4"/>
        <charset val="136"/>
      </rPr>
      <t>號</t>
    </r>
  </si>
  <si>
    <r>
      <rPr>
        <sz val="12"/>
        <rFont val="標楷體"/>
        <family val="4"/>
        <charset val="136"/>
      </rPr>
      <t>安坑里</t>
    </r>
  </si>
  <si>
    <r>
      <rPr>
        <sz val="12"/>
        <rFont val="標楷體"/>
        <family val="4"/>
        <charset val="136"/>
      </rPr>
      <t>新北</t>
    </r>
    <r>
      <rPr>
        <sz val="12"/>
        <rFont val="Times New Roman"/>
        <family val="1"/>
      </rPr>
      <t>DF223</t>
    </r>
  </si>
  <si>
    <t> 296867.608</t>
  </si>
  <si>
    <r>
      <rPr>
        <sz val="12"/>
        <rFont val="標楷體"/>
        <family val="4"/>
        <charset val="136"/>
      </rPr>
      <t>蘇迪勒颱風期間，三峽區長城溪一</t>
    </r>
    <r>
      <rPr>
        <sz val="12"/>
        <rFont val="Times New Roman"/>
        <family val="1"/>
      </rPr>
      <t xml:space="preserve"> </t>
    </r>
    <r>
      <rPr>
        <sz val="12"/>
        <rFont val="標楷體"/>
        <family val="4"/>
        <charset val="136"/>
      </rPr>
      <t>處支流發生土石流，土石沖入一戶民宅</t>
    </r>
    <r>
      <rPr>
        <sz val="12"/>
        <rFont val="Times New Roman"/>
        <family val="1"/>
      </rPr>
      <t>(</t>
    </r>
    <r>
      <rPr>
        <sz val="12"/>
        <rFont val="標楷體"/>
        <family val="4"/>
        <charset val="136"/>
      </rPr>
      <t>建安路</t>
    </r>
    <r>
      <rPr>
        <sz val="12"/>
        <rFont val="Times New Roman"/>
        <family val="1"/>
      </rPr>
      <t xml:space="preserve"> 130 </t>
    </r>
    <r>
      <rPr>
        <sz val="12"/>
        <rFont val="標楷體"/>
        <family val="4"/>
        <charset val="136"/>
      </rPr>
      <t>號</t>
    </r>
    <r>
      <rPr>
        <sz val="12"/>
        <rFont val="Times New Roman"/>
        <family val="1"/>
      </rPr>
      <t>)</t>
    </r>
    <r>
      <rPr>
        <sz val="12"/>
        <rFont val="標楷體"/>
        <family val="4"/>
        <charset val="136"/>
      </rPr>
      <t>中，室內堆積高度最高處約</t>
    </r>
    <r>
      <rPr>
        <sz val="12"/>
        <rFont val="Times New Roman"/>
        <family val="1"/>
      </rPr>
      <t xml:space="preserve"> 80 </t>
    </r>
    <r>
      <rPr>
        <sz val="12"/>
        <rFont val="標楷體"/>
        <family val="4"/>
        <charset val="136"/>
      </rPr>
      <t>公分，</t>
    </r>
    <r>
      <rPr>
        <sz val="12"/>
        <rFont val="Times New Roman"/>
        <family val="1"/>
      </rPr>
      <t xml:space="preserve"> </t>
    </r>
    <r>
      <rPr>
        <sz val="12"/>
        <rFont val="標楷體"/>
        <family val="4"/>
        <charset val="136"/>
      </rPr>
      <t>另一戶民宅</t>
    </r>
    <r>
      <rPr>
        <sz val="12"/>
        <rFont val="Times New Roman"/>
        <family val="1"/>
      </rPr>
      <t>(</t>
    </r>
    <r>
      <rPr>
        <sz val="12"/>
        <rFont val="標楷體"/>
        <family val="4"/>
        <charset val="136"/>
      </rPr>
      <t>建安路</t>
    </r>
    <r>
      <rPr>
        <sz val="12"/>
        <rFont val="Times New Roman"/>
        <family val="1"/>
      </rPr>
      <t xml:space="preserve"> 131 </t>
    </r>
    <r>
      <rPr>
        <sz val="12"/>
        <rFont val="標楷體"/>
        <family val="4"/>
        <charset val="136"/>
      </rPr>
      <t>號</t>
    </r>
    <r>
      <rPr>
        <sz val="12"/>
        <rFont val="Times New Roman"/>
        <family val="1"/>
      </rPr>
      <t>)</t>
    </r>
    <r>
      <rPr>
        <sz val="12"/>
        <rFont val="標楷體"/>
        <family val="4"/>
        <charset val="136"/>
      </rPr>
      <t>之外牆亦遭到土石</t>
    </r>
    <r>
      <rPr>
        <sz val="12"/>
        <rFont val="Times New Roman"/>
        <family val="1"/>
      </rPr>
      <t xml:space="preserve"> </t>
    </r>
    <r>
      <rPr>
        <sz val="12"/>
        <rFont val="標楷體"/>
        <family val="4"/>
        <charset val="136"/>
      </rPr>
      <t>堆積，高度約</t>
    </r>
    <r>
      <rPr>
        <sz val="12"/>
        <rFont val="Times New Roman"/>
        <family val="1"/>
      </rPr>
      <t xml:space="preserve"> 1m</t>
    </r>
    <r>
      <rPr>
        <sz val="12"/>
        <rFont val="標楷體"/>
        <family val="4"/>
        <charset val="136"/>
      </rPr>
      <t>，所幸結構未受損。</t>
    </r>
  </si>
  <si>
    <r>
      <rPr>
        <sz val="12"/>
        <rFont val="標楷體"/>
        <family val="4"/>
        <charset val="136"/>
      </rPr>
      <t>金敏</t>
    </r>
    <r>
      <rPr>
        <sz val="12"/>
        <rFont val="Times New Roman"/>
        <family val="1"/>
      </rPr>
      <t>54-2</t>
    </r>
    <r>
      <rPr>
        <sz val="12"/>
        <rFont val="標楷體"/>
        <family val="4"/>
        <charset val="136"/>
      </rPr>
      <t>號</t>
    </r>
  </si>
  <si>
    <r>
      <rPr>
        <sz val="12"/>
        <rFont val="標楷體"/>
        <family val="4"/>
        <charset val="136"/>
      </rPr>
      <t>金圳里</t>
    </r>
  </si>
  <si>
    <t> 290067.736</t>
  </si>
  <si>
    <r>
      <rPr>
        <sz val="12"/>
        <rFont val="標楷體"/>
        <family val="4"/>
        <charset val="136"/>
      </rPr>
      <t>蘇迪勒颱風期間，北部地區以新</t>
    </r>
    <r>
      <rPr>
        <sz val="12"/>
        <rFont val="Times New Roman"/>
        <family val="1"/>
      </rPr>
      <t xml:space="preserve"> </t>
    </r>
    <r>
      <rPr>
        <sz val="12"/>
        <rFont val="標楷體"/>
        <family val="4"/>
        <charset val="136"/>
      </rPr>
      <t>北市新店、烏來、三峽等地區降雨強度最高，</t>
    </r>
    <r>
      <rPr>
        <sz val="12"/>
        <rFont val="Times New Roman"/>
        <family val="1"/>
      </rPr>
      <t xml:space="preserve"> </t>
    </r>
    <r>
      <rPr>
        <sz val="12"/>
        <rFont val="標楷體"/>
        <family val="4"/>
        <charset val="136"/>
      </rPr>
      <t>造成三峽區五鳳慈蓮寺上邊坡發生崩塌，土</t>
    </r>
    <r>
      <rPr>
        <sz val="12"/>
        <rFont val="Times New Roman"/>
        <family val="1"/>
      </rPr>
      <t xml:space="preserve"> </t>
    </r>
    <r>
      <rPr>
        <sz val="12"/>
        <rFont val="標楷體"/>
        <family val="4"/>
        <charset val="136"/>
      </rPr>
      <t>石隨溪水沖入寺廟前院及緊鄰寺廟之民宅，</t>
    </r>
    <r>
      <rPr>
        <sz val="12"/>
        <rFont val="Times New Roman"/>
        <family val="1"/>
      </rPr>
      <t xml:space="preserve"> </t>
    </r>
    <r>
      <rPr>
        <sz val="12"/>
        <rFont val="標楷體"/>
        <family val="4"/>
        <charset val="136"/>
      </rPr>
      <t>並造成</t>
    </r>
    <r>
      <rPr>
        <sz val="12"/>
        <rFont val="Times New Roman"/>
        <family val="1"/>
      </rPr>
      <t xml:space="preserve"> 2 </t>
    </r>
    <r>
      <rPr>
        <sz val="12"/>
        <rFont val="標楷體"/>
        <family val="4"/>
        <charset val="136"/>
      </rPr>
      <t>位民眾於寺廟前階梯處遭岩塊撞傷。</t>
    </r>
  </si>
  <si>
    <r>
      <rPr>
        <sz val="12"/>
        <rFont val="標楷體"/>
        <family val="4"/>
        <charset val="136"/>
      </rPr>
      <t>平廣路一段</t>
    </r>
    <r>
      <rPr>
        <sz val="12"/>
        <rFont val="Times New Roman"/>
        <family val="1"/>
      </rPr>
      <t>151</t>
    </r>
    <r>
      <rPr>
        <sz val="12"/>
        <rFont val="標楷體"/>
        <family val="4"/>
        <charset val="136"/>
      </rPr>
      <t>號民宅旁野溪</t>
    </r>
  </si>
  <si>
    <r>
      <rPr>
        <sz val="12"/>
        <rFont val="標楷體"/>
        <family val="4"/>
        <charset val="136"/>
      </rPr>
      <t>新店區</t>
    </r>
  </si>
  <si>
    <r>
      <rPr>
        <sz val="12"/>
        <rFont val="標楷體"/>
        <family val="4"/>
        <charset val="136"/>
      </rPr>
      <t>廣興里</t>
    </r>
  </si>
  <si>
    <r>
      <rPr>
        <sz val="12"/>
        <rFont val="標楷體"/>
        <family val="4"/>
        <charset val="136"/>
      </rPr>
      <t>受蘇迪勒颱風影響，平廣路一段</t>
    </r>
    <r>
      <rPr>
        <sz val="12"/>
        <rFont val="Times New Roman"/>
        <family val="1"/>
      </rPr>
      <t xml:space="preserve"> 151 </t>
    </r>
    <r>
      <rPr>
        <sz val="12"/>
        <rFont val="標楷體"/>
        <family val="4"/>
        <charset val="136"/>
      </rPr>
      <t>號</t>
    </r>
    <r>
      <rPr>
        <sz val="12"/>
        <rFont val="Times New Roman"/>
        <family val="1"/>
      </rPr>
      <t xml:space="preserve"> </t>
    </r>
    <r>
      <rPr>
        <sz val="12"/>
        <rFont val="標楷體"/>
        <family val="4"/>
        <charset val="136"/>
      </rPr>
      <t>民宅旁野溪源頭發生崩塌，造成大量土砂下移沖毀</t>
    </r>
    <r>
      <rPr>
        <sz val="12"/>
        <rFont val="Times New Roman"/>
        <family val="1"/>
      </rPr>
      <t xml:space="preserve"> </t>
    </r>
    <r>
      <rPr>
        <sz val="12"/>
        <rFont val="標楷體"/>
        <family val="4"/>
        <charset val="136"/>
      </rPr>
      <t>民宅、阻斷道路，且土砂堆積於平廣溪，束縮通洪</t>
    </r>
    <r>
      <rPr>
        <sz val="12"/>
        <rFont val="Times New Roman"/>
        <family val="1"/>
      </rPr>
      <t xml:space="preserve"> </t>
    </r>
    <r>
      <rPr>
        <sz val="12"/>
        <rFont val="標楷體"/>
        <family val="4"/>
        <charset val="136"/>
      </rPr>
      <t>斷面曾形成堰塞湖，現況因已疏通故無立即危險性。</t>
    </r>
  </si>
  <si>
    <t>C0A580</t>
    <phoneticPr fontId="5" type="noConversion"/>
  </si>
  <si>
    <r>
      <rPr>
        <sz val="12"/>
        <rFont val="標楷體"/>
        <family val="4"/>
        <charset val="136"/>
      </rPr>
      <t>屈尺</t>
    </r>
    <phoneticPr fontId="5" type="noConversion"/>
  </si>
  <si>
    <r>
      <rPr>
        <sz val="12"/>
        <rFont val="標楷體"/>
        <family val="4"/>
        <charset val="136"/>
      </rPr>
      <t>平廣溪下游左側邊坡</t>
    </r>
  </si>
  <si>
    <r>
      <rPr>
        <sz val="12"/>
        <rFont val="標楷體"/>
        <family val="4"/>
        <charset val="136"/>
      </rPr>
      <t>新北</t>
    </r>
    <r>
      <rPr>
        <sz val="12"/>
        <rFont val="Times New Roman"/>
        <family val="1"/>
      </rPr>
      <t>DF091</t>
    </r>
  </si>
  <si>
    <r>
      <rPr>
        <sz val="12"/>
        <rFont val="標楷體"/>
        <family val="4"/>
        <charset val="136"/>
      </rPr>
      <t>受蘇迪勒颱風影響，平廣溪下游左側邊</t>
    </r>
    <r>
      <rPr>
        <sz val="12"/>
        <rFont val="Times New Roman"/>
        <family val="1"/>
      </rPr>
      <t xml:space="preserve"> </t>
    </r>
    <r>
      <rPr>
        <sz val="12"/>
        <rFont val="標楷體"/>
        <family val="4"/>
        <charset val="136"/>
      </rPr>
      <t>坡，及河道衝擊岸，舊有崩塌地因強降雨再度發生</t>
    </r>
    <r>
      <rPr>
        <sz val="12"/>
        <rFont val="Times New Roman"/>
        <family val="1"/>
      </rPr>
      <t xml:space="preserve"> </t>
    </r>
    <r>
      <rPr>
        <sz val="12"/>
        <rFont val="標楷體"/>
        <family val="4"/>
        <charset val="136"/>
      </rPr>
      <t>崩塌情形，崩塌下方既有護岸遭掩埋及損壞約</t>
    </r>
    <r>
      <rPr>
        <sz val="12"/>
        <rFont val="Times New Roman"/>
        <family val="1"/>
      </rPr>
      <t xml:space="preserve"> 100 </t>
    </r>
    <r>
      <rPr>
        <sz val="12"/>
        <rFont val="標楷體"/>
        <family val="4"/>
        <charset val="136"/>
      </rPr>
      <t>公尺，且崩落土砂堆罝於河道旁。</t>
    </r>
  </si>
  <si>
    <r>
      <rPr>
        <sz val="12"/>
        <rFont val="標楷體"/>
        <family val="4"/>
        <charset val="136"/>
      </rPr>
      <t>土石流潛勢溪流新北</t>
    </r>
    <r>
      <rPr>
        <sz val="12"/>
        <rFont val="Times New Roman"/>
        <family val="1"/>
      </rPr>
      <t>DF091</t>
    </r>
  </si>
  <si>
    <r>
      <rPr>
        <sz val="12"/>
        <rFont val="標楷體"/>
        <family val="4"/>
        <charset val="136"/>
      </rPr>
      <t>受蘇迪勒颱風影響，土石流潛勢溪流新</t>
    </r>
    <r>
      <rPr>
        <sz val="12"/>
        <rFont val="Times New Roman"/>
        <family val="1"/>
      </rPr>
      <t xml:space="preserve"> </t>
    </r>
    <r>
      <rPr>
        <sz val="12"/>
        <rFont val="標楷體"/>
        <family val="4"/>
        <charset val="136"/>
      </rPr>
      <t>北</t>
    </r>
    <r>
      <rPr>
        <sz val="12"/>
        <rFont val="Times New Roman"/>
        <family val="1"/>
      </rPr>
      <t xml:space="preserve"> DF091 </t>
    </r>
    <r>
      <rPr>
        <sz val="12"/>
        <rFont val="標楷體"/>
        <family val="4"/>
        <charset val="136"/>
      </rPr>
      <t>上游右岸邊坡，因強降雨發生崩塌，崩落</t>
    </r>
    <r>
      <rPr>
        <sz val="12"/>
        <rFont val="Times New Roman"/>
        <family val="1"/>
      </rPr>
      <t xml:space="preserve"> </t>
    </r>
    <r>
      <rPr>
        <sz val="12"/>
        <rFont val="標楷體"/>
        <family val="4"/>
        <charset val="136"/>
      </rPr>
      <t>土砂導致下游函管阻塞，水砂溢淹沖毀民宅及阻斷</t>
    </r>
    <r>
      <rPr>
        <sz val="12"/>
        <rFont val="Times New Roman"/>
        <family val="1"/>
      </rPr>
      <t xml:space="preserve"> </t>
    </r>
    <r>
      <rPr>
        <sz val="12"/>
        <rFont val="標楷體"/>
        <family val="4"/>
        <charset val="136"/>
      </rPr>
      <t>道路。</t>
    </r>
  </si>
  <si>
    <r>
      <rPr>
        <sz val="12"/>
        <rFont val="標楷體"/>
        <family val="4"/>
        <charset val="136"/>
      </rPr>
      <t>平廣路一段</t>
    </r>
    <r>
      <rPr>
        <sz val="12"/>
        <rFont val="Times New Roman"/>
        <family val="1"/>
      </rPr>
      <t>7</t>
    </r>
    <r>
      <rPr>
        <sz val="12"/>
        <rFont val="標楷體"/>
        <family val="4"/>
        <charset val="136"/>
      </rPr>
      <t>號民宅旁</t>
    </r>
  </si>
  <si>
    <t> 303525.510</t>
  </si>
  <si>
    <r>
      <rPr>
        <sz val="12"/>
        <rFont val="標楷體"/>
        <family val="4"/>
        <charset val="136"/>
      </rPr>
      <t>受蘇迪勒颱風影響，平廣溪上游發生多</t>
    </r>
    <r>
      <rPr>
        <sz val="12"/>
        <rFont val="Times New Roman"/>
        <family val="1"/>
      </rPr>
      <t xml:space="preserve"> </t>
    </r>
    <r>
      <rPr>
        <sz val="12"/>
        <rFont val="標楷體"/>
        <family val="4"/>
        <charset val="136"/>
      </rPr>
      <t>處邊坡崩塌，其土砂崩落於河道內，束縮通洪斷面</t>
    </r>
    <r>
      <rPr>
        <sz val="12"/>
        <rFont val="Times New Roman"/>
        <family val="1"/>
      </rPr>
      <t xml:space="preserve"> </t>
    </r>
    <r>
      <rPr>
        <sz val="12"/>
        <rFont val="標楷體"/>
        <family val="4"/>
        <charset val="136"/>
      </rPr>
      <t>及淤塞橋梁，致水砂溢淹道路並沖毀約</t>
    </r>
    <r>
      <rPr>
        <sz val="12"/>
        <rFont val="Times New Roman"/>
        <family val="1"/>
      </rPr>
      <t xml:space="preserve"> 12 </t>
    </r>
    <r>
      <rPr>
        <sz val="12"/>
        <rFont val="標楷體"/>
        <family val="4"/>
        <charset val="136"/>
      </rPr>
      <t>戶民宅，</t>
    </r>
    <r>
      <rPr>
        <sz val="12"/>
        <rFont val="Times New Roman"/>
        <family val="1"/>
      </rPr>
      <t xml:space="preserve"> </t>
    </r>
    <r>
      <rPr>
        <sz val="12"/>
        <rFont val="標楷體"/>
        <family val="4"/>
        <charset val="136"/>
      </rPr>
      <t>溢淹高度約</t>
    </r>
    <r>
      <rPr>
        <sz val="12"/>
        <rFont val="Times New Roman"/>
        <family val="1"/>
      </rPr>
      <t xml:space="preserve"> 2 </t>
    </r>
    <r>
      <rPr>
        <sz val="12"/>
        <rFont val="標楷體"/>
        <family val="4"/>
        <charset val="136"/>
      </rPr>
      <t>公尺。</t>
    </r>
  </si>
  <si>
    <r>
      <rPr>
        <sz val="12"/>
        <rFont val="標楷體"/>
        <family val="4"/>
        <charset val="136"/>
      </rPr>
      <t>屈尺里新烏路二段</t>
    </r>
    <r>
      <rPr>
        <sz val="12"/>
        <rFont val="Times New Roman"/>
        <family val="1"/>
      </rPr>
      <t>193</t>
    </r>
    <r>
      <rPr>
        <sz val="12"/>
        <rFont val="標楷體"/>
        <family val="4"/>
        <charset val="136"/>
      </rPr>
      <t>號</t>
    </r>
  </si>
  <si>
    <r>
      <rPr>
        <sz val="12"/>
        <rFont val="標楷體"/>
        <family val="4"/>
        <charset val="136"/>
      </rPr>
      <t>屈尺里</t>
    </r>
  </si>
  <si>
    <r>
      <rPr>
        <sz val="12"/>
        <rFont val="標楷體"/>
        <family val="4"/>
        <charset val="136"/>
      </rPr>
      <t>蘇迪勒颱風期間，新北市新店地區</t>
    </r>
    <r>
      <rPr>
        <sz val="12"/>
        <rFont val="Times New Roman"/>
        <family val="1"/>
      </rPr>
      <t xml:space="preserve"> </t>
    </r>
    <r>
      <rPr>
        <sz val="12"/>
        <rFont val="標楷體"/>
        <family val="4"/>
        <charset val="136"/>
      </rPr>
      <t>降雨強度高，造成屈尺里一處野溪發生土石</t>
    </r>
    <r>
      <rPr>
        <sz val="12"/>
        <rFont val="Times New Roman"/>
        <family val="1"/>
      </rPr>
      <t xml:space="preserve"> </t>
    </r>
    <r>
      <rPr>
        <sz val="12"/>
        <rFont val="標楷體"/>
        <family val="4"/>
        <charset val="136"/>
      </rPr>
      <t>流，該土石流堆積區有一戶民宅，民眾</t>
    </r>
    <r>
      <rPr>
        <sz val="12"/>
        <rFont val="Times New Roman"/>
        <family val="1"/>
      </rPr>
      <t xml:space="preserve"> 1 </t>
    </r>
    <r>
      <rPr>
        <sz val="12"/>
        <rFont val="標楷體"/>
        <family val="4"/>
        <charset val="136"/>
      </rPr>
      <t>家</t>
    </r>
    <r>
      <rPr>
        <sz val="12"/>
        <rFont val="Times New Roman"/>
        <family val="1"/>
      </rPr>
      <t xml:space="preserve"> 7 </t>
    </r>
    <r>
      <rPr>
        <sz val="12"/>
        <rFont val="標楷體"/>
        <family val="4"/>
        <charset val="136"/>
      </rPr>
      <t>口逃離時陷入土石流中，所幸民宅位於沖積扇</t>
    </r>
    <r>
      <rPr>
        <sz val="12"/>
        <rFont val="Times New Roman"/>
        <family val="1"/>
      </rPr>
      <t xml:space="preserve"> </t>
    </r>
    <r>
      <rPr>
        <sz val="12"/>
        <rFont val="標楷體"/>
        <family val="4"/>
        <charset val="136"/>
      </rPr>
      <t>最外緣，民眾並未遭受粒徑較大之岩塊撞擊，</t>
    </r>
    <r>
      <rPr>
        <sz val="12"/>
        <rFont val="Times New Roman"/>
        <family val="1"/>
      </rPr>
      <t xml:space="preserve"> </t>
    </r>
    <r>
      <rPr>
        <sz val="12"/>
        <rFont val="標楷體"/>
        <family val="4"/>
        <charset val="136"/>
      </rPr>
      <t>由當時正在附近勘災之警消人員救出。</t>
    </r>
  </si>
  <si>
    <r>
      <rPr>
        <sz val="12"/>
        <rFont val="標楷體"/>
        <family val="4"/>
        <charset val="136"/>
      </rPr>
      <t>廣興里平廣路一段</t>
    </r>
    <r>
      <rPr>
        <sz val="12"/>
        <rFont val="Times New Roman"/>
        <family val="1"/>
      </rPr>
      <t>22</t>
    </r>
    <r>
      <rPr>
        <sz val="12"/>
        <rFont val="標楷體"/>
        <family val="4"/>
        <charset val="136"/>
      </rPr>
      <t>號</t>
    </r>
  </si>
  <si>
    <t> 303410.515</t>
  </si>
  <si>
    <r>
      <rPr>
        <sz val="12"/>
        <rFont val="標楷體"/>
        <family val="4"/>
        <charset val="136"/>
      </rPr>
      <t>蘇迪勒颱風期間，新北市新店地</t>
    </r>
    <r>
      <rPr>
        <sz val="12"/>
        <rFont val="Times New Roman"/>
        <family val="1"/>
      </rPr>
      <t xml:space="preserve"> </t>
    </r>
    <r>
      <rPr>
        <sz val="12"/>
        <rFont val="標楷體"/>
        <family val="4"/>
        <charset val="136"/>
      </rPr>
      <t>區降雨強度高，造成廣興里一處野溪發生土</t>
    </r>
    <r>
      <rPr>
        <sz val="12"/>
        <rFont val="Times New Roman"/>
        <family val="1"/>
      </rPr>
      <t xml:space="preserve"> </t>
    </r>
    <r>
      <rPr>
        <sz val="12"/>
        <rFont val="標楷體"/>
        <family val="4"/>
        <charset val="136"/>
      </rPr>
      <t>石流，沖毀</t>
    </r>
    <r>
      <rPr>
        <sz val="12"/>
        <rFont val="Times New Roman"/>
        <family val="1"/>
      </rPr>
      <t xml:space="preserve"> 4 </t>
    </r>
    <r>
      <rPr>
        <sz val="12"/>
        <rFont val="標楷體"/>
        <family val="4"/>
        <charset val="136"/>
      </rPr>
      <t>棟鐵皮民宅</t>
    </r>
    <r>
      <rPr>
        <sz val="12"/>
        <rFont val="Times New Roman"/>
        <family val="1"/>
      </rPr>
      <t>(</t>
    </r>
    <r>
      <rPr>
        <sz val="12"/>
        <rFont val="標楷體"/>
        <family val="4"/>
        <charset val="136"/>
      </rPr>
      <t>長青休閒園區</t>
    </r>
    <r>
      <rPr>
        <sz val="12"/>
        <rFont val="Times New Roman"/>
        <family val="1"/>
      </rPr>
      <t>)</t>
    </r>
    <r>
      <rPr>
        <sz val="12"/>
        <rFont val="標楷體"/>
        <family val="4"/>
        <charset val="136"/>
      </rPr>
      <t>，</t>
    </r>
    <r>
      <rPr>
        <sz val="12"/>
        <rFont val="Times New Roman"/>
        <family val="1"/>
      </rPr>
      <t xml:space="preserve"> </t>
    </r>
    <r>
      <rPr>
        <sz val="12"/>
        <rFont val="標楷體"/>
        <family val="4"/>
        <charset val="136"/>
      </rPr>
      <t>所幸該民宅目前無人居住，故未造成人員傷</t>
    </r>
    <r>
      <rPr>
        <sz val="12"/>
        <rFont val="Times New Roman"/>
        <family val="1"/>
      </rPr>
      <t xml:space="preserve"> </t>
    </r>
    <r>
      <rPr>
        <sz val="12"/>
        <rFont val="標楷體"/>
        <family val="4"/>
        <charset val="136"/>
      </rPr>
      <t>亡。</t>
    </r>
  </si>
  <si>
    <r>
      <rPr>
        <sz val="12"/>
        <rFont val="標楷體"/>
        <family val="4"/>
        <charset val="136"/>
      </rPr>
      <t>日月光溫泉會館</t>
    </r>
  </si>
  <si>
    <r>
      <rPr>
        <sz val="12"/>
        <rFont val="標楷體"/>
        <family val="4"/>
        <charset val="136"/>
      </rPr>
      <t>烏來區</t>
    </r>
  </si>
  <si>
    <r>
      <rPr>
        <sz val="12"/>
        <rFont val="標楷體"/>
        <family val="4"/>
        <charset val="136"/>
      </rPr>
      <t>忠治里</t>
    </r>
  </si>
  <si>
    <r>
      <rPr>
        <sz val="12"/>
        <rFont val="標楷體"/>
        <family val="4"/>
        <charset val="136"/>
      </rPr>
      <t>新北</t>
    </r>
    <r>
      <rPr>
        <sz val="12"/>
        <rFont val="Times New Roman"/>
        <family val="1"/>
      </rPr>
      <t>DF229</t>
    </r>
  </si>
  <si>
    <r>
      <rPr>
        <sz val="12"/>
        <rFont val="標楷體"/>
        <family val="4"/>
        <charset val="136"/>
      </rPr>
      <t>蘇迪勒颱風於烏來地區降下超大豪</t>
    </r>
    <r>
      <rPr>
        <sz val="12"/>
        <rFont val="Times New Roman"/>
        <family val="1"/>
      </rPr>
      <t xml:space="preserve"> </t>
    </r>
    <r>
      <rPr>
        <sz val="12"/>
        <rFont val="標楷體"/>
        <family val="4"/>
        <charset val="136"/>
      </rPr>
      <t>雨，造成多處災害，其中日月光溫泉會館遭到來</t>
    </r>
    <r>
      <rPr>
        <sz val="12"/>
        <rFont val="Times New Roman"/>
        <family val="1"/>
      </rPr>
      <t xml:space="preserve"> </t>
    </r>
    <r>
      <rPr>
        <sz val="12"/>
        <rFont val="標楷體"/>
        <family val="4"/>
        <charset val="136"/>
      </rPr>
      <t>自野溪之土石流沖入，溫泉池及</t>
    </r>
    <r>
      <rPr>
        <sz val="12"/>
        <rFont val="Times New Roman"/>
        <family val="1"/>
      </rPr>
      <t xml:space="preserve"> 1 </t>
    </r>
    <r>
      <rPr>
        <sz val="12"/>
        <rFont val="標楷體"/>
        <family val="4"/>
        <charset val="136"/>
      </rPr>
      <t>樓設備全毀，</t>
    </r>
    <r>
      <rPr>
        <sz val="12"/>
        <rFont val="Times New Roman"/>
        <family val="1"/>
      </rPr>
      <t xml:space="preserve"> </t>
    </r>
    <r>
      <rPr>
        <sz val="12"/>
        <rFont val="標楷體"/>
        <family val="4"/>
        <charset val="136"/>
      </rPr>
      <t>另有</t>
    </r>
    <r>
      <rPr>
        <sz val="12"/>
        <rFont val="Times New Roman"/>
        <family val="1"/>
      </rPr>
      <t xml:space="preserve"> 2 </t>
    </r>
    <r>
      <rPr>
        <sz val="12"/>
        <rFont val="標楷體"/>
        <family val="4"/>
        <charset val="136"/>
      </rPr>
      <t>處民宅於流動段遭到沖毀。災害發生時，</t>
    </r>
    <r>
      <rPr>
        <sz val="12"/>
        <rFont val="Times New Roman"/>
        <family val="1"/>
      </rPr>
      <t xml:space="preserve"> </t>
    </r>
    <r>
      <rPr>
        <sz val="12"/>
        <rFont val="標楷體"/>
        <family val="4"/>
        <charset val="136"/>
      </rPr>
      <t>溫泉會館人員向外疏散不及，逃往高處避難，所</t>
    </r>
    <r>
      <rPr>
        <sz val="12"/>
        <rFont val="Times New Roman"/>
        <family val="1"/>
      </rPr>
      <t xml:space="preserve"> </t>
    </r>
    <r>
      <rPr>
        <sz val="12"/>
        <rFont val="標楷體"/>
        <family val="4"/>
        <charset val="136"/>
      </rPr>
      <t>幸並未傷亡。</t>
    </r>
  </si>
  <si>
    <t>01A440</t>
    <phoneticPr fontId="5" type="noConversion"/>
  </si>
  <si>
    <r>
      <rPr>
        <sz val="12"/>
        <rFont val="標楷體"/>
        <family val="4"/>
        <charset val="136"/>
      </rPr>
      <t>大桶山</t>
    </r>
    <phoneticPr fontId="5" type="noConversion"/>
  </si>
  <si>
    <r>
      <rPr>
        <sz val="12"/>
        <rFont val="標楷體"/>
        <family val="4"/>
        <charset val="136"/>
      </rPr>
      <t>忠治里金堰</t>
    </r>
    <r>
      <rPr>
        <sz val="12"/>
        <rFont val="Times New Roman"/>
        <family val="1"/>
      </rPr>
      <t>80-1</t>
    </r>
    <r>
      <rPr>
        <sz val="12"/>
        <rFont val="標楷體"/>
        <family val="4"/>
        <charset val="136"/>
      </rPr>
      <t>號</t>
    </r>
  </si>
  <si>
    <r>
      <rPr>
        <sz val="12"/>
        <rFont val="標楷體"/>
        <family val="4"/>
        <charset val="136"/>
      </rPr>
      <t>新北</t>
    </r>
    <r>
      <rPr>
        <sz val="12"/>
        <rFont val="Times New Roman"/>
        <family val="1"/>
      </rPr>
      <t>DF230</t>
    </r>
  </si>
  <si>
    <r>
      <rPr>
        <sz val="12"/>
        <rFont val="標楷體"/>
        <family val="4"/>
        <charset val="136"/>
      </rPr>
      <t>蘇迪勒颱風期間，烏來區忠治里一</t>
    </r>
    <r>
      <rPr>
        <sz val="12"/>
        <rFont val="Times New Roman"/>
        <family val="1"/>
      </rPr>
      <t xml:space="preserve"> </t>
    </r>
    <r>
      <rPr>
        <sz val="12"/>
        <rFont val="標楷體"/>
        <family val="4"/>
        <charset val="136"/>
      </rPr>
      <t>處野溪因流量甚大，導致溪岸多處崩塌，其中</t>
    </r>
    <r>
      <rPr>
        <sz val="12"/>
        <rFont val="Times New Roman"/>
        <family val="1"/>
      </rPr>
      <t xml:space="preserve"> </t>
    </r>
    <r>
      <rPr>
        <sz val="12"/>
        <rFont val="標楷體"/>
        <family val="4"/>
        <charset val="136"/>
      </rPr>
      <t>金堰</t>
    </r>
    <r>
      <rPr>
        <sz val="12"/>
        <rFont val="Times New Roman"/>
        <family val="1"/>
      </rPr>
      <t xml:space="preserve"> 80-1 </t>
    </r>
    <r>
      <rPr>
        <sz val="12"/>
        <rFont val="標楷體"/>
        <family val="4"/>
        <charset val="136"/>
      </rPr>
      <t>號民宅下邊坡崩塌後，房舍外緣有部</t>
    </r>
    <r>
      <rPr>
        <sz val="12"/>
        <rFont val="Times New Roman"/>
        <family val="1"/>
      </rPr>
      <t xml:space="preserve"> </t>
    </r>
    <r>
      <rPr>
        <sz val="12"/>
        <rFont val="標楷體"/>
        <family val="4"/>
        <charset val="136"/>
      </rPr>
      <t>分損毀及懸空之狀況。崩塌原因主要為坡趾受</t>
    </r>
    <r>
      <rPr>
        <sz val="12"/>
        <rFont val="Times New Roman"/>
        <family val="1"/>
      </rPr>
      <t xml:space="preserve"> </t>
    </r>
    <r>
      <rPr>
        <sz val="12"/>
        <rFont val="標楷體"/>
        <family val="4"/>
        <charset val="136"/>
      </rPr>
      <t>到野溪側向侵蝕，逐漸失去穩定，且上方道路</t>
    </r>
    <r>
      <rPr>
        <sz val="12"/>
        <rFont val="Times New Roman"/>
        <family val="1"/>
      </rPr>
      <t xml:space="preserve"> </t>
    </r>
    <r>
      <rPr>
        <sz val="12"/>
        <rFont val="標楷體"/>
        <family val="4"/>
        <charset val="136"/>
      </rPr>
      <t>因排水設施堵塞，地表逕流大多向下邊坡漫</t>
    </r>
    <r>
      <rPr>
        <sz val="12"/>
        <rFont val="Times New Roman"/>
        <family val="1"/>
      </rPr>
      <t xml:space="preserve"> </t>
    </r>
    <r>
      <rPr>
        <sz val="12"/>
        <rFont val="標楷體"/>
        <family val="4"/>
        <charset val="136"/>
      </rPr>
      <t>流，坡面亦遭到沖蝕，導致邊坡之崩積層崩落，</t>
    </r>
    <r>
      <rPr>
        <sz val="12"/>
        <rFont val="Times New Roman"/>
        <family val="1"/>
      </rPr>
      <t xml:space="preserve"> </t>
    </r>
    <r>
      <rPr>
        <sz val="12"/>
        <rFont val="標楷體"/>
        <family val="4"/>
        <charset val="136"/>
      </rPr>
      <t>露出岩盤。</t>
    </r>
  </si>
  <si>
    <r>
      <rPr>
        <sz val="12"/>
        <rFont val="標楷體"/>
        <family val="4"/>
        <charset val="136"/>
      </rPr>
      <t>忠治里金堰</t>
    </r>
    <r>
      <rPr>
        <sz val="12"/>
        <rFont val="Times New Roman"/>
        <family val="1"/>
      </rPr>
      <t>113-2</t>
    </r>
    <r>
      <rPr>
        <sz val="12"/>
        <rFont val="標楷體"/>
        <family val="4"/>
        <charset val="136"/>
      </rPr>
      <t>號</t>
    </r>
  </si>
  <si>
    <r>
      <rPr>
        <sz val="12"/>
        <rFont val="標楷體"/>
        <family val="4"/>
        <charset val="136"/>
      </rPr>
      <t>蘇迪勒颱風期間，烏來區忠治里一</t>
    </r>
    <r>
      <rPr>
        <sz val="12"/>
        <rFont val="Times New Roman"/>
        <family val="1"/>
      </rPr>
      <t xml:space="preserve"> </t>
    </r>
    <r>
      <rPr>
        <sz val="12"/>
        <rFont val="標楷體"/>
        <family val="4"/>
        <charset val="136"/>
      </rPr>
      <t>處野溪爆發土石流，造成一戶民宅</t>
    </r>
    <r>
      <rPr>
        <sz val="12"/>
        <rFont val="Times New Roman"/>
        <family val="1"/>
      </rPr>
      <t>(</t>
    </r>
    <r>
      <rPr>
        <sz val="12"/>
        <rFont val="標楷體"/>
        <family val="4"/>
        <charset val="136"/>
      </rPr>
      <t>金堰</t>
    </r>
    <r>
      <rPr>
        <sz val="12"/>
        <rFont val="Times New Roman"/>
        <family val="1"/>
      </rPr>
      <t xml:space="preserve"> 113-2 </t>
    </r>
    <r>
      <rPr>
        <sz val="12"/>
        <rFont val="標楷體"/>
        <family val="4"/>
        <charset val="136"/>
      </rPr>
      <t>號</t>
    </r>
    <r>
      <rPr>
        <sz val="12"/>
        <rFont val="Times New Roman"/>
        <family val="1"/>
      </rPr>
      <t>)</t>
    </r>
    <r>
      <rPr>
        <sz val="12"/>
        <rFont val="標楷體"/>
        <family val="4"/>
        <charset val="136"/>
      </rPr>
      <t>遭到沖擊全毀，居民</t>
    </r>
    <r>
      <rPr>
        <sz val="12"/>
        <rFont val="Times New Roman"/>
        <family val="1"/>
      </rPr>
      <t xml:space="preserve"> 2 </t>
    </r>
    <r>
      <rPr>
        <sz val="12"/>
        <rFont val="標楷體"/>
        <family val="4"/>
        <charset val="136"/>
      </rPr>
      <t>人失蹤，另土石流造</t>
    </r>
    <r>
      <rPr>
        <sz val="12"/>
        <rFont val="Times New Roman"/>
        <family val="1"/>
      </rPr>
      <t xml:space="preserve"> </t>
    </r>
    <r>
      <rPr>
        <sz val="12"/>
        <rFont val="標楷體"/>
        <family val="4"/>
        <charset val="136"/>
      </rPr>
      <t>成過路箱涵堵塞後，溪水向左岸溢流，造成民</t>
    </r>
    <r>
      <rPr>
        <sz val="12"/>
        <rFont val="Times New Roman"/>
        <family val="1"/>
      </rPr>
      <t xml:space="preserve"> </t>
    </r>
    <r>
      <rPr>
        <sz val="12"/>
        <rFont val="標楷體"/>
        <family val="4"/>
        <charset val="136"/>
      </rPr>
      <t>宅基礎掏空，其中金堰</t>
    </r>
    <r>
      <rPr>
        <sz val="12"/>
        <rFont val="Times New Roman"/>
        <family val="1"/>
      </rPr>
      <t xml:space="preserve"> 80-2 </t>
    </r>
    <r>
      <rPr>
        <sz val="12"/>
        <rFont val="標楷體"/>
        <family val="4"/>
        <charset val="136"/>
      </rPr>
      <t>號民宅局部損壞，</t>
    </r>
    <r>
      <rPr>
        <sz val="12"/>
        <rFont val="Times New Roman"/>
        <family val="1"/>
      </rPr>
      <t xml:space="preserve"> </t>
    </r>
    <r>
      <rPr>
        <sz val="12"/>
        <rFont val="標楷體"/>
        <family val="4"/>
        <charset val="136"/>
      </rPr>
      <t>金堰</t>
    </r>
    <r>
      <rPr>
        <sz val="12"/>
        <rFont val="Times New Roman"/>
        <family val="1"/>
      </rPr>
      <t xml:space="preserve"> 82 </t>
    </r>
    <r>
      <rPr>
        <sz val="12"/>
        <rFont val="標楷體"/>
        <family val="4"/>
        <charset val="136"/>
      </rPr>
      <t>號嚴重傾斜全毀。</t>
    </r>
  </si>
  <si>
    <r>
      <rPr>
        <sz val="12"/>
        <rFont val="標楷體"/>
        <family val="4"/>
        <charset val="136"/>
      </rPr>
      <t>箱根苑溫泉會館</t>
    </r>
  </si>
  <si>
    <r>
      <rPr>
        <sz val="12"/>
        <rFont val="標楷體"/>
        <family val="4"/>
        <charset val="136"/>
      </rPr>
      <t>烏來里</t>
    </r>
  </si>
  <si>
    <r>
      <rPr>
        <sz val="12"/>
        <rFont val="標楷體"/>
        <family val="4"/>
        <charset val="136"/>
      </rPr>
      <t>蘇迪勒颱風期間，烏來區烏來里一</t>
    </r>
    <r>
      <rPr>
        <sz val="12"/>
        <rFont val="Times New Roman"/>
        <family val="1"/>
      </rPr>
      <t xml:space="preserve"> </t>
    </r>
    <r>
      <rPr>
        <sz val="12"/>
        <rFont val="標楷體"/>
        <family val="4"/>
        <charset val="136"/>
      </rPr>
      <t>處產業道路下邊坡崩塌，崩落土石隨地表逕流</t>
    </r>
    <r>
      <rPr>
        <sz val="12"/>
        <rFont val="Times New Roman"/>
        <family val="1"/>
      </rPr>
      <t xml:space="preserve"> </t>
    </r>
    <r>
      <rPr>
        <sz val="12"/>
        <rFont val="標楷體"/>
        <family val="4"/>
        <charset val="136"/>
      </rPr>
      <t>沖入野溪內，產生土石流，埋沒箱根苑溫泉會</t>
    </r>
    <r>
      <rPr>
        <sz val="12"/>
        <rFont val="Times New Roman"/>
        <family val="1"/>
      </rPr>
      <t xml:space="preserve"> </t>
    </r>
    <r>
      <rPr>
        <sz val="12"/>
        <rFont val="標楷體"/>
        <family val="4"/>
        <charset val="136"/>
      </rPr>
      <t>館對面停車場之</t>
    </r>
    <r>
      <rPr>
        <sz val="12"/>
        <rFont val="Times New Roman"/>
        <family val="1"/>
      </rPr>
      <t xml:space="preserve"> 2 </t>
    </r>
    <r>
      <rPr>
        <sz val="12"/>
        <rFont val="標楷體"/>
        <family val="4"/>
        <charset val="136"/>
      </rPr>
      <t>部車輛，並堆積於台</t>
    </r>
    <r>
      <rPr>
        <sz val="12"/>
        <rFont val="Times New Roman"/>
        <family val="1"/>
      </rPr>
      <t xml:space="preserve"> 9 </t>
    </r>
    <r>
      <rPr>
        <sz val="12"/>
        <rFont val="標楷體"/>
        <family val="4"/>
        <charset val="136"/>
      </rPr>
      <t>甲線</t>
    </r>
    <r>
      <rPr>
        <sz val="12"/>
        <rFont val="Times New Roman"/>
        <family val="1"/>
      </rPr>
      <t xml:space="preserve"> </t>
    </r>
    <r>
      <rPr>
        <sz val="12"/>
        <rFont val="標楷體"/>
        <family val="4"/>
        <charset val="136"/>
      </rPr>
      <t>道路上，最遠堆積至箱根苑溫泉會館之外牆，</t>
    </r>
    <r>
      <rPr>
        <sz val="12"/>
        <rFont val="Times New Roman"/>
        <family val="1"/>
      </rPr>
      <t xml:space="preserve"> </t>
    </r>
    <r>
      <rPr>
        <sz val="12"/>
        <rFont val="標楷體"/>
        <family val="4"/>
        <charset val="136"/>
      </rPr>
      <t>造成其中一面落地窗全破，土石溢淹入室內。</t>
    </r>
    <r>
      <rPr>
        <sz val="12"/>
        <rFont val="Times New Roman"/>
        <family val="1"/>
      </rPr>
      <t xml:space="preserve"> </t>
    </r>
    <r>
      <rPr>
        <sz val="12"/>
        <rFont val="標楷體"/>
        <family val="4"/>
        <charset val="136"/>
      </rPr>
      <t>災害規模：土石堆積區長度約</t>
    </r>
    <r>
      <rPr>
        <sz val="12"/>
        <rFont val="Times New Roman"/>
        <family val="1"/>
      </rPr>
      <t xml:space="preserve"> 20m</t>
    </r>
    <r>
      <rPr>
        <sz val="12"/>
        <rFont val="標楷體"/>
        <family val="4"/>
        <charset val="136"/>
      </rPr>
      <t>，寬度約</t>
    </r>
    <r>
      <rPr>
        <sz val="12"/>
        <rFont val="Times New Roman"/>
        <family val="1"/>
      </rPr>
      <t xml:space="preserve"> 20m</t>
    </r>
    <r>
      <rPr>
        <sz val="12"/>
        <rFont val="標楷體"/>
        <family val="4"/>
        <charset val="136"/>
      </rPr>
      <t>，堆積高度最深約</t>
    </r>
    <r>
      <rPr>
        <sz val="12"/>
        <rFont val="Times New Roman"/>
        <family val="1"/>
      </rPr>
      <t xml:space="preserve"> 4m</t>
    </r>
    <r>
      <rPr>
        <sz val="12"/>
        <rFont val="標楷體"/>
        <family val="4"/>
        <charset val="136"/>
      </rPr>
      <t>。</t>
    </r>
    <phoneticPr fontId="5" type="noConversion"/>
  </si>
  <si>
    <r>
      <rPr>
        <sz val="12"/>
        <rFont val="標楷體"/>
        <family val="4"/>
        <charset val="136"/>
      </rPr>
      <t>瀑布公園</t>
    </r>
  </si>
  <si>
    <r>
      <rPr>
        <sz val="12"/>
        <rFont val="標楷體"/>
        <family val="4"/>
        <charset val="136"/>
      </rPr>
      <t>蘇迪勒颱風於烏來地區降下超大豪</t>
    </r>
    <r>
      <rPr>
        <sz val="12"/>
        <rFont val="Times New Roman"/>
        <family val="1"/>
      </rPr>
      <t xml:space="preserve"> </t>
    </r>
    <r>
      <rPr>
        <sz val="12"/>
        <rFont val="標楷體"/>
        <family val="4"/>
        <charset val="136"/>
      </rPr>
      <t>雨，造成多處災害，其中一處大面積之崩塌發生</t>
    </r>
    <r>
      <rPr>
        <sz val="12"/>
        <rFont val="Times New Roman"/>
        <family val="1"/>
      </rPr>
      <t xml:space="preserve"> </t>
    </r>
    <r>
      <rPr>
        <sz val="12"/>
        <rFont val="標楷體"/>
        <family val="4"/>
        <charset val="136"/>
      </rPr>
      <t>於瀑布公園旁，厚層之崩積層沿土、岩界面崩滑，</t>
    </r>
    <r>
      <rPr>
        <sz val="12"/>
        <rFont val="Times New Roman"/>
        <family val="1"/>
      </rPr>
      <t xml:space="preserve"> </t>
    </r>
    <r>
      <rPr>
        <sz val="12"/>
        <rFont val="標楷體"/>
        <family val="4"/>
        <charset val="136"/>
      </rPr>
      <t>造成坡趾一戶民宅</t>
    </r>
    <r>
      <rPr>
        <sz val="12"/>
        <rFont val="Times New Roman"/>
        <family val="1"/>
      </rPr>
      <t>(</t>
    </r>
    <r>
      <rPr>
        <sz val="12"/>
        <rFont val="標楷體"/>
        <family val="4"/>
        <charset val="136"/>
      </rPr>
      <t>瀑布</t>
    </r>
    <r>
      <rPr>
        <sz val="12"/>
        <rFont val="Times New Roman"/>
        <family val="1"/>
      </rPr>
      <t xml:space="preserve"> 40 </t>
    </r>
    <r>
      <rPr>
        <sz val="12"/>
        <rFont val="標楷體"/>
        <family val="4"/>
        <charset val="136"/>
      </rPr>
      <t>號之</t>
    </r>
    <r>
      <rPr>
        <sz val="12"/>
        <rFont val="Times New Roman"/>
        <family val="1"/>
      </rPr>
      <t xml:space="preserve"> 1)</t>
    </r>
    <r>
      <rPr>
        <sz val="12"/>
        <rFont val="標楷體"/>
        <family val="4"/>
        <charset val="136"/>
      </rPr>
      <t>受損，險遭土</t>
    </r>
    <r>
      <rPr>
        <sz val="12"/>
        <rFont val="Times New Roman"/>
        <family val="1"/>
      </rPr>
      <t xml:space="preserve"> </t>
    </r>
    <r>
      <rPr>
        <sz val="12"/>
        <rFont val="標楷體"/>
        <family val="4"/>
        <charset val="136"/>
      </rPr>
      <t>石掩埋，且崩落之土石造成環山路交通中斷。</t>
    </r>
  </si>
  <si>
    <r>
      <rPr>
        <sz val="12"/>
        <rFont val="標楷體"/>
        <family val="4"/>
        <charset val="136"/>
      </rPr>
      <t>烏來國中小</t>
    </r>
  </si>
  <si>
    <r>
      <rPr>
        <sz val="12"/>
        <rFont val="標楷體"/>
        <family val="4"/>
        <charset val="136"/>
      </rPr>
      <t>蘇迪勒颱風於烏來地區降下超大豪</t>
    </r>
    <r>
      <rPr>
        <sz val="12"/>
        <rFont val="Times New Roman"/>
        <family val="1"/>
      </rPr>
      <t xml:space="preserve"> </t>
    </r>
    <r>
      <rPr>
        <sz val="12"/>
        <rFont val="標楷體"/>
        <family val="4"/>
        <charset val="136"/>
      </rPr>
      <t>雨，造成多處災害，其中烏來國中小後側邊坡發</t>
    </r>
    <r>
      <rPr>
        <sz val="12"/>
        <rFont val="Times New Roman"/>
        <family val="1"/>
      </rPr>
      <t xml:space="preserve"> </t>
    </r>
    <r>
      <rPr>
        <sz val="12"/>
        <rFont val="標楷體"/>
        <family val="4"/>
        <charset val="136"/>
      </rPr>
      <t>生崩塌災害，造成</t>
    </r>
    <r>
      <rPr>
        <sz val="12"/>
        <rFont val="Times New Roman"/>
        <family val="1"/>
      </rPr>
      <t xml:space="preserve"> 5 </t>
    </r>
    <r>
      <rPr>
        <sz val="12"/>
        <rFont val="標楷體"/>
        <family val="4"/>
        <charset val="136"/>
      </rPr>
      <t>間教室受損，另台</t>
    </r>
    <r>
      <rPr>
        <sz val="12"/>
        <rFont val="Times New Roman"/>
        <family val="1"/>
      </rPr>
      <t xml:space="preserve"> 9 </t>
    </r>
    <r>
      <rPr>
        <sz val="12"/>
        <rFont val="標楷體"/>
        <family val="4"/>
        <charset val="136"/>
      </rPr>
      <t>線上下</t>
    </r>
    <r>
      <rPr>
        <sz val="12"/>
        <rFont val="Times New Roman"/>
        <family val="1"/>
      </rPr>
      <t xml:space="preserve"> </t>
    </r>
    <r>
      <rPr>
        <sz val="12"/>
        <rFont val="標楷體"/>
        <family val="4"/>
        <charset val="136"/>
      </rPr>
      <t>邊坡發生崩塌，造成約</t>
    </r>
    <r>
      <rPr>
        <sz val="12"/>
        <rFont val="Times New Roman"/>
        <family val="1"/>
      </rPr>
      <t xml:space="preserve"> 70 </t>
    </r>
    <r>
      <rPr>
        <sz val="12"/>
        <rFont val="標楷體"/>
        <family val="4"/>
        <charset val="136"/>
      </rPr>
      <t>公尺長之路基缺口，同</t>
    </r>
    <r>
      <rPr>
        <sz val="12"/>
        <rFont val="Times New Roman"/>
        <family val="1"/>
      </rPr>
      <t xml:space="preserve"> </t>
    </r>
    <r>
      <rPr>
        <sz val="12"/>
        <rFont val="標楷體"/>
        <family val="4"/>
        <charset val="136"/>
      </rPr>
      <t>時造成烏來國中小風雨操場外圍崩塌。</t>
    </r>
  </si>
  <si>
    <r>
      <rPr>
        <sz val="12"/>
        <rFont val="標楷體"/>
        <family val="4"/>
        <charset val="136"/>
      </rPr>
      <t>信福路</t>
    </r>
    <r>
      <rPr>
        <sz val="12"/>
        <rFont val="Times New Roman"/>
        <family val="1"/>
      </rPr>
      <t>6</t>
    </r>
    <r>
      <rPr>
        <sz val="12"/>
        <rFont val="標楷體"/>
        <family val="4"/>
        <charset val="136"/>
      </rPr>
      <t>巷</t>
    </r>
    <r>
      <rPr>
        <sz val="12"/>
        <rFont val="Times New Roman"/>
        <family val="1"/>
      </rPr>
      <t>1</t>
    </r>
    <r>
      <rPr>
        <sz val="12"/>
        <rFont val="標楷體"/>
        <family val="4"/>
        <charset val="136"/>
      </rPr>
      <t>號</t>
    </r>
  </si>
  <si>
    <r>
      <rPr>
        <sz val="12"/>
        <rFont val="標楷體"/>
        <family val="4"/>
        <charset val="136"/>
      </rPr>
      <t>信賢里</t>
    </r>
  </si>
  <si>
    <r>
      <rPr>
        <sz val="12"/>
        <rFont val="標楷體"/>
        <family val="4"/>
        <charset val="136"/>
      </rPr>
      <t>新北</t>
    </r>
    <r>
      <rPr>
        <sz val="12"/>
        <rFont val="Times New Roman"/>
        <family val="1"/>
      </rPr>
      <t>DF231</t>
    </r>
  </si>
  <si>
    <t> 2748562.053</t>
  </si>
  <si>
    <r>
      <rPr>
        <sz val="12"/>
        <rFont val="標楷體"/>
        <family val="4"/>
        <charset val="136"/>
      </rPr>
      <t>蘇迪勒颱風期間，烏來區樟樹溪支</t>
    </r>
    <r>
      <rPr>
        <sz val="12"/>
        <rFont val="Times New Roman"/>
        <family val="1"/>
      </rPr>
      <t xml:space="preserve"> </t>
    </r>
    <r>
      <rPr>
        <sz val="12"/>
        <rFont val="標楷體"/>
        <family val="4"/>
        <charset val="136"/>
      </rPr>
      <t>流發生土石流，造成一戶民宅</t>
    </r>
    <r>
      <rPr>
        <sz val="12"/>
        <rFont val="Times New Roman"/>
        <family val="1"/>
      </rPr>
      <t>(</t>
    </r>
    <r>
      <rPr>
        <sz val="12"/>
        <rFont val="標楷體"/>
        <family val="4"/>
        <charset val="136"/>
      </rPr>
      <t>信福路</t>
    </r>
    <r>
      <rPr>
        <sz val="12"/>
        <rFont val="Times New Roman"/>
        <family val="1"/>
      </rPr>
      <t xml:space="preserve"> 6 </t>
    </r>
    <r>
      <rPr>
        <sz val="12"/>
        <rFont val="標楷體"/>
        <family val="4"/>
        <charset val="136"/>
      </rPr>
      <t>巷</t>
    </r>
    <r>
      <rPr>
        <sz val="12"/>
        <rFont val="Times New Roman"/>
        <family val="1"/>
      </rPr>
      <t xml:space="preserve"> 1 </t>
    </r>
    <r>
      <rPr>
        <sz val="12"/>
        <rFont val="標楷體"/>
        <family val="4"/>
        <charset val="136"/>
      </rPr>
      <t>號</t>
    </r>
    <r>
      <rPr>
        <sz val="12"/>
        <rFont val="Times New Roman"/>
        <family val="1"/>
      </rPr>
      <t xml:space="preserve">) </t>
    </r>
    <r>
      <rPr>
        <sz val="12"/>
        <rFont val="標楷體"/>
        <family val="4"/>
        <charset val="136"/>
      </rPr>
      <t>局部毀損。土石由支流沖入樟樹溪主流後發生</t>
    </r>
    <r>
      <rPr>
        <sz val="12"/>
        <rFont val="Times New Roman"/>
        <family val="1"/>
      </rPr>
      <t xml:space="preserve"> </t>
    </r>
    <r>
      <rPr>
        <sz val="12"/>
        <rFont val="標楷體"/>
        <family val="4"/>
        <charset val="136"/>
      </rPr>
      <t>溢淹，又造成另一處溪岸旁之房舍</t>
    </r>
    <r>
      <rPr>
        <sz val="12"/>
        <rFont val="Times New Roman"/>
        <family val="1"/>
      </rPr>
      <t>(</t>
    </r>
    <r>
      <rPr>
        <sz val="12"/>
        <rFont val="標楷體"/>
        <family val="4"/>
        <charset val="136"/>
      </rPr>
      <t>無門牌</t>
    </r>
    <r>
      <rPr>
        <sz val="12"/>
        <rFont val="Times New Roman"/>
        <family val="1"/>
      </rPr>
      <t>)</t>
    </r>
    <r>
      <rPr>
        <sz val="12"/>
        <rFont val="標楷體"/>
        <family val="4"/>
        <charset val="136"/>
      </rPr>
      <t>遭到</t>
    </r>
    <r>
      <rPr>
        <sz val="12"/>
        <rFont val="Times New Roman"/>
        <family val="1"/>
      </rPr>
      <t xml:space="preserve"> </t>
    </r>
    <r>
      <rPr>
        <sz val="12"/>
        <rFont val="標楷體"/>
        <family val="4"/>
        <charset val="136"/>
      </rPr>
      <t>土石沖毀。信福路跨越樟樹溪主流之橋梁上有</t>
    </r>
    <r>
      <rPr>
        <sz val="12"/>
        <rFont val="Times New Roman"/>
        <family val="1"/>
      </rPr>
      <t xml:space="preserve"> </t>
    </r>
    <r>
      <rPr>
        <sz val="12"/>
        <rFont val="標楷體"/>
        <family val="4"/>
        <charset val="136"/>
      </rPr>
      <t>泥沙淤積，研判溪水曾暴漲並溢淹過橋樑以上。</t>
    </r>
  </si>
  <si>
    <r>
      <rPr>
        <sz val="12"/>
        <rFont val="標楷體"/>
        <family val="4"/>
        <charset val="136"/>
      </rPr>
      <t>信福路</t>
    </r>
    <r>
      <rPr>
        <sz val="12"/>
        <rFont val="Times New Roman"/>
        <family val="1"/>
      </rPr>
      <t>150</t>
    </r>
    <r>
      <rPr>
        <sz val="12"/>
        <rFont val="標楷體"/>
        <family val="4"/>
        <charset val="136"/>
      </rPr>
      <t>號、</t>
    </r>
    <r>
      <rPr>
        <sz val="12"/>
        <rFont val="Times New Roman"/>
        <family val="1"/>
      </rPr>
      <t>150-1</t>
    </r>
    <r>
      <rPr>
        <sz val="12"/>
        <rFont val="標楷體"/>
        <family val="4"/>
        <charset val="136"/>
      </rPr>
      <t>號</t>
    </r>
  </si>
  <si>
    <r>
      <rPr>
        <sz val="12"/>
        <rFont val="標楷體"/>
        <family val="4"/>
        <charset val="136"/>
      </rPr>
      <t>新北市烏來區信福路</t>
    </r>
    <r>
      <rPr>
        <sz val="12"/>
        <rFont val="Times New Roman"/>
        <family val="1"/>
      </rPr>
      <t xml:space="preserve"> 150 </t>
    </r>
    <r>
      <rPr>
        <sz val="12"/>
        <rFont val="標楷體"/>
        <family val="4"/>
        <charset val="136"/>
      </rPr>
      <t>號下邊</t>
    </r>
    <r>
      <rPr>
        <sz val="12"/>
        <rFont val="Times New Roman"/>
        <family val="1"/>
      </rPr>
      <t xml:space="preserve"> </t>
    </r>
    <r>
      <rPr>
        <sz val="12"/>
        <rFont val="標楷體"/>
        <family val="4"/>
        <charset val="136"/>
      </rPr>
      <t>坡</t>
    </r>
    <r>
      <rPr>
        <sz val="12"/>
        <rFont val="Times New Roman"/>
        <family val="1"/>
      </rPr>
      <t>(</t>
    </r>
    <r>
      <rPr>
        <sz val="12"/>
        <rFont val="標楷體"/>
        <family val="4"/>
        <charset val="136"/>
      </rPr>
      <t>即北</t>
    </r>
    <r>
      <rPr>
        <sz val="12"/>
        <rFont val="Times New Roman"/>
        <family val="1"/>
      </rPr>
      <t xml:space="preserve"> 107 </t>
    </r>
    <r>
      <rPr>
        <sz val="12"/>
        <rFont val="標楷體"/>
        <family val="4"/>
        <charset val="136"/>
      </rPr>
      <t>縣道</t>
    </r>
    <r>
      <rPr>
        <sz val="12"/>
        <rFont val="Times New Roman"/>
        <family val="1"/>
      </rPr>
      <t xml:space="preserve"> 8.8k </t>
    </r>
    <r>
      <rPr>
        <sz val="12"/>
        <rFont val="標楷體"/>
        <family val="4"/>
        <charset val="136"/>
      </rPr>
      <t>附近</t>
    </r>
    <r>
      <rPr>
        <sz val="12"/>
        <rFont val="Times New Roman"/>
        <family val="1"/>
      </rPr>
      <t>)</t>
    </r>
    <r>
      <rPr>
        <sz val="12"/>
        <rFont val="標楷體"/>
        <family val="4"/>
        <charset val="136"/>
      </rPr>
      <t>，於</t>
    </r>
    <r>
      <rPr>
        <sz val="12"/>
        <rFont val="Times New Roman"/>
        <family val="1"/>
      </rPr>
      <t xml:space="preserve"> 104 </t>
    </r>
    <r>
      <rPr>
        <sz val="12"/>
        <rFont val="標楷體"/>
        <family val="4"/>
        <charset val="136"/>
      </rPr>
      <t>年</t>
    </r>
    <r>
      <rPr>
        <sz val="12"/>
        <rFont val="Times New Roman"/>
        <family val="1"/>
      </rPr>
      <t xml:space="preserve"> 8 </t>
    </r>
    <r>
      <rPr>
        <sz val="12"/>
        <rFont val="標楷體"/>
        <family val="4"/>
        <charset val="136"/>
      </rPr>
      <t>月</t>
    </r>
    <r>
      <rPr>
        <sz val="12"/>
        <rFont val="Times New Roman"/>
        <family val="1"/>
      </rPr>
      <t xml:space="preserve"> 8 </t>
    </r>
    <r>
      <rPr>
        <sz val="12"/>
        <rFont val="標楷體"/>
        <family val="4"/>
        <charset val="136"/>
      </rPr>
      <t>日蘇迪勒颱風期間，因大量降雨導致邊坡發</t>
    </r>
    <r>
      <rPr>
        <sz val="12"/>
        <rFont val="Times New Roman"/>
        <family val="1"/>
      </rPr>
      <t xml:space="preserve"> </t>
    </r>
    <r>
      <rPr>
        <sz val="12"/>
        <rFont val="標楷體"/>
        <family val="4"/>
        <charset val="136"/>
      </rPr>
      <t>生崩塌，造成福山聚落居民無法進出通行。</t>
    </r>
  </si>
  <si>
    <t>01A430</t>
    <phoneticPr fontId="5" type="noConversion"/>
  </si>
  <si>
    <r>
      <rPr>
        <sz val="12"/>
        <rFont val="標楷體"/>
        <family val="4"/>
        <charset val="136"/>
      </rPr>
      <t>福山</t>
    </r>
    <phoneticPr fontId="5" type="noConversion"/>
  </si>
  <si>
    <r>
      <rPr>
        <sz val="12"/>
        <rFont val="標楷體"/>
        <family val="4"/>
        <charset val="136"/>
      </rPr>
      <t>新北</t>
    </r>
    <r>
      <rPr>
        <sz val="12"/>
        <rFont val="Times New Roman"/>
        <family val="1"/>
      </rPr>
      <t>DF103</t>
    </r>
  </si>
  <si>
    <r>
      <rPr>
        <sz val="12"/>
        <rFont val="標楷體"/>
        <family val="4"/>
        <charset val="136"/>
      </rPr>
      <t>蘇迪勒颱風期間，烏來地區降下超</t>
    </r>
    <r>
      <rPr>
        <sz val="12"/>
        <rFont val="Times New Roman"/>
        <family val="1"/>
      </rPr>
      <t xml:space="preserve"> </t>
    </r>
    <r>
      <rPr>
        <sz val="12"/>
        <rFont val="標楷體"/>
        <family val="4"/>
        <charset val="136"/>
      </rPr>
      <t>大豪雨，造成烏砂溪</t>
    </r>
    <r>
      <rPr>
        <sz val="12"/>
        <rFont val="Times New Roman"/>
        <family val="1"/>
      </rPr>
      <t>(</t>
    </r>
    <r>
      <rPr>
        <sz val="12"/>
        <rFont val="標楷體"/>
        <family val="4"/>
        <charset val="136"/>
      </rPr>
      <t>潛勢溪流</t>
    </r>
    <r>
      <rPr>
        <sz val="12"/>
        <rFont val="Times New Roman"/>
        <family val="1"/>
      </rPr>
      <t xml:space="preserve"> DF103)</t>
    </r>
    <r>
      <rPr>
        <sz val="12"/>
        <rFont val="標楷體"/>
        <family val="4"/>
        <charset val="136"/>
      </rPr>
      <t>發生土</t>
    </r>
    <r>
      <rPr>
        <sz val="12"/>
        <rFont val="Times New Roman"/>
        <family val="1"/>
      </rPr>
      <t xml:space="preserve"> </t>
    </r>
    <r>
      <rPr>
        <sz val="12"/>
        <rFont val="標楷體"/>
        <family val="4"/>
        <charset val="136"/>
      </rPr>
      <t>石流，造成烏砂溪橋箱涵堵塞，溪水及土砂漫</t>
    </r>
    <r>
      <rPr>
        <sz val="12"/>
        <rFont val="Times New Roman"/>
        <family val="1"/>
      </rPr>
      <t xml:space="preserve"> </t>
    </r>
    <r>
      <rPr>
        <sz val="12"/>
        <rFont val="標楷體"/>
        <family val="4"/>
        <charset val="136"/>
      </rPr>
      <t>過橋面板，並側向溢淹，堆積至信福路路面上。</t>
    </r>
    <r>
      <rPr>
        <sz val="12"/>
        <rFont val="Times New Roman"/>
        <family val="1"/>
      </rPr>
      <t xml:space="preserve"> </t>
    </r>
    <r>
      <rPr>
        <sz val="12"/>
        <rFont val="標楷體"/>
        <family val="4"/>
        <charset val="136"/>
      </rPr>
      <t>位於烏砂溪橋上游方向之大納度假農場因鄰近</t>
    </r>
    <r>
      <rPr>
        <sz val="12"/>
        <rFont val="Times New Roman"/>
        <family val="1"/>
      </rPr>
      <t xml:space="preserve"> </t>
    </r>
    <r>
      <rPr>
        <sz val="12"/>
        <rFont val="標楷體"/>
        <family val="4"/>
        <charset val="136"/>
      </rPr>
      <t>溪岸，於本次土石流發生時全毀，包括多間木</t>
    </r>
    <r>
      <rPr>
        <sz val="12"/>
        <rFont val="Times New Roman"/>
        <family val="1"/>
      </rPr>
      <t xml:space="preserve"> </t>
    </r>
    <r>
      <rPr>
        <sz val="12"/>
        <rFont val="標楷體"/>
        <family val="4"/>
        <charset val="136"/>
      </rPr>
      <t>屋及餐廳等，共計</t>
    </r>
    <r>
      <rPr>
        <sz val="12"/>
        <rFont val="Times New Roman"/>
        <family val="1"/>
      </rPr>
      <t xml:space="preserve"> 14 </t>
    </r>
    <r>
      <rPr>
        <sz val="12"/>
        <rFont val="標楷體"/>
        <family val="4"/>
        <charset val="136"/>
      </rPr>
      <t>間房舍遭到土石流沖擊或</t>
    </r>
    <r>
      <rPr>
        <sz val="12"/>
        <rFont val="Times New Roman"/>
        <family val="1"/>
      </rPr>
      <t xml:space="preserve"> </t>
    </r>
    <r>
      <rPr>
        <sz val="12"/>
        <rFont val="標楷體"/>
        <family val="4"/>
        <charset val="136"/>
      </rPr>
      <t>埋沒。</t>
    </r>
  </si>
  <si>
    <r>
      <rPr>
        <sz val="12"/>
        <rFont val="標楷體"/>
        <family val="4"/>
        <charset val="136"/>
      </rPr>
      <t>敦厚橋</t>
    </r>
  </si>
  <si>
    <r>
      <rPr>
        <sz val="12"/>
        <rFont val="標楷體"/>
        <family val="4"/>
        <charset val="136"/>
      </rPr>
      <t>四季村</t>
    </r>
  </si>
  <si>
    <r>
      <rPr>
        <sz val="12"/>
        <rFont val="標楷體"/>
        <family val="4"/>
        <charset val="136"/>
      </rPr>
      <t>宜縣</t>
    </r>
    <r>
      <rPr>
        <sz val="12"/>
        <rFont val="Times New Roman"/>
        <family val="1"/>
      </rPr>
      <t>DF072</t>
    </r>
  </si>
  <si>
    <r>
      <rPr>
        <sz val="12"/>
        <rFont val="標楷體"/>
        <family val="4"/>
        <charset val="136"/>
      </rPr>
      <t>受蘇迪勒颱風影響，土石流潛勢溪</t>
    </r>
    <r>
      <rPr>
        <sz val="12"/>
        <rFont val="Times New Roman"/>
        <family val="1"/>
      </rPr>
      <t xml:space="preserve"> </t>
    </r>
    <r>
      <rPr>
        <sz val="12"/>
        <rFont val="標楷體"/>
        <family val="4"/>
        <charset val="136"/>
      </rPr>
      <t>流宜縣</t>
    </r>
    <r>
      <rPr>
        <sz val="12"/>
        <rFont val="Times New Roman"/>
        <family val="1"/>
      </rPr>
      <t xml:space="preserve"> DF072 </t>
    </r>
    <r>
      <rPr>
        <sz val="12"/>
        <rFont val="標楷體"/>
        <family val="4"/>
        <charset val="136"/>
      </rPr>
      <t>爆發土石流災情；敦厚橋上游兩</t>
    </r>
    <r>
      <rPr>
        <sz val="12"/>
        <rFont val="Times New Roman"/>
        <family val="1"/>
      </rPr>
      <t xml:space="preserve"> </t>
    </r>
    <r>
      <rPr>
        <sz val="12"/>
        <rFont val="標楷體"/>
        <family val="4"/>
        <charset val="136"/>
      </rPr>
      <t>岸發生多處崩塌，其土砂崩落河道造成土石</t>
    </r>
    <r>
      <rPr>
        <sz val="12"/>
        <rFont val="Times New Roman"/>
        <family val="1"/>
      </rPr>
      <t xml:space="preserve"> </t>
    </r>
    <r>
      <rPr>
        <sz val="12"/>
        <rFont val="標楷體"/>
        <family val="4"/>
        <charset val="136"/>
      </rPr>
      <t>流，溢流敦厚橋橋面及沖毀</t>
    </r>
    <r>
      <rPr>
        <sz val="12"/>
        <rFont val="Times New Roman"/>
        <family val="1"/>
      </rPr>
      <t xml:space="preserve"> 3 </t>
    </r>
    <r>
      <rPr>
        <sz val="12"/>
        <rFont val="標楷體"/>
        <family val="4"/>
        <charset val="136"/>
      </rPr>
      <t>間房舍與農耕機。</t>
    </r>
  </si>
  <si>
    <t>01U78</t>
    <phoneticPr fontId="5" type="noConversion"/>
  </si>
  <si>
    <r>
      <rPr>
        <sz val="12"/>
        <rFont val="標楷體"/>
        <family val="4"/>
        <charset val="136"/>
      </rPr>
      <t>四季</t>
    </r>
    <phoneticPr fontId="5" type="noConversion"/>
  </si>
  <si>
    <r>
      <rPr>
        <sz val="12"/>
        <rFont val="標楷體"/>
        <family val="4"/>
        <charset val="136"/>
      </rPr>
      <t>嘎色鬧四橋</t>
    </r>
  </si>
  <si>
    <r>
      <rPr>
        <sz val="12"/>
        <rFont val="標楷體"/>
        <family val="4"/>
        <charset val="136"/>
      </rPr>
      <t>奎輝里</t>
    </r>
    <phoneticPr fontId="5" type="noConversion"/>
  </si>
  <si>
    <r>
      <rPr>
        <sz val="12"/>
        <rFont val="標楷體"/>
        <family val="4"/>
        <charset val="136"/>
      </rPr>
      <t>桃市</t>
    </r>
    <r>
      <rPr>
        <sz val="12"/>
        <rFont val="Times New Roman"/>
        <family val="1"/>
      </rPr>
      <t>DF053</t>
    </r>
  </si>
  <si>
    <r>
      <rPr>
        <sz val="12"/>
        <rFont val="標楷體"/>
        <family val="4"/>
        <charset val="136"/>
      </rPr>
      <t>受蘇迪勒颱風影響，嘎色鬧四橋上</t>
    </r>
    <r>
      <rPr>
        <sz val="12"/>
        <rFont val="Times New Roman"/>
        <family val="1"/>
      </rPr>
      <t xml:space="preserve"> </t>
    </r>
    <r>
      <rPr>
        <sz val="12"/>
        <rFont val="標楷體"/>
        <family val="4"/>
        <charset val="136"/>
      </rPr>
      <t>游野溪爆發土石流災情；上游兩岸發生多處崩</t>
    </r>
    <r>
      <rPr>
        <sz val="12"/>
        <rFont val="Times New Roman"/>
        <family val="1"/>
      </rPr>
      <t xml:space="preserve"> </t>
    </r>
    <r>
      <rPr>
        <sz val="12"/>
        <rFont val="標楷體"/>
        <family val="4"/>
        <charset val="136"/>
      </rPr>
      <t>塌，其土砂崩落河道造成土石流，溢流嘎色鬧</t>
    </r>
    <r>
      <rPr>
        <sz val="12"/>
        <rFont val="Times New Roman"/>
        <family val="1"/>
      </rPr>
      <t xml:space="preserve"> </t>
    </r>
    <r>
      <rPr>
        <sz val="12"/>
        <rFont val="標楷體"/>
        <family val="4"/>
        <charset val="136"/>
      </rPr>
      <t>四橋橋面及沖毀</t>
    </r>
    <r>
      <rPr>
        <sz val="12"/>
        <rFont val="Times New Roman"/>
        <family val="1"/>
      </rPr>
      <t xml:space="preserve"> 3 </t>
    </r>
    <r>
      <rPr>
        <sz val="12"/>
        <rFont val="標楷體"/>
        <family val="4"/>
        <charset val="136"/>
      </rPr>
      <t>間房舍。</t>
    </r>
    <r>
      <rPr>
        <sz val="12"/>
        <rFont val="Times New Roman"/>
        <family val="1"/>
      </rPr>
      <t xml:space="preserve">9 </t>
    </r>
    <r>
      <rPr>
        <sz val="12"/>
        <rFont val="標楷體"/>
        <family val="4"/>
        <charset val="136"/>
      </rPr>
      <t>月</t>
    </r>
    <r>
      <rPr>
        <sz val="12"/>
        <rFont val="Times New Roman"/>
        <family val="1"/>
      </rPr>
      <t xml:space="preserve"> 2 </t>
    </r>
    <r>
      <rPr>
        <sz val="12"/>
        <rFont val="標楷體"/>
        <family val="4"/>
        <charset val="136"/>
      </rPr>
      <t>日因午後瞬</t>
    </r>
    <r>
      <rPr>
        <sz val="12"/>
        <rFont val="Times New Roman"/>
        <family val="1"/>
      </rPr>
      <t xml:space="preserve"> </t>
    </r>
    <r>
      <rPr>
        <sz val="12"/>
        <rFont val="標楷體"/>
        <family val="4"/>
        <charset val="136"/>
      </rPr>
      <t>間豪大雨，再度造成上游土砂崩滑至河道，形</t>
    </r>
    <r>
      <rPr>
        <sz val="12"/>
        <rFont val="Times New Roman"/>
        <family val="1"/>
      </rPr>
      <t xml:space="preserve"> </t>
    </r>
    <r>
      <rPr>
        <sz val="12"/>
        <rFont val="標楷體"/>
        <family val="4"/>
        <charset val="136"/>
      </rPr>
      <t>成二次災害。</t>
    </r>
  </si>
  <si>
    <t>21C14</t>
    <phoneticPr fontId="5" type="noConversion"/>
  </si>
  <si>
    <r>
      <rPr>
        <sz val="12"/>
        <rFont val="標楷體"/>
        <family val="4"/>
        <charset val="136"/>
      </rPr>
      <t>投</t>
    </r>
    <r>
      <rPr>
        <sz val="12"/>
        <rFont val="Times New Roman"/>
        <family val="1"/>
      </rPr>
      <t xml:space="preserve"> 85 </t>
    </r>
    <r>
      <rPr>
        <sz val="12"/>
        <rFont val="標楷體"/>
        <family val="4"/>
        <charset val="136"/>
      </rPr>
      <t>線</t>
    </r>
    <r>
      <rPr>
        <sz val="12"/>
        <rFont val="Times New Roman"/>
        <family val="1"/>
      </rPr>
      <t xml:space="preserve"> 7K</t>
    </r>
    <phoneticPr fontId="5" type="noConversion"/>
  </si>
  <si>
    <r>
      <rPr>
        <sz val="12"/>
        <rFont val="標楷體"/>
        <family val="4"/>
        <charset val="136"/>
      </rPr>
      <t>投縣</t>
    </r>
    <r>
      <rPr>
        <sz val="12"/>
        <rFont val="Times New Roman"/>
        <family val="1"/>
      </rPr>
      <t>DF031</t>
    </r>
    <phoneticPr fontId="5" type="noConversion"/>
  </si>
  <si>
    <r>
      <rPr>
        <sz val="12"/>
        <rFont val="標楷體"/>
        <family val="4"/>
        <charset val="136"/>
      </rPr>
      <t>南投縣仁愛鄉投</t>
    </r>
    <r>
      <rPr>
        <sz val="12"/>
        <rFont val="Times New Roman"/>
        <family val="1"/>
      </rPr>
      <t xml:space="preserve"> 85 </t>
    </r>
    <r>
      <rPr>
        <sz val="12"/>
        <rFont val="標楷體"/>
        <family val="4"/>
        <charset val="136"/>
      </rPr>
      <t>線道路，為合</t>
    </r>
    <r>
      <rPr>
        <sz val="12"/>
        <rFont val="Times New Roman"/>
        <family val="1"/>
      </rPr>
      <t xml:space="preserve"> </t>
    </r>
    <r>
      <rPr>
        <sz val="12"/>
        <rFont val="標楷體"/>
        <family val="4"/>
        <charset val="136"/>
      </rPr>
      <t>作村之主要聯外道路，其</t>
    </r>
    <r>
      <rPr>
        <sz val="12"/>
        <rFont val="Times New Roman"/>
        <family val="1"/>
      </rPr>
      <t xml:space="preserve"> 7k </t>
    </r>
    <r>
      <rPr>
        <sz val="12"/>
        <rFont val="標楷體"/>
        <family val="4"/>
        <charset val="136"/>
      </rPr>
      <t>附近路段自</t>
    </r>
    <r>
      <rPr>
        <sz val="12"/>
        <rFont val="Times New Roman"/>
        <family val="1"/>
      </rPr>
      <t xml:space="preserve"> 104 </t>
    </r>
    <r>
      <rPr>
        <sz val="12"/>
        <rFont val="標楷體"/>
        <family val="4"/>
        <charset val="136"/>
      </rPr>
      <t>年</t>
    </r>
    <r>
      <rPr>
        <sz val="12"/>
        <rFont val="Times New Roman"/>
        <family val="1"/>
      </rPr>
      <t xml:space="preserve"> 7 </t>
    </r>
    <r>
      <rPr>
        <sz val="12"/>
        <rFont val="標楷體"/>
        <family val="4"/>
        <charset val="136"/>
      </rPr>
      <t>月份開始，陸續有小規模土石崩落，至</t>
    </r>
    <r>
      <rPr>
        <sz val="12"/>
        <rFont val="Times New Roman"/>
        <family val="1"/>
      </rPr>
      <t xml:space="preserve"> 8 </t>
    </r>
    <r>
      <rPr>
        <sz val="12"/>
        <rFont val="標楷體"/>
        <family val="4"/>
        <charset val="136"/>
      </rPr>
      <t>月</t>
    </r>
    <r>
      <rPr>
        <sz val="12"/>
        <rFont val="Times New Roman"/>
        <family val="1"/>
      </rPr>
      <t xml:space="preserve"> 1 </t>
    </r>
    <r>
      <rPr>
        <sz val="12"/>
        <rFont val="標楷體"/>
        <family val="4"/>
        <charset val="136"/>
      </rPr>
      <t>日</t>
    </r>
    <r>
      <rPr>
        <sz val="12"/>
        <rFont val="Times New Roman"/>
        <family val="1"/>
      </rPr>
      <t xml:space="preserve"> 5 </t>
    </r>
    <r>
      <rPr>
        <sz val="12"/>
        <rFont val="標楷體"/>
        <family val="4"/>
        <charset val="136"/>
      </rPr>
      <t>時，擴大為大範圍之崩塌，土石埋沒</t>
    </r>
    <r>
      <rPr>
        <sz val="12"/>
        <rFont val="Times New Roman"/>
        <family val="1"/>
      </rPr>
      <t xml:space="preserve"> </t>
    </r>
    <r>
      <rPr>
        <sz val="12"/>
        <rFont val="標楷體"/>
        <family val="4"/>
        <charset val="136"/>
      </rPr>
      <t>路段長度約</t>
    </r>
    <r>
      <rPr>
        <sz val="12"/>
        <rFont val="Times New Roman"/>
        <family val="1"/>
      </rPr>
      <t xml:space="preserve"> 50 </t>
    </r>
    <r>
      <rPr>
        <sz val="12"/>
        <rFont val="標楷體"/>
        <family val="4"/>
        <charset val="136"/>
      </rPr>
      <t>公尺，造成約</t>
    </r>
    <r>
      <rPr>
        <sz val="12"/>
        <rFont val="Times New Roman"/>
        <family val="1"/>
      </rPr>
      <t xml:space="preserve"> 2,000 </t>
    </r>
    <r>
      <rPr>
        <sz val="12"/>
        <rFont val="標楷體"/>
        <family val="4"/>
        <charset val="136"/>
      </rPr>
      <t>位村民及</t>
    </r>
    <r>
      <rPr>
        <sz val="12"/>
        <rFont val="Times New Roman"/>
        <family val="1"/>
      </rPr>
      <t xml:space="preserve"> </t>
    </r>
    <r>
      <rPr>
        <sz val="12"/>
        <rFont val="標楷體"/>
        <family val="4"/>
        <charset val="136"/>
      </rPr>
      <t>外來民眾交通受阻，引起外界高度關注。</t>
    </r>
  </si>
  <si>
    <t>C0I010</t>
    <phoneticPr fontId="5" type="noConversion"/>
  </si>
  <si>
    <r>
      <rPr>
        <sz val="12"/>
        <rFont val="標楷體"/>
        <family val="4"/>
        <charset val="136"/>
      </rPr>
      <t>坪林區</t>
    </r>
    <phoneticPr fontId="5" type="noConversion"/>
  </si>
  <si>
    <r>
      <rPr>
        <sz val="12"/>
        <rFont val="標楷體"/>
        <family val="4"/>
        <charset val="136"/>
      </rPr>
      <t>粗窟里</t>
    </r>
    <phoneticPr fontId="5" type="noConversion"/>
  </si>
  <si>
    <r>
      <rPr>
        <sz val="12"/>
        <rFont val="標楷體"/>
        <family val="4"/>
        <charset val="136"/>
      </rPr>
      <t>杜鵑颱風</t>
    </r>
    <phoneticPr fontId="5" type="noConversion"/>
  </si>
  <si>
    <r>
      <rPr>
        <sz val="12"/>
        <rFont val="標楷體"/>
        <family val="4"/>
        <charset val="136"/>
      </rPr>
      <t>杜鵑颱風期間，新北市坪林地區降下大豪雨，造成台</t>
    </r>
    <r>
      <rPr>
        <sz val="12"/>
        <rFont val="Times New Roman"/>
        <family val="1"/>
      </rPr>
      <t xml:space="preserve"> 9 </t>
    </r>
    <r>
      <rPr>
        <sz val="12"/>
        <rFont val="標楷體"/>
        <family val="4"/>
        <charset val="136"/>
      </rPr>
      <t>線</t>
    </r>
    <r>
      <rPr>
        <sz val="12"/>
        <rFont val="Times New Roman"/>
        <family val="1"/>
      </rPr>
      <t xml:space="preserve"> 34k </t>
    </r>
    <r>
      <rPr>
        <sz val="12"/>
        <rFont val="標楷體"/>
        <family val="4"/>
        <charset val="136"/>
      </rPr>
      <t>上方一處邊坡發生地滑，崩落土石及地表水沿一道既有沖蝕溝沖落，造成沖蝕溝擴大，並波及台</t>
    </r>
    <r>
      <rPr>
        <sz val="12"/>
        <rFont val="Times New Roman"/>
        <family val="1"/>
      </rPr>
      <t xml:space="preserve"> 9</t>
    </r>
    <r>
      <rPr>
        <sz val="12"/>
        <rFont val="標楷體"/>
        <family val="4"/>
        <charset val="136"/>
      </rPr>
      <t>線旁一戶民宅。</t>
    </r>
    <phoneticPr fontId="5" type="noConversion"/>
  </si>
  <si>
    <t>C0A530</t>
    <phoneticPr fontId="5" type="noConversion"/>
  </si>
  <si>
    <r>
      <rPr>
        <sz val="12"/>
        <rFont val="標楷體"/>
        <family val="4"/>
        <charset val="136"/>
      </rPr>
      <t>坪林</t>
    </r>
  </si>
  <si>
    <r>
      <rPr>
        <sz val="12"/>
        <rFont val="標楷體"/>
        <family val="4"/>
        <charset val="136"/>
      </rPr>
      <t>大林里</t>
    </r>
    <phoneticPr fontId="5" type="noConversion"/>
  </si>
  <si>
    <r>
      <rPr>
        <sz val="12"/>
        <rFont val="標楷體"/>
        <family val="4"/>
        <charset val="136"/>
      </rPr>
      <t>新北</t>
    </r>
    <r>
      <rPr>
        <sz val="12"/>
        <rFont val="Times New Roman"/>
        <family val="1"/>
      </rPr>
      <t>DF232</t>
    </r>
  </si>
  <si>
    <r>
      <rPr>
        <sz val="12"/>
        <rFont val="標楷體"/>
        <family val="4"/>
        <charset val="136"/>
      </rPr>
      <t>杜鵑颱風期間，新北市坪林地區降下大豪雨，逮魚堀溪上游於</t>
    </r>
    <r>
      <rPr>
        <sz val="12"/>
        <rFont val="Times New Roman"/>
        <family val="1"/>
      </rPr>
      <t xml:space="preserve"> 9 </t>
    </r>
    <r>
      <rPr>
        <sz val="12"/>
        <rFont val="標楷體"/>
        <family val="4"/>
        <charset val="136"/>
      </rPr>
      <t>月</t>
    </r>
    <r>
      <rPr>
        <sz val="12"/>
        <rFont val="Times New Roman"/>
        <family val="1"/>
      </rPr>
      <t xml:space="preserve"> 28 </t>
    </r>
    <r>
      <rPr>
        <sz val="12"/>
        <rFont val="標楷體"/>
        <family val="4"/>
        <charset val="136"/>
      </rPr>
      <t>日</t>
    </r>
    <r>
      <rPr>
        <sz val="12"/>
        <rFont val="Times New Roman"/>
        <family val="1"/>
      </rPr>
      <t xml:space="preserve"> 19 </t>
    </r>
    <r>
      <rPr>
        <sz val="12"/>
        <rFont val="標楷體"/>
        <family val="4"/>
        <charset val="136"/>
      </rPr>
      <t>時發生一處崩塌，暫時堵塞河道形成堰塞湖。</t>
    </r>
    <r>
      <rPr>
        <sz val="12"/>
        <rFont val="Times New Roman"/>
        <family val="1"/>
      </rPr>
      <t>3</t>
    </r>
    <r>
      <rPr>
        <sz val="12"/>
        <rFont val="標楷體"/>
        <family val="4"/>
        <charset val="136"/>
      </rPr>
      <t>小時後堰塞湖潰決演變為土石流，沖毀台</t>
    </r>
    <r>
      <rPr>
        <sz val="12"/>
        <rFont val="Times New Roman"/>
        <family val="1"/>
      </rPr>
      <t xml:space="preserve"> 9 </t>
    </r>
    <r>
      <rPr>
        <sz val="12"/>
        <rFont val="標楷體"/>
        <family val="4"/>
        <charset val="136"/>
      </rPr>
      <t>線</t>
    </r>
    <r>
      <rPr>
        <sz val="12"/>
        <rFont val="Times New Roman"/>
        <family val="1"/>
      </rPr>
      <t xml:space="preserve">39k </t>
    </r>
    <r>
      <rPr>
        <sz val="12"/>
        <rFont val="標楷體"/>
        <family val="4"/>
        <charset val="136"/>
      </rPr>
      <t>下方一棟民宅，並堆積於下游之農地</t>
    </r>
    <phoneticPr fontId="5" type="noConversion"/>
  </si>
  <si>
    <r>
      <t>105</t>
    </r>
    <r>
      <rPr>
        <sz val="12"/>
        <rFont val="標楷體"/>
        <family val="4"/>
        <charset val="136"/>
      </rPr>
      <t>年新增土石流</t>
    </r>
    <phoneticPr fontId="5" type="noConversion"/>
  </si>
  <si>
    <r>
      <rPr>
        <sz val="12"/>
        <rFont val="標楷體"/>
        <family val="4"/>
        <charset val="136"/>
      </rPr>
      <t>烏來區</t>
    </r>
    <phoneticPr fontId="5" type="noConversion"/>
  </si>
  <si>
    <r>
      <rPr>
        <sz val="12"/>
        <rFont val="標楷體"/>
        <family val="4"/>
        <charset val="136"/>
      </rPr>
      <t>烏來里</t>
    </r>
    <phoneticPr fontId="5" type="noConversion"/>
  </si>
  <si>
    <r>
      <rPr>
        <sz val="12"/>
        <rFont val="標楷體"/>
        <family val="4"/>
        <charset val="136"/>
      </rPr>
      <t>杜鵑颱風期間，烏來地區降下大豪雨，造成那魯灣飯店及雲仙樂園上方之道路邊坡發生沖蝕型崩塌，崩落之土砂隨逕流向下流動，部分流入那魯灣飯店及雲仙樂園內，部分堆積於那魯灣飯店門口，造成飯店內人員受困。另那魯灣飯店下方尚有其他數間店家，亦遭到土砂堆積或沖入，堆積高度最高約</t>
    </r>
    <r>
      <rPr>
        <sz val="12"/>
        <rFont val="Times New Roman"/>
        <family val="1"/>
      </rPr>
      <t xml:space="preserve"> 3m</t>
    </r>
    <r>
      <rPr>
        <sz val="12"/>
        <rFont val="標楷體"/>
        <family val="4"/>
        <charset val="136"/>
      </rPr>
      <t>。</t>
    </r>
    <phoneticPr fontId="5" type="noConversion"/>
  </si>
  <si>
    <r>
      <rPr>
        <sz val="12"/>
        <rFont val="標楷體"/>
        <family val="4"/>
        <charset val="136"/>
      </rPr>
      <t>大桶山</t>
    </r>
  </si>
  <si>
    <t>-</t>
    <phoneticPr fontId="5" type="noConversion"/>
  </si>
  <si>
    <r>
      <rPr>
        <sz val="12"/>
        <rFont val="標楷體"/>
        <family val="4"/>
        <charset val="136"/>
      </rPr>
      <t>龍安街</t>
    </r>
    <r>
      <rPr>
        <sz val="12"/>
        <rFont val="Times New Roman"/>
        <family val="1"/>
      </rPr>
      <t>332</t>
    </r>
    <r>
      <rPr>
        <sz val="12"/>
        <rFont val="標楷體"/>
        <family val="4"/>
        <charset val="136"/>
      </rPr>
      <t>巷</t>
    </r>
    <r>
      <rPr>
        <sz val="12"/>
        <rFont val="Times New Roman"/>
        <family val="1"/>
      </rPr>
      <t>30</t>
    </r>
    <r>
      <rPr>
        <sz val="12"/>
        <rFont val="標楷體"/>
        <family val="4"/>
        <charset val="136"/>
      </rPr>
      <t>號</t>
    </r>
  </si>
  <si>
    <r>
      <rPr>
        <sz val="12"/>
        <rFont val="標楷體"/>
        <family val="4"/>
        <charset val="136"/>
      </rPr>
      <t>仁愛區</t>
    </r>
  </si>
  <si>
    <r>
      <rPr>
        <sz val="12"/>
        <rFont val="標楷體"/>
        <family val="4"/>
        <charset val="136"/>
      </rPr>
      <t>龍門里</t>
    </r>
  </si>
  <si>
    <r>
      <rPr>
        <sz val="12"/>
        <rFont val="標楷體"/>
        <family val="4"/>
        <charset val="136"/>
      </rPr>
      <t>因連日大雨，龍安街</t>
    </r>
    <r>
      <rPr>
        <sz val="12"/>
        <rFont val="Times New Roman"/>
        <family val="1"/>
      </rPr>
      <t>332</t>
    </r>
    <r>
      <rPr>
        <sz val="12"/>
        <rFont val="標楷體"/>
        <family val="4"/>
        <charset val="136"/>
      </rPr>
      <t>巷民宅</t>
    </r>
    <r>
      <rPr>
        <sz val="12"/>
        <rFont val="Times New Roman"/>
        <family val="1"/>
      </rPr>
      <t xml:space="preserve"> </t>
    </r>
    <r>
      <rPr>
        <sz val="12"/>
        <rFont val="標楷體"/>
        <family val="4"/>
        <charset val="136"/>
      </rPr>
      <t>後側邊坡發生崩塌，造成</t>
    </r>
    <r>
      <rPr>
        <sz val="12"/>
        <rFont val="Times New Roman"/>
        <family val="1"/>
      </rPr>
      <t>30</t>
    </r>
    <r>
      <rPr>
        <sz val="12"/>
        <rFont val="標楷體"/>
        <family val="4"/>
        <charset val="136"/>
      </rPr>
      <t>號民宅局部毀</t>
    </r>
    <r>
      <rPr>
        <sz val="12"/>
        <rFont val="Times New Roman"/>
        <family val="1"/>
      </rPr>
      <t xml:space="preserve"> </t>
    </r>
    <r>
      <rPr>
        <sz val="12"/>
        <rFont val="標楷體"/>
        <family val="4"/>
        <charset val="136"/>
      </rPr>
      <t>損，</t>
    </r>
    <r>
      <rPr>
        <sz val="12"/>
        <rFont val="Times New Roman"/>
        <family val="1"/>
      </rPr>
      <t>29</t>
    </r>
    <r>
      <rPr>
        <sz val="12"/>
        <rFont val="標楷體"/>
        <family val="4"/>
        <charset val="136"/>
      </rPr>
      <t>號民宅亦有土砂堆積。</t>
    </r>
    <r>
      <rPr>
        <sz val="12"/>
        <rFont val="Times New Roman"/>
        <family val="1"/>
      </rPr>
      <t xml:space="preserve"> </t>
    </r>
    <phoneticPr fontId="5" type="noConversion"/>
  </si>
  <si>
    <r>
      <rPr>
        <sz val="12"/>
        <rFont val="標楷體"/>
        <family val="4"/>
        <charset val="136"/>
      </rPr>
      <t>基隆</t>
    </r>
    <phoneticPr fontId="5" type="noConversion"/>
  </si>
  <si>
    <t>_</t>
    <phoneticPr fontId="5" type="noConversion"/>
  </si>
  <si>
    <r>
      <rPr>
        <sz val="12"/>
        <rFont val="標楷體"/>
        <family val="4"/>
        <charset val="136"/>
      </rPr>
      <t>水源路二段</t>
    </r>
    <r>
      <rPr>
        <sz val="12"/>
        <rFont val="Times New Roman"/>
        <family val="1"/>
      </rPr>
      <t>72</t>
    </r>
    <r>
      <rPr>
        <sz val="12"/>
        <rFont val="標楷體"/>
        <family val="4"/>
        <charset val="136"/>
      </rPr>
      <t>巷</t>
    </r>
    <r>
      <rPr>
        <sz val="12"/>
        <rFont val="Times New Roman"/>
        <family val="1"/>
      </rPr>
      <t>71</t>
    </r>
    <r>
      <rPr>
        <sz val="12"/>
        <rFont val="標楷體"/>
        <family val="4"/>
        <charset val="136"/>
      </rPr>
      <t>弄</t>
    </r>
  </si>
  <si>
    <r>
      <rPr>
        <sz val="12"/>
        <rFont val="標楷體"/>
        <family val="4"/>
        <charset val="136"/>
      </rPr>
      <t>汐止區</t>
    </r>
  </si>
  <si>
    <r>
      <rPr>
        <sz val="12"/>
        <rFont val="標楷體"/>
        <family val="4"/>
        <charset val="136"/>
      </rPr>
      <t>白雲里</t>
    </r>
  </si>
  <si>
    <r>
      <rPr>
        <sz val="12"/>
        <rFont val="標楷體"/>
        <family val="4"/>
        <charset val="136"/>
      </rPr>
      <t>受到鋒面影響，台灣東北部連日</t>
    </r>
    <r>
      <rPr>
        <sz val="12"/>
        <rFont val="Times New Roman"/>
        <family val="1"/>
      </rPr>
      <t xml:space="preserve"> </t>
    </r>
    <r>
      <rPr>
        <sz val="12"/>
        <rFont val="標楷體"/>
        <family val="4"/>
        <charset val="136"/>
      </rPr>
      <t>有雨，汐止一處坡地社區因坡面受到持續沖</t>
    </r>
    <r>
      <rPr>
        <sz val="12"/>
        <rFont val="Times New Roman"/>
        <family val="1"/>
      </rPr>
      <t xml:space="preserve"> </t>
    </r>
    <r>
      <rPr>
        <sz val="12"/>
        <rFont val="標楷體"/>
        <family val="4"/>
        <charset val="136"/>
      </rPr>
      <t>蝕，導致邊坡、擋土牆及填方區崩塌，造成</t>
    </r>
    <r>
      <rPr>
        <sz val="12"/>
        <rFont val="Times New Roman"/>
        <family val="1"/>
      </rPr>
      <t xml:space="preserve"> 1</t>
    </r>
    <r>
      <rPr>
        <sz val="12"/>
        <rFont val="標楷體"/>
        <family val="4"/>
        <charset val="136"/>
      </rPr>
      <t>戶民宅基礎淘空、</t>
    </r>
    <r>
      <rPr>
        <sz val="12"/>
        <rFont val="Times New Roman"/>
        <family val="1"/>
      </rPr>
      <t>2</t>
    </r>
    <r>
      <rPr>
        <sz val="12"/>
        <rFont val="標楷體"/>
        <family val="4"/>
        <charset val="136"/>
      </rPr>
      <t>戶民宅後院崩塌。</t>
    </r>
    <r>
      <rPr>
        <sz val="12"/>
        <rFont val="Times New Roman"/>
        <family val="1"/>
      </rPr>
      <t xml:space="preserve"> </t>
    </r>
    <phoneticPr fontId="5" type="noConversion"/>
  </si>
  <si>
    <t>C0AH00</t>
    <phoneticPr fontId="5" type="noConversion"/>
  </si>
  <si>
    <r>
      <rPr>
        <sz val="12"/>
        <rFont val="標楷體"/>
        <family val="4"/>
        <charset val="136"/>
      </rPr>
      <t>汐止</t>
    </r>
    <phoneticPr fontId="5" type="noConversion"/>
  </si>
  <si>
    <r>
      <rPr>
        <sz val="12"/>
        <rFont val="標楷體"/>
        <family val="4"/>
        <charset val="136"/>
      </rPr>
      <t>秀巒國小對岸邊坡</t>
    </r>
  </si>
  <si>
    <r>
      <rPr>
        <sz val="12"/>
        <rFont val="標楷體"/>
        <family val="4"/>
        <charset val="136"/>
      </rPr>
      <t>秀巒村</t>
    </r>
  </si>
  <si>
    <r>
      <rPr>
        <sz val="12"/>
        <rFont val="標楷體"/>
        <family val="4"/>
        <charset val="136"/>
      </rPr>
      <t>受前期梅姬颱風間接影響，秀巒</t>
    </r>
    <r>
      <rPr>
        <sz val="12"/>
        <rFont val="Times New Roman"/>
        <family val="1"/>
      </rPr>
      <t xml:space="preserve"> </t>
    </r>
    <r>
      <rPr>
        <sz val="12"/>
        <rFont val="標楷體"/>
        <family val="4"/>
        <charset val="136"/>
      </rPr>
      <t>國小對岸邊坡</t>
    </r>
    <r>
      <rPr>
        <sz val="12"/>
        <rFont val="Times New Roman"/>
        <family val="1"/>
      </rPr>
      <t>(</t>
    </r>
    <r>
      <rPr>
        <sz val="12"/>
        <rFont val="標楷體"/>
        <family val="4"/>
        <charset val="136"/>
      </rPr>
      <t>白石溪右岸</t>
    </r>
    <r>
      <rPr>
        <sz val="12"/>
        <rFont val="Times New Roman"/>
        <family val="1"/>
      </rPr>
      <t>)</t>
    </r>
    <r>
      <rPr>
        <sz val="12"/>
        <rFont val="標楷體"/>
        <family val="4"/>
        <charset val="136"/>
      </rPr>
      <t>發生崩塌，崩落</t>
    </r>
    <r>
      <rPr>
        <sz val="12"/>
        <rFont val="Times New Roman"/>
        <family val="1"/>
      </rPr>
      <t xml:space="preserve"> </t>
    </r>
    <r>
      <rPr>
        <sz val="12"/>
        <rFont val="標楷體"/>
        <family val="4"/>
        <charset val="136"/>
      </rPr>
      <t>之土砂堆積於白石溪河道，佔據約三分之一</t>
    </r>
    <r>
      <rPr>
        <sz val="12"/>
        <rFont val="Times New Roman"/>
        <family val="1"/>
      </rPr>
      <t xml:space="preserve"> </t>
    </r>
    <r>
      <rPr>
        <sz val="12"/>
        <rFont val="標楷體"/>
        <family val="4"/>
        <charset val="136"/>
      </rPr>
      <t>河道寬度。</t>
    </r>
    <r>
      <rPr>
        <sz val="12"/>
        <rFont val="Times New Roman"/>
        <family val="1"/>
      </rPr>
      <t xml:space="preserve"> </t>
    </r>
    <phoneticPr fontId="5" type="noConversion"/>
  </si>
  <si>
    <t>21D170</t>
    <phoneticPr fontId="5" type="noConversion"/>
  </si>
  <si>
    <r>
      <rPr>
        <sz val="12"/>
        <rFont val="標楷體"/>
        <family val="4"/>
        <charset val="136"/>
      </rPr>
      <t>鎮西堡</t>
    </r>
    <phoneticPr fontId="5" type="noConversion"/>
  </si>
  <si>
    <r>
      <rPr>
        <sz val="12"/>
        <rFont val="標楷體"/>
        <family val="4"/>
        <charset val="136"/>
      </rPr>
      <t>崩塌</t>
    </r>
    <r>
      <rPr>
        <sz val="12"/>
        <rFont val="Times New Roman"/>
        <family val="1"/>
      </rPr>
      <t>,</t>
    </r>
    <r>
      <rPr>
        <sz val="12"/>
        <rFont val="標楷體"/>
        <family val="4"/>
        <charset val="136"/>
      </rPr>
      <t>沖蝕</t>
    </r>
  </si>
  <si>
    <r>
      <rPr>
        <sz val="12"/>
        <rFont val="標楷體"/>
        <family val="4"/>
        <charset val="136"/>
      </rPr>
      <t>內奎輝</t>
    </r>
    <r>
      <rPr>
        <sz val="12"/>
        <rFont val="Times New Roman"/>
        <family val="1"/>
      </rPr>
      <t>9</t>
    </r>
    <r>
      <rPr>
        <sz val="12"/>
        <rFont val="標楷體"/>
        <family val="4"/>
        <charset val="136"/>
      </rPr>
      <t>鄰</t>
    </r>
    <r>
      <rPr>
        <sz val="12"/>
        <rFont val="Times New Roman"/>
        <family val="1"/>
      </rPr>
      <t>8</t>
    </r>
    <r>
      <rPr>
        <sz val="12"/>
        <rFont val="標楷體"/>
        <family val="4"/>
        <charset val="136"/>
      </rPr>
      <t>號</t>
    </r>
  </si>
  <si>
    <r>
      <rPr>
        <sz val="12"/>
        <rFont val="標楷體"/>
        <family val="4"/>
        <charset val="136"/>
      </rPr>
      <t>桃園市</t>
    </r>
  </si>
  <si>
    <r>
      <rPr>
        <sz val="12"/>
        <rFont val="標楷體"/>
        <family val="4"/>
        <charset val="136"/>
      </rPr>
      <t>受梅姬颱風帶來之豪雨影響，內</t>
    </r>
    <r>
      <rPr>
        <sz val="12"/>
        <rFont val="Times New Roman"/>
        <family val="1"/>
      </rPr>
      <t xml:space="preserve"> </t>
    </r>
    <r>
      <rPr>
        <sz val="12"/>
        <rFont val="標楷體"/>
        <family val="4"/>
        <charset val="136"/>
      </rPr>
      <t>奎輝產業道路基礎淘刷，下移土砂衝進內奎</t>
    </r>
    <r>
      <rPr>
        <sz val="12"/>
        <rFont val="Times New Roman"/>
        <family val="1"/>
      </rPr>
      <t xml:space="preserve"> </t>
    </r>
    <r>
      <rPr>
        <sz val="12"/>
        <rFont val="標楷體"/>
        <family val="4"/>
        <charset val="136"/>
      </rPr>
      <t>輝</t>
    </r>
    <r>
      <rPr>
        <sz val="12"/>
        <rFont val="Times New Roman"/>
        <family val="1"/>
      </rPr>
      <t>9</t>
    </r>
    <r>
      <rPr>
        <sz val="12"/>
        <rFont val="標楷體"/>
        <family val="4"/>
        <charset val="136"/>
      </rPr>
      <t>鄰</t>
    </r>
    <r>
      <rPr>
        <sz val="12"/>
        <rFont val="Times New Roman"/>
        <family val="1"/>
      </rPr>
      <t>8</t>
    </r>
    <r>
      <rPr>
        <sz val="12"/>
        <rFont val="標楷體"/>
        <family val="4"/>
        <charset val="136"/>
      </rPr>
      <t>號民宅後方廚房。路基淘刷約</t>
    </r>
    <r>
      <rPr>
        <sz val="12"/>
        <rFont val="Times New Roman"/>
        <family val="1"/>
      </rPr>
      <t xml:space="preserve">8~10 </t>
    </r>
    <r>
      <rPr>
        <sz val="12"/>
        <rFont val="標楷體"/>
        <family val="4"/>
        <charset val="136"/>
      </rPr>
      <t>公尺長，深度約</t>
    </r>
    <r>
      <rPr>
        <sz val="12"/>
        <rFont val="Times New Roman"/>
        <family val="1"/>
      </rPr>
      <t>30</t>
    </r>
    <r>
      <rPr>
        <sz val="12"/>
        <rFont val="標楷體"/>
        <family val="4"/>
        <charset val="136"/>
      </rPr>
      <t>至</t>
    </r>
    <r>
      <rPr>
        <sz val="12"/>
        <rFont val="Times New Roman"/>
        <family val="1"/>
      </rPr>
      <t>60</t>
    </r>
    <r>
      <rPr>
        <sz val="12"/>
        <rFont val="標楷體"/>
        <family val="4"/>
        <charset val="136"/>
      </rPr>
      <t>公分，路面及上邊</t>
    </r>
    <r>
      <rPr>
        <sz val="12"/>
        <rFont val="Times New Roman"/>
        <family val="1"/>
      </rPr>
      <t xml:space="preserve"> </t>
    </r>
    <r>
      <rPr>
        <sz val="12"/>
        <rFont val="標楷體"/>
        <family val="4"/>
        <charset val="136"/>
      </rPr>
      <t>坡擋土牆無明顯裂痕。</t>
    </r>
    <r>
      <rPr>
        <sz val="12"/>
        <rFont val="Times New Roman"/>
        <family val="1"/>
      </rPr>
      <t xml:space="preserve"> </t>
    </r>
    <phoneticPr fontId="5" type="noConversion"/>
  </si>
  <si>
    <t xml:space="preserve">
21C080</t>
    <phoneticPr fontId="5" type="noConversion"/>
  </si>
  <si>
    <r>
      <rPr>
        <sz val="12"/>
        <rFont val="標楷體"/>
        <family val="4"/>
        <charset val="136"/>
      </rPr>
      <t>中民路</t>
    </r>
    <r>
      <rPr>
        <sz val="12"/>
        <rFont val="Times New Roman"/>
        <family val="1"/>
      </rPr>
      <t>61</t>
    </r>
    <r>
      <rPr>
        <sz val="12"/>
        <rFont val="標楷體"/>
        <family val="4"/>
        <charset val="136"/>
      </rPr>
      <t>巷</t>
    </r>
    <r>
      <rPr>
        <sz val="12"/>
        <rFont val="Times New Roman"/>
        <family val="1"/>
      </rPr>
      <t>3-22</t>
    </r>
    <r>
      <rPr>
        <sz val="12"/>
        <rFont val="標楷體"/>
        <family val="4"/>
        <charset val="136"/>
      </rPr>
      <t>號</t>
    </r>
  </si>
  <si>
    <r>
      <rPr>
        <sz val="12"/>
        <rFont val="標楷體"/>
        <family val="4"/>
        <charset val="136"/>
      </rPr>
      <t>燕巢區</t>
    </r>
  </si>
  <si>
    <r>
      <rPr>
        <sz val="12"/>
        <rFont val="標楷體"/>
        <family val="4"/>
        <charset val="136"/>
      </rPr>
      <t>東燕里</t>
    </r>
  </si>
  <si>
    <r>
      <rPr>
        <sz val="12"/>
        <rFont val="標楷體"/>
        <family val="4"/>
        <charset val="136"/>
      </rPr>
      <t>受梅姬颱風帶來之豪雨影響，燕</t>
    </r>
    <r>
      <rPr>
        <sz val="12"/>
        <rFont val="Times New Roman"/>
        <family val="1"/>
      </rPr>
      <t xml:space="preserve"> </t>
    </r>
    <r>
      <rPr>
        <sz val="12"/>
        <rFont val="標楷體"/>
        <family val="4"/>
        <charset val="136"/>
      </rPr>
      <t>巢區中民路</t>
    </r>
    <r>
      <rPr>
        <sz val="12"/>
        <rFont val="Times New Roman"/>
        <family val="1"/>
      </rPr>
      <t>61</t>
    </r>
    <r>
      <rPr>
        <sz val="12"/>
        <rFont val="標楷體"/>
        <family val="4"/>
        <charset val="136"/>
      </rPr>
      <t>巷一處邊坡發生崩塌，</t>
    </r>
    <r>
      <rPr>
        <sz val="12"/>
        <rFont val="Times New Roman"/>
        <family val="1"/>
      </rPr>
      <t xml:space="preserve">3-22 </t>
    </r>
    <r>
      <rPr>
        <sz val="12"/>
        <rFont val="標楷體"/>
        <family val="4"/>
        <charset val="136"/>
      </rPr>
      <t>號民宅隨之滑落，並遭土砂埋沒。</t>
    </r>
    <r>
      <rPr>
        <sz val="12"/>
        <rFont val="Times New Roman"/>
        <family val="1"/>
      </rPr>
      <t xml:space="preserve"> </t>
    </r>
    <phoneticPr fontId="5" type="noConversion"/>
  </si>
  <si>
    <t>01P390</t>
    <phoneticPr fontId="5" type="noConversion"/>
  </si>
  <si>
    <r>
      <rPr>
        <sz val="12"/>
        <rFont val="標楷體"/>
        <family val="4"/>
        <charset val="136"/>
      </rPr>
      <t>金山</t>
    </r>
  </si>
  <si>
    <r>
      <rPr>
        <sz val="12"/>
        <rFont val="標楷體"/>
        <family val="4"/>
        <charset val="136"/>
      </rPr>
      <t>金獅村古厝</t>
    </r>
  </si>
  <si>
    <r>
      <rPr>
        <sz val="12"/>
        <rFont val="標楷體"/>
        <family val="4"/>
        <charset val="136"/>
      </rPr>
      <t>金獅村</t>
    </r>
  </si>
  <si>
    <r>
      <rPr>
        <sz val="12"/>
        <rFont val="標楷體"/>
        <family val="4"/>
        <charset val="136"/>
      </rPr>
      <t>梅姬颱風期間，金獅村一處古厝</t>
    </r>
    <r>
      <rPr>
        <sz val="12"/>
        <rFont val="Times New Roman"/>
        <family val="1"/>
      </rPr>
      <t xml:space="preserve"> </t>
    </r>
    <r>
      <rPr>
        <sz val="12"/>
        <rFont val="標楷體"/>
        <family val="4"/>
        <charset val="136"/>
      </rPr>
      <t>後方邊坡發生崩塌，造成古厝局部損毀，所</t>
    </r>
    <r>
      <rPr>
        <sz val="12"/>
        <rFont val="Times New Roman"/>
        <family val="1"/>
      </rPr>
      <t xml:space="preserve"> </t>
    </r>
    <r>
      <rPr>
        <sz val="12"/>
        <rFont val="標楷體"/>
        <family val="4"/>
        <charset val="136"/>
      </rPr>
      <t>幸居民提前發現土砂鬆動，已先行撤離至市</t>
    </r>
    <r>
      <rPr>
        <sz val="12"/>
        <rFont val="Times New Roman"/>
        <family val="1"/>
      </rPr>
      <t xml:space="preserve"> </t>
    </r>
    <r>
      <rPr>
        <sz val="12"/>
        <rFont val="標楷體"/>
        <family val="4"/>
        <charset val="136"/>
      </rPr>
      <t>區避難。</t>
    </r>
    <r>
      <rPr>
        <sz val="12"/>
        <rFont val="Times New Roman"/>
        <family val="1"/>
      </rPr>
      <t xml:space="preserve">  </t>
    </r>
    <phoneticPr fontId="5" type="noConversion"/>
  </si>
  <si>
    <t>01L480</t>
    <phoneticPr fontId="5" type="noConversion"/>
  </si>
  <si>
    <r>
      <rPr>
        <sz val="12"/>
        <rFont val="標楷體"/>
        <family val="4"/>
        <charset val="136"/>
      </rPr>
      <t>樟腦寮</t>
    </r>
    <r>
      <rPr>
        <sz val="12"/>
        <rFont val="Times New Roman"/>
        <family val="1"/>
      </rPr>
      <t>(2)</t>
    </r>
    <phoneticPr fontId="5" type="noConversion"/>
  </si>
  <si>
    <r>
      <rPr>
        <sz val="12"/>
        <rFont val="標楷體"/>
        <family val="4"/>
        <charset val="136"/>
      </rPr>
      <t>後厝巷</t>
    </r>
    <r>
      <rPr>
        <sz val="12"/>
        <rFont val="Times New Roman"/>
        <family val="1"/>
      </rPr>
      <t>27</t>
    </r>
    <r>
      <rPr>
        <sz val="12"/>
        <rFont val="標楷體"/>
        <family val="4"/>
        <charset val="136"/>
      </rPr>
      <t>號</t>
    </r>
  </si>
  <si>
    <r>
      <rPr>
        <sz val="12"/>
        <rFont val="標楷體"/>
        <family val="4"/>
        <charset val="136"/>
      </rPr>
      <t>旗山區</t>
    </r>
  </si>
  <si>
    <r>
      <rPr>
        <sz val="12"/>
        <rFont val="標楷體"/>
        <family val="4"/>
        <charset val="136"/>
      </rPr>
      <t>新光里</t>
    </r>
  </si>
  <si>
    <r>
      <rPr>
        <sz val="12"/>
        <rFont val="標楷體"/>
        <family val="4"/>
        <charset val="136"/>
      </rPr>
      <t>受梅姬颱風帶來之豪雨影響，旗</t>
    </r>
    <r>
      <rPr>
        <sz val="12"/>
        <rFont val="Times New Roman"/>
        <family val="1"/>
      </rPr>
      <t xml:space="preserve"> </t>
    </r>
    <r>
      <rPr>
        <sz val="12"/>
        <rFont val="標楷體"/>
        <family val="4"/>
        <charset val="136"/>
      </rPr>
      <t>山區後厝巷上方邊坡發生沖蝕，崩落之土砂</t>
    </r>
    <r>
      <rPr>
        <sz val="12"/>
        <rFont val="Times New Roman"/>
        <family val="1"/>
      </rPr>
      <t xml:space="preserve"> </t>
    </r>
    <r>
      <rPr>
        <sz val="12"/>
        <rFont val="標楷體"/>
        <family val="4"/>
        <charset val="136"/>
      </rPr>
      <t>堆積於後厝巷數戶民宅後方，並衝破</t>
    </r>
    <r>
      <rPr>
        <sz val="12"/>
        <rFont val="Times New Roman"/>
        <family val="1"/>
      </rPr>
      <t>27</t>
    </r>
    <r>
      <rPr>
        <sz val="12"/>
        <rFont val="標楷體"/>
        <family val="4"/>
        <charset val="136"/>
      </rPr>
      <t>號</t>
    </r>
    <r>
      <rPr>
        <sz val="12"/>
        <rFont val="Times New Roman"/>
        <family val="1"/>
      </rPr>
      <t xml:space="preserve"> </t>
    </r>
    <r>
      <rPr>
        <sz val="12"/>
        <rFont val="標楷體"/>
        <family val="4"/>
        <charset val="136"/>
      </rPr>
      <t>民宅。</t>
    </r>
    <r>
      <rPr>
        <sz val="12"/>
        <rFont val="Times New Roman"/>
        <family val="1"/>
      </rPr>
      <t xml:space="preserve"> </t>
    </r>
    <phoneticPr fontId="5" type="noConversion"/>
  </si>
  <si>
    <t>C0V740</t>
  </si>
  <si>
    <r>
      <rPr>
        <sz val="12"/>
        <rFont val="標楷體"/>
        <family val="4"/>
        <charset val="136"/>
      </rPr>
      <t>旗山</t>
    </r>
    <phoneticPr fontId="5" type="noConversion"/>
  </si>
  <si>
    <r>
      <rPr>
        <sz val="12"/>
        <rFont val="標楷體"/>
        <family val="4"/>
        <charset val="136"/>
      </rPr>
      <t>緞繻村紅南坑</t>
    </r>
    <r>
      <rPr>
        <sz val="12"/>
        <rFont val="Times New Roman"/>
        <family val="1"/>
      </rPr>
      <t>8</t>
    </r>
    <r>
      <rPr>
        <sz val="12"/>
        <rFont val="標楷體"/>
        <family val="4"/>
        <charset val="136"/>
      </rPr>
      <t>號</t>
    </r>
  </si>
  <si>
    <r>
      <rPr>
        <sz val="12"/>
        <rFont val="標楷體"/>
        <family val="4"/>
        <charset val="136"/>
      </rPr>
      <t>嘉縣</t>
    </r>
    <r>
      <rPr>
        <sz val="12"/>
        <rFont val="Times New Roman"/>
        <family val="1"/>
      </rPr>
      <t>DF081</t>
    </r>
    <phoneticPr fontId="5" type="noConversion"/>
  </si>
  <si>
    <r>
      <rPr>
        <sz val="12"/>
        <rFont val="標楷體"/>
        <family val="4"/>
        <charset val="136"/>
      </rPr>
      <t>受梅姬颱風降雨影響，紅南坑聚</t>
    </r>
    <r>
      <rPr>
        <sz val="12"/>
        <rFont val="Times New Roman"/>
        <family val="1"/>
      </rPr>
      <t xml:space="preserve"> </t>
    </r>
    <r>
      <rPr>
        <sz val="12"/>
        <rFont val="標楷體"/>
        <family val="4"/>
        <charset val="136"/>
      </rPr>
      <t>落一處野溪上游發生崩塌，造成橋涵淤塞，</t>
    </r>
    <r>
      <rPr>
        <sz val="12"/>
        <rFont val="Times New Roman"/>
        <family val="1"/>
      </rPr>
      <t xml:space="preserve"> </t>
    </r>
    <r>
      <rPr>
        <sz val="12"/>
        <rFont val="標楷體"/>
        <family val="4"/>
        <charset val="136"/>
      </rPr>
      <t>土砂溢流至鄰近民宅及道路。</t>
    </r>
    <phoneticPr fontId="5" type="noConversion"/>
  </si>
  <si>
    <t>C1M480</t>
    <phoneticPr fontId="5" type="noConversion"/>
  </si>
  <si>
    <r>
      <rPr>
        <sz val="12"/>
        <rFont val="標楷體"/>
        <family val="4"/>
        <charset val="136"/>
      </rPr>
      <t>獨立山</t>
    </r>
    <phoneticPr fontId="5" type="noConversion"/>
  </si>
  <si>
    <r>
      <rPr>
        <sz val="12"/>
        <rFont val="標楷體"/>
        <family val="4"/>
        <charset val="136"/>
      </rPr>
      <t>頂濃路</t>
    </r>
    <r>
      <rPr>
        <sz val="12"/>
        <rFont val="Times New Roman"/>
        <family val="1"/>
      </rPr>
      <t>31</t>
    </r>
    <r>
      <rPr>
        <sz val="12"/>
        <rFont val="標楷體"/>
        <family val="4"/>
        <charset val="136"/>
      </rPr>
      <t>號</t>
    </r>
  </si>
  <si>
    <r>
      <rPr>
        <sz val="12"/>
        <rFont val="標楷體"/>
        <family val="4"/>
        <charset val="136"/>
      </rPr>
      <t>高市</t>
    </r>
    <r>
      <rPr>
        <sz val="12"/>
        <rFont val="Times New Roman"/>
        <family val="1"/>
      </rPr>
      <t>DF097</t>
    </r>
  </si>
  <si>
    <r>
      <rPr>
        <sz val="12"/>
        <rFont val="標楷體"/>
        <family val="4"/>
        <charset val="136"/>
      </rPr>
      <t>受梅姬颱風降雨影響，土石流潛</t>
    </r>
    <r>
      <rPr>
        <sz val="12"/>
        <rFont val="Times New Roman"/>
        <family val="1"/>
      </rPr>
      <t xml:space="preserve"> </t>
    </r>
    <r>
      <rPr>
        <sz val="12"/>
        <rFont val="標楷體"/>
        <family val="4"/>
        <charset val="136"/>
      </rPr>
      <t>勢溪流高市</t>
    </r>
    <r>
      <rPr>
        <sz val="12"/>
        <rFont val="Times New Roman"/>
        <family val="1"/>
      </rPr>
      <t>DF097</t>
    </r>
    <r>
      <rPr>
        <sz val="12"/>
        <rFont val="標楷體"/>
        <family val="4"/>
        <charset val="136"/>
      </rPr>
      <t>發生土石流，沖入頂濃</t>
    </r>
    <r>
      <rPr>
        <sz val="12"/>
        <rFont val="Times New Roman"/>
        <family val="1"/>
      </rPr>
      <t xml:space="preserve"> </t>
    </r>
    <r>
      <rPr>
        <sz val="12"/>
        <rFont val="標楷體"/>
        <family val="4"/>
        <charset val="136"/>
      </rPr>
      <t>路</t>
    </r>
    <r>
      <rPr>
        <sz val="12"/>
        <rFont val="Times New Roman"/>
        <family val="1"/>
      </rPr>
      <t>31</t>
    </r>
    <r>
      <rPr>
        <sz val="12"/>
        <rFont val="標楷體"/>
        <family val="4"/>
        <charset val="136"/>
      </rPr>
      <t>號民宅，所幸鄰長及時通知聽障婦人</t>
    </r>
    <r>
      <rPr>
        <sz val="12"/>
        <rFont val="Times New Roman"/>
        <family val="1"/>
      </rPr>
      <t xml:space="preserve"> </t>
    </r>
    <r>
      <rPr>
        <sz val="12"/>
        <rFont val="標楷體"/>
        <family val="4"/>
        <charset val="136"/>
      </rPr>
      <t>逃出。</t>
    </r>
    <r>
      <rPr>
        <sz val="12"/>
        <rFont val="Times New Roman"/>
        <family val="1"/>
      </rPr>
      <t xml:space="preserve"> </t>
    </r>
    <phoneticPr fontId="5" type="noConversion"/>
  </si>
  <si>
    <r>
      <rPr>
        <sz val="12"/>
        <rFont val="標楷體"/>
        <family val="4"/>
        <charset val="136"/>
      </rPr>
      <t>建山國小</t>
    </r>
    <phoneticPr fontId="5" type="noConversion"/>
  </si>
  <si>
    <r>
      <rPr>
        <sz val="12"/>
        <rFont val="標楷體"/>
        <family val="4"/>
        <charset val="136"/>
      </rPr>
      <t>中生路</t>
    </r>
    <r>
      <rPr>
        <sz val="12"/>
        <rFont val="Times New Roman"/>
        <family val="1"/>
      </rPr>
      <t>175</t>
    </r>
    <r>
      <rPr>
        <sz val="12"/>
        <rFont val="標楷體"/>
        <family val="4"/>
        <charset val="136"/>
      </rPr>
      <t>號</t>
    </r>
  </si>
  <si>
    <r>
      <rPr>
        <sz val="12"/>
        <rFont val="標楷體"/>
        <family val="4"/>
        <charset val="136"/>
      </rPr>
      <t>雙坑里</t>
    </r>
  </si>
  <si>
    <r>
      <rPr>
        <sz val="12"/>
        <rFont val="標楷體"/>
        <family val="4"/>
        <charset val="136"/>
      </rPr>
      <t>新北</t>
    </r>
    <r>
      <rPr>
        <sz val="12"/>
        <rFont val="Times New Roman"/>
        <family val="1"/>
      </rPr>
      <t>DF233</t>
    </r>
  </si>
  <si>
    <r>
      <rPr>
        <sz val="12"/>
        <rFont val="標楷體"/>
        <family val="4"/>
        <charset val="136"/>
      </rPr>
      <t>受到梅姬颱風影響，中生路</t>
    </r>
    <r>
      <rPr>
        <sz val="12"/>
        <rFont val="Times New Roman"/>
        <family val="1"/>
      </rPr>
      <t xml:space="preserve">175 </t>
    </r>
    <r>
      <rPr>
        <sz val="12"/>
        <rFont val="標楷體"/>
        <family val="4"/>
        <charset val="136"/>
      </rPr>
      <t>號民宅旁野溪發生土石流，造成</t>
    </r>
    <r>
      <rPr>
        <sz val="12"/>
        <rFont val="Times New Roman"/>
        <family val="1"/>
      </rPr>
      <t>1</t>
    </r>
    <r>
      <rPr>
        <sz val="12"/>
        <rFont val="標楷體"/>
        <family val="4"/>
        <charset val="136"/>
      </rPr>
      <t>戶民宅之</t>
    </r>
    <r>
      <rPr>
        <sz val="12"/>
        <rFont val="Times New Roman"/>
        <family val="1"/>
      </rPr>
      <t xml:space="preserve"> </t>
    </r>
    <r>
      <rPr>
        <sz val="12"/>
        <rFont val="標楷體"/>
        <family val="4"/>
        <charset val="136"/>
      </rPr>
      <t>倉庫遭沖毀，土石溢流至民宅及路面。</t>
    </r>
    <phoneticPr fontId="5" type="noConversion"/>
  </si>
  <si>
    <t>C1A9N0</t>
    <phoneticPr fontId="5" type="noConversion"/>
  </si>
  <si>
    <r>
      <rPr>
        <sz val="12"/>
        <rFont val="標楷體"/>
        <family val="4"/>
        <charset val="136"/>
      </rPr>
      <t>四十份</t>
    </r>
    <phoneticPr fontId="5" type="noConversion"/>
  </si>
  <si>
    <r>
      <rPr>
        <sz val="12"/>
        <rFont val="標楷體"/>
        <family val="4"/>
        <charset val="136"/>
      </rPr>
      <t>愛國蒲部落</t>
    </r>
  </si>
  <si>
    <r>
      <rPr>
        <sz val="12"/>
        <rFont val="標楷體"/>
        <family val="4"/>
        <charset val="136"/>
      </rPr>
      <t>莫蘭蒂颱風</t>
    </r>
  </si>
  <si>
    <r>
      <rPr>
        <sz val="12"/>
        <rFont val="標楷體"/>
        <family val="4"/>
        <charset val="136"/>
      </rPr>
      <t>受莫蘭蒂颱風之降雨影響，大竹</t>
    </r>
    <r>
      <rPr>
        <sz val="12"/>
        <rFont val="Times New Roman"/>
        <family val="1"/>
      </rPr>
      <t xml:space="preserve"> </t>
    </r>
    <r>
      <rPr>
        <sz val="12"/>
        <rFont val="標楷體"/>
        <family val="4"/>
        <charset val="136"/>
      </rPr>
      <t>溪</t>
    </r>
    <r>
      <rPr>
        <sz val="12"/>
        <rFont val="Times New Roman"/>
        <family val="1"/>
      </rPr>
      <t>(</t>
    </r>
    <r>
      <rPr>
        <sz val="12"/>
        <rFont val="標楷體"/>
        <family val="4"/>
        <charset val="136"/>
      </rPr>
      <t>土石流潛勢溪流</t>
    </r>
    <r>
      <rPr>
        <sz val="12"/>
        <rFont val="Times New Roman"/>
        <family val="1"/>
      </rPr>
      <t>DF164)</t>
    </r>
    <r>
      <rPr>
        <sz val="12"/>
        <rFont val="標楷體"/>
        <family val="4"/>
        <charset val="136"/>
      </rPr>
      <t>一處支流源頭發</t>
    </r>
    <r>
      <rPr>
        <sz val="12"/>
        <rFont val="Times New Roman"/>
        <family val="1"/>
      </rPr>
      <t xml:space="preserve"> </t>
    </r>
    <r>
      <rPr>
        <sz val="12"/>
        <rFont val="標楷體"/>
        <family val="4"/>
        <charset val="136"/>
      </rPr>
      <t>生崩塌，土砂淤滿河道後，一部分隨地表水</t>
    </r>
    <r>
      <rPr>
        <sz val="12"/>
        <rFont val="Times New Roman"/>
        <family val="1"/>
      </rPr>
      <t xml:space="preserve"> </t>
    </r>
    <r>
      <rPr>
        <sz val="12"/>
        <rFont val="標楷體"/>
        <family val="4"/>
        <charset val="136"/>
      </rPr>
      <t>沖刷流入愛國蒲部落，多戶房舍遭到堆積。</t>
    </r>
    <phoneticPr fontId="5" type="noConversion"/>
  </si>
  <si>
    <t>81S880</t>
  </si>
  <si>
    <r>
      <rPr>
        <sz val="12"/>
        <rFont val="標楷體"/>
        <family val="4"/>
        <charset val="136"/>
      </rPr>
      <t>愛國埔分校</t>
    </r>
    <phoneticPr fontId="5" type="noConversion"/>
  </si>
  <si>
    <r>
      <rPr>
        <sz val="12"/>
        <rFont val="標楷體"/>
        <family val="4"/>
        <charset val="136"/>
      </rPr>
      <t>紅葉村</t>
    </r>
  </si>
  <si>
    <r>
      <rPr>
        <sz val="12"/>
        <rFont val="標楷體"/>
        <family val="4"/>
        <charset val="136"/>
      </rPr>
      <t>延平鄉</t>
    </r>
  </si>
  <si>
    <r>
      <rPr>
        <sz val="12"/>
        <rFont val="標楷體"/>
        <family val="4"/>
        <charset val="136"/>
      </rPr>
      <t>東縣</t>
    </r>
    <r>
      <rPr>
        <sz val="12"/>
        <rFont val="Times New Roman"/>
        <family val="1"/>
      </rPr>
      <t>DF166</t>
    </r>
  </si>
  <si>
    <r>
      <rPr>
        <sz val="12"/>
        <rFont val="標楷體"/>
        <family val="4"/>
        <charset val="136"/>
      </rPr>
      <t>受莫蘭蒂颱風之長延時降雨影</t>
    </r>
    <r>
      <rPr>
        <sz val="12"/>
        <rFont val="Times New Roman"/>
        <family val="1"/>
      </rPr>
      <t xml:space="preserve"> </t>
    </r>
    <r>
      <rPr>
        <sz val="12"/>
        <rFont val="標楷體"/>
        <family val="4"/>
        <charset val="136"/>
      </rPr>
      <t>響，紅葉村上方邊坡發生大面積崩塌，土砂</t>
    </r>
    <r>
      <rPr>
        <sz val="12"/>
        <rFont val="Times New Roman"/>
        <family val="1"/>
      </rPr>
      <t xml:space="preserve"> </t>
    </r>
    <r>
      <rPr>
        <sz val="12"/>
        <rFont val="標楷體"/>
        <family val="4"/>
        <charset val="136"/>
      </rPr>
      <t>堆積於北絲鬮溪溪床以及坡面，並隨地表水</t>
    </r>
    <r>
      <rPr>
        <sz val="12"/>
        <rFont val="Times New Roman"/>
        <family val="1"/>
      </rPr>
      <t xml:space="preserve"> </t>
    </r>
    <r>
      <rPr>
        <sz val="12"/>
        <rFont val="標楷體"/>
        <family val="4"/>
        <charset val="136"/>
      </rPr>
      <t>沖刷流入各戶民宅。</t>
    </r>
    <phoneticPr fontId="5" type="noConversion"/>
  </si>
  <si>
    <r>
      <rPr>
        <sz val="12"/>
        <rFont val="標楷體"/>
        <family val="4"/>
        <charset val="136"/>
      </rPr>
      <t>鹿野</t>
    </r>
    <phoneticPr fontId="5" type="noConversion"/>
  </si>
  <si>
    <r>
      <rPr>
        <sz val="12"/>
        <rFont val="標楷體"/>
        <family val="4"/>
        <charset val="136"/>
      </rPr>
      <t>崩塌</t>
    </r>
    <r>
      <rPr>
        <sz val="12"/>
        <rFont val="Times New Roman"/>
        <family val="1"/>
      </rPr>
      <t>,</t>
    </r>
    <r>
      <rPr>
        <sz val="12"/>
        <rFont val="標楷體"/>
        <family val="4"/>
        <charset val="136"/>
      </rPr>
      <t>地滑</t>
    </r>
  </si>
  <si>
    <r>
      <rPr>
        <sz val="12"/>
        <rFont val="標楷體"/>
        <family val="4"/>
        <charset val="136"/>
      </rPr>
      <t>沄水村大興</t>
    </r>
    <r>
      <rPr>
        <sz val="12"/>
        <rFont val="Times New Roman"/>
        <family val="1"/>
      </rPr>
      <t>10</t>
    </r>
    <r>
      <rPr>
        <sz val="12"/>
        <rFont val="標楷體"/>
        <family val="4"/>
        <charset val="136"/>
      </rPr>
      <t>號</t>
    </r>
  </si>
  <si>
    <r>
      <rPr>
        <sz val="12"/>
        <rFont val="標楷體"/>
        <family val="4"/>
        <charset val="136"/>
      </rPr>
      <t>沄水村</t>
    </r>
  </si>
  <si>
    <r>
      <rPr>
        <sz val="12"/>
        <rFont val="標楷體"/>
        <family val="4"/>
        <charset val="136"/>
      </rPr>
      <t>在連日有雨之情況下，沄水村大</t>
    </r>
    <r>
      <rPr>
        <sz val="12"/>
        <rFont val="Times New Roman"/>
        <family val="1"/>
      </rPr>
      <t xml:space="preserve"> </t>
    </r>
    <r>
      <rPr>
        <sz val="12"/>
        <rFont val="標楷體"/>
        <family val="4"/>
        <charset val="136"/>
      </rPr>
      <t>興</t>
    </r>
    <r>
      <rPr>
        <sz val="12"/>
        <rFont val="Times New Roman"/>
        <family val="1"/>
      </rPr>
      <t>10</t>
    </r>
    <r>
      <rPr>
        <sz val="12"/>
        <rFont val="標楷體"/>
        <family val="4"/>
        <charset val="136"/>
      </rPr>
      <t>號民宅下方邊坡發生順向坡滑動，造</t>
    </r>
    <r>
      <rPr>
        <sz val="12"/>
        <rFont val="Times New Roman"/>
        <family val="1"/>
      </rPr>
      <t xml:space="preserve"> </t>
    </r>
    <r>
      <rPr>
        <sz val="12"/>
        <rFont val="標楷體"/>
        <family val="4"/>
        <charset val="136"/>
      </rPr>
      <t>成坡趾處產業道路隆起及開裂，並造成民宅</t>
    </r>
    <r>
      <rPr>
        <sz val="12"/>
        <rFont val="Times New Roman"/>
        <family val="1"/>
      </rPr>
      <t xml:space="preserve"> </t>
    </r>
    <r>
      <rPr>
        <sz val="12"/>
        <rFont val="標楷體"/>
        <family val="4"/>
        <charset val="136"/>
      </rPr>
      <t>庭院地坪產生裂縫。</t>
    </r>
    <r>
      <rPr>
        <sz val="12"/>
        <rFont val="Times New Roman"/>
        <family val="1"/>
      </rPr>
      <t xml:space="preserve"> </t>
    </r>
    <phoneticPr fontId="5" type="noConversion"/>
  </si>
  <si>
    <r>
      <rPr>
        <sz val="12"/>
        <rFont val="標楷體"/>
        <family val="4"/>
        <charset val="136"/>
      </rPr>
      <t>沄水國小</t>
    </r>
    <phoneticPr fontId="5" type="noConversion"/>
  </si>
  <si>
    <r>
      <rPr>
        <sz val="12"/>
        <rFont val="標楷體"/>
        <family val="4"/>
        <charset val="136"/>
      </rPr>
      <t>土石流潛勢溪流南市</t>
    </r>
    <r>
      <rPr>
        <sz val="12"/>
        <rFont val="Times New Roman"/>
        <family val="1"/>
      </rPr>
      <t>DF-032</t>
    </r>
  </si>
  <si>
    <r>
      <rPr>
        <sz val="12"/>
        <rFont val="標楷體"/>
        <family val="4"/>
        <charset val="136"/>
      </rPr>
      <t>南市</t>
    </r>
    <r>
      <rPr>
        <sz val="12"/>
        <rFont val="Times New Roman"/>
        <family val="1"/>
      </rPr>
      <t>DF032</t>
    </r>
  </si>
  <si>
    <r>
      <rPr>
        <sz val="12"/>
        <rFont val="標楷體"/>
        <family val="4"/>
        <charset val="136"/>
      </rPr>
      <t>受到鋒面影響，</t>
    </r>
    <r>
      <rPr>
        <sz val="12"/>
        <rFont val="Times New Roman"/>
        <family val="1"/>
      </rPr>
      <t xml:space="preserve">9 </t>
    </r>
    <r>
      <rPr>
        <sz val="12"/>
        <rFont val="標楷體"/>
        <family val="4"/>
        <charset val="136"/>
      </rPr>
      <t>月</t>
    </r>
    <r>
      <rPr>
        <sz val="12"/>
        <rFont val="Times New Roman"/>
        <family val="1"/>
      </rPr>
      <t xml:space="preserve"> 5 </t>
    </r>
    <r>
      <rPr>
        <sz val="12"/>
        <rFont val="標楷體"/>
        <family val="4"/>
        <charset val="136"/>
      </rPr>
      <t>日南市</t>
    </r>
    <r>
      <rPr>
        <sz val="12"/>
        <rFont val="Times New Roman"/>
        <family val="1"/>
      </rPr>
      <t xml:space="preserve"> DF-032 </t>
    </r>
    <r>
      <rPr>
        <sz val="12"/>
        <rFont val="標楷體"/>
        <family val="4"/>
        <charset val="136"/>
      </rPr>
      <t>源頭再次發生崩塌，崩塌材料暫積</t>
    </r>
    <r>
      <rPr>
        <sz val="12"/>
        <rFont val="Times New Roman"/>
        <family val="1"/>
      </rPr>
      <t xml:space="preserve"> </t>
    </r>
    <r>
      <rPr>
        <sz val="12"/>
        <rFont val="標楷體"/>
        <family val="4"/>
        <charset val="136"/>
      </rPr>
      <t>於河道，</t>
    </r>
    <r>
      <rPr>
        <sz val="12"/>
        <rFont val="Times New Roman"/>
        <family val="1"/>
      </rPr>
      <t xml:space="preserve">6 </t>
    </r>
    <r>
      <rPr>
        <sz val="12"/>
        <rFont val="標楷體"/>
        <family val="4"/>
        <charset val="136"/>
      </rPr>
      <t>日再受強降雨事件，大量暫積材</t>
    </r>
    <r>
      <rPr>
        <sz val="12"/>
        <rFont val="Times New Roman"/>
        <family val="1"/>
      </rPr>
      <t xml:space="preserve"> </t>
    </r>
    <r>
      <rPr>
        <sz val="12"/>
        <rFont val="標楷體"/>
        <family val="4"/>
        <charset val="136"/>
      </rPr>
      <t>料隨著地表逕流下移，造成下游河道淤塞，</t>
    </r>
    <r>
      <rPr>
        <sz val="12"/>
        <rFont val="Times New Roman"/>
        <family val="1"/>
      </rPr>
      <t xml:space="preserve"> </t>
    </r>
    <r>
      <rPr>
        <sz val="12"/>
        <rFont val="標楷體"/>
        <family val="4"/>
        <charset val="136"/>
      </rPr>
      <t>溢流到河岸兩側及道路上。</t>
    </r>
    <phoneticPr fontId="5" type="noConversion"/>
  </si>
  <si>
    <t>C10940</t>
  </si>
  <si>
    <r>
      <rPr>
        <sz val="12"/>
        <rFont val="標楷體"/>
        <family val="4"/>
        <charset val="136"/>
      </rPr>
      <t>頂埔</t>
    </r>
    <r>
      <rPr>
        <sz val="12"/>
        <rFont val="Times New Roman"/>
        <family val="1"/>
      </rPr>
      <t>5</t>
    </r>
    <r>
      <rPr>
        <sz val="12"/>
        <rFont val="標楷體"/>
        <family val="4"/>
        <charset val="136"/>
      </rPr>
      <t>號</t>
    </r>
  </si>
  <si>
    <r>
      <rPr>
        <sz val="12"/>
        <rFont val="標楷體"/>
        <family val="4"/>
        <charset val="136"/>
      </rPr>
      <t>頂埔村</t>
    </r>
  </si>
  <si>
    <r>
      <rPr>
        <sz val="12"/>
        <rFont val="標楷體"/>
        <family val="4"/>
        <charset val="136"/>
      </rPr>
      <t>受到</t>
    </r>
    <r>
      <rPr>
        <sz val="12"/>
        <rFont val="Times New Roman"/>
        <family val="1"/>
      </rPr>
      <t>9</t>
    </r>
    <r>
      <rPr>
        <sz val="12"/>
        <rFont val="標楷體"/>
        <family val="4"/>
        <charset val="136"/>
      </rPr>
      <t>月</t>
    </r>
    <r>
      <rPr>
        <sz val="12"/>
        <rFont val="Times New Roman"/>
        <family val="1"/>
      </rPr>
      <t>5</t>
    </r>
    <r>
      <rPr>
        <sz val="12"/>
        <rFont val="標楷體"/>
        <family val="4"/>
        <charset val="136"/>
      </rPr>
      <t>日午後之大雨影響，</t>
    </r>
    <r>
      <rPr>
        <sz val="12"/>
        <rFont val="Times New Roman"/>
        <family val="1"/>
      </rPr>
      <t xml:space="preserve"> </t>
    </r>
    <r>
      <rPr>
        <sz val="12"/>
        <rFont val="標楷體"/>
        <family val="4"/>
        <charset val="136"/>
      </rPr>
      <t>頂埔村</t>
    </r>
    <r>
      <rPr>
        <sz val="12"/>
        <rFont val="Times New Roman"/>
        <family val="1"/>
      </rPr>
      <t>1</t>
    </r>
    <r>
      <rPr>
        <sz val="12"/>
        <rFont val="標楷體"/>
        <family val="4"/>
        <charset val="136"/>
      </rPr>
      <t>戶民宅後方邊坡於晚間發生崩塌，</t>
    </r>
    <r>
      <rPr>
        <sz val="12"/>
        <rFont val="Times New Roman"/>
        <family val="1"/>
      </rPr>
      <t xml:space="preserve"> </t>
    </r>
    <r>
      <rPr>
        <sz val="12"/>
        <rFont val="標楷體"/>
        <family val="4"/>
        <charset val="136"/>
      </rPr>
      <t>崩落土砂直接堆積於民宅內外，民眾受到驚</t>
    </r>
    <r>
      <rPr>
        <sz val="12"/>
        <rFont val="Times New Roman"/>
        <family val="1"/>
      </rPr>
      <t xml:space="preserve"> </t>
    </r>
    <r>
      <rPr>
        <sz val="12"/>
        <rFont val="標楷體"/>
        <family val="4"/>
        <charset val="136"/>
      </rPr>
      <t>嚇後由村長協助撤離。</t>
    </r>
    <r>
      <rPr>
        <sz val="12"/>
        <rFont val="Times New Roman"/>
        <family val="1"/>
      </rPr>
      <t xml:space="preserve"> </t>
    </r>
    <phoneticPr fontId="5" type="noConversion"/>
  </si>
  <si>
    <t>C0M640</t>
  </si>
  <si>
    <r>
      <rPr>
        <sz val="12"/>
        <rFont val="標楷體"/>
        <family val="4"/>
        <charset val="136"/>
      </rPr>
      <t>中埔</t>
    </r>
    <phoneticPr fontId="5" type="noConversion"/>
  </si>
  <si>
    <r>
      <rPr>
        <sz val="12"/>
        <rFont val="標楷體"/>
        <family val="4"/>
        <charset val="136"/>
      </rPr>
      <t>霞雲溪</t>
    </r>
  </si>
  <si>
    <r>
      <rPr>
        <sz val="12"/>
        <rFont val="標楷體"/>
        <family val="4"/>
        <charset val="136"/>
      </rPr>
      <t>霞雲里</t>
    </r>
  </si>
  <si>
    <r>
      <rPr>
        <sz val="12"/>
        <rFont val="標楷體"/>
        <family val="4"/>
        <charset val="136"/>
      </rPr>
      <t>霞雲溪左岸一處邊坡於</t>
    </r>
    <r>
      <rPr>
        <sz val="12"/>
        <rFont val="Times New Roman"/>
        <family val="1"/>
      </rPr>
      <t>8</t>
    </r>
    <r>
      <rPr>
        <sz val="12"/>
        <rFont val="標楷體"/>
        <family val="4"/>
        <charset val="136"/>
      </rPr>
      <t>月</t>
    </r>
    <r>
      <rPr>
        <sz val="12"/>
        <rFont val="Times New Roman"/>
        <family val="1"/>
      </rPr>
      <t xml:space="preserve">19 </t>
    </r>
    <r>
      <rPr>
        <sz val="12"/>
        <rFont val="標楷體"/>
        <family val="4"/>
        <charset val="136"/>
      </rPr>
      <t>日發生崩塌，並堵塞河道形成小規模之堰塞</t>
    </r>
    <r>
      <rPr>
        <sz val="12"/>
        <rFont val="Times New Roman"/>
        <family val="1"/>
      </rPr>
      <t xml:space="preserve"> </t>
    </r>
    <r>
      <rPr>
        <sz val="12"/>
        <rFont val="標楷體"/>
        <family val="4"/>
        <charset val="136"/>
      </rPr>
      <t>湖，對下游民眾造成潛在威脅。</t>
    </r>
    <phoneticPr fontId="5" type="noConversion"/>
  </si>
  <si>
    <r>
      <rPr>
        <sz val="12"/>
        <rFont val="標楷體"/>
        <family val="4"/>
        <charset val="136"/>
      </rPr>
      <t>泰源南溪</t>
    </r>
  </si>
  <si>
    <r>
      <rPr>
        <sz val="12"/>
        <rFont val="標楷體"/>
        <family val="4"/>
        <charset val="136"/>
      </rPr>
      <t>東河鄉</t>
    </r>
  </si>
  <si>
    <r>
      <rPr>
        <sz val="12"/>
        <rFont val="標楷體"/>
        <family val="4"/>
        <charset val="136"/>
      </rPr>
      <t>尚德村</t>
    </r>
  </si>
  <si>
    <r>
      <rPr>
        <sz val="12"/>
        <rFont val="標楷體"/>
        <family val="4"/>
        <charset val="136"/>
      </rPr>
      <t>尼伯特颱風</t>
    </r>
  </si>
  <si>
    <r>
      <rPr>
        <sz val="12"/>
        <rFont val="標楷體"/>
        <family val="4"/>
        <charset val="136"/>
      </rPr>
      <t>受尼伯特颱風期間降雨影響，泰</t>
    </r>
    <r>
      <rPr>
        <sz val="12"/>
        <rFont val="Times New Roman"/>
        <family val="1"/>
      </rPr>
      <t xml:space="preserve"> </t>
    </r>
    <r>
      <rPr>
        <sz val="12"/>
        <rFont val="標楷體"/>
        <family val="4"/>
        <charset val="136"/>
      </rPr>
      <t>源南溪一處溪岸邊坡發生崩塌，堵塞河道後</t>
    </r>
    <r>
      <rPr>
        <sz val="12"/>
        <rFont val="Times New Roman"/>
        <family val="1"/>
      </rPr>
      <t xml:space="preserve"> </t>
    </r>
    <r>
      <rPr>
        <sz val="12"/>
        <rFont val="標楷體"/>
        <family val="4"/>
        <charset val="136"/>
      </rPr>
      <t>形成堰塞湖，威脅下游民眾之安全。</t>
    </r>
    <r>
      <rPr>
        <sz val="12"/>
        <rFont val="Times New Roman"/>
        <family val="1"/>
      </rPr>
      <t xml:space="preserve"> </t>
    </r>
    <phoneticPr fontId="5" type="noConversion"/>
  </si>
  <si>
    <r>
      <rPr>
        <sz val="12"/>
        <rFont val="標楷體"/>
        <family val="4"/>
        <charset val="136"/>
      </rPr>
      <t>霧台村</t>
    </r>
  </si>
  <si>
    <r>
      <t>0611</t>
    </r>
    <r>
      <rPr>
        <sz val="12"/>
        <rFont val="標楷體"/>
        <family val="4"/>
        <charset val="136"/>
      </rPr>
      <t>豪雨</t>
    </r>
  </si>
  <si>
    <r>
      <t>0611</t>
    </r>
    <r>
      <rPr>
        <sz val="12"/>
        <rFont val="標楷體"/>
        <family val="4"/>
        <charset val="136"/>
      </rPr>
      <t>豪雨期間，大武野溪爆發</t>
    </r>
    <r>
      <rPr>
        <sz val="12"/>
        <rFont val="Times New Roman"/>
        <family val="1"/>
      </rPr>
      <t xml:space="preserve"> </t>
    </r>
    <r>
      <rPr>
        <sz val="12"/>
        <rFont val="標楷體"/>
        <family val="4"/>
        <charset val="136"/>
      </rPr>
      <t>土石流，沖毀霧大二號橋，造成大武村聯外</t>
    </r>
    <r>
      <rPr>
        <sz val="12"/>
        <rFont val="Times New Roman"/>
        <family val="1"/>
      </rPr>
      <t xml:space="preserve"> </t>
    </r>
    <r>
      <rPr>
        <sz val="12"/>
        <rFont val="標楷體"/>
        <family val="4"/>
        <charset val="136"/>
      </rPr>
      <t>道路中斷。</t>
    </r>
    <phoneticPr fontId="5" type="noConversion"/>
  </si>
  <si>
    <t>C0R310</t>
    <phoneticPr fontId="5" type="noConversion"/>
  </si>
  <si>
    <r>
      <rPr>
        <sz val="12"/>
        <rFont val="標楷體"/>
        <family val="4"/>
        <charset val="136"/>
      </rPr>
      <t>水仙路</t>
    </r>
    <r>
      <rPr>
        <sz val="12"/>
        <rFont val="Times New Roman"/>
        <family val="1"/>
      </rPr>
      <t>5</t>
    </r>
    <r>
      <rPr>
        <sz val="12"/>
        <rFont val="標楷體"/>
        <family val="4"/>
        <charset val="136"/>
      </rPr>
      <t>巷</t>
    </r>
  </si>
  <si>
    <r>
      <rPr>
        <sz val="12"/>
        <rFont val="標楷體"/>
        <family val="4"/>
        <charset val="136"/>
      </rPr>
      <t>寶山鄉</t>
    </r>
  </si>
  <si>
    <r>
      <rPr>
        <sz val="12"/>
        <rFont val="標楷體"/>
        <family val="4"/>
        <charset val="136"/>
      </rPr>
      <t>寶山村</t>
    </r>
  </si>
  <si>
    <r>
      <rPr>
        <sz val="12"/>
        <rFont val="標楷體"/>
        <family val="4"/>
        <charset val="136"/>
      </rPr>
      <t>水仙路</t>
    </r>
    <r>
      <rPr>
        <sz val="12"/>
        <rFont val="Times New Roman"/>
        <family val="1"/>
      </rPr>
      <t>5</t>
    </r>
    <r>
      <rPr>
        <sz val="12"/>
        <rFont val="標楷體"/>
        <family val="4"/>
        <charset val="136"/>
      </rPr>
      <t>巷</t>
    </r>
    <r>
      <rPr>
        <sz val="12"/>
        <rFont val="Times New Roman"/>
        <family val="1"/>
      </rPr>
      <t>0K+400</t>
    </r>
    <r>
      <rPr>
        <sz val="12"/>
        <rFont val="標楷體"/>
        <family val="4"/>
        <charset val="136"/>
      </rPr>
      <t>處發生順向</t>
    </r>
    <r>
      <rPr>
        <sz val="12"/>
        <rFont val="Times New Roman"/>
        <family val="1"/>
      </rPr>
      <t xml:space="preserve"> </t>
    </r>
    <r>
      <rPr>
        <sz val="12"/>
        <rFont val="標楷體"/>
        <family val="4"/>
        <charset val="136"/>
      </rPr>
      <t>坡滑動，邊坡沿軟弱之泥岩層面滑動約</t>
    </r>
    <r>
      <rPr>
        <sz val="12"/>
        <rFont val="Times New Roman"/>
        <family val="1"/>
      </rPr>
      <t xml:space="preserve"> 40 </t>
    </r>
    <r>
      <rPr>
        <sz val="12"/>
        <rFont val="標楷體"/>
        <family val="4"/>
        <charset val="136"/>
      </rPr>
      <t>公尺，造成水仙路</t>
    </r>
    <r>
      <rPr>
        <sz val="12"/>
        <rFont val="Times New Roman"/>
        <family val="1"/>
      </rPr>
      <t>5</t>
    </r>
    <r>
      <rPr>
        <sz val="12"/>
        <rFont val="標楷體"/>
        <family val="4"/>
        <charset val="136"/>
      </rPr>
      <t>巷中斷約</t>
    </r>
    <r>
      <rPr>
        <sz val="12"/>
        <rFont val="Times New Roman"/>
        <family val="1"/>
      </rPr>
      <t>100</t>
    </r>
    <r>
      <rPr>
        <sz val="12"/>
        <rFont val="標楷體"/>
        <family val="4"/>
        <charset val="136"/>
      </rPr>
      <t>公尺，另</t>
    </r>
    <r>
      <rPr>
        <sz val="12"/>
        <rFont val="Times New Roman"/>
        <family val="1"/>
      </rPr>
      <t xml:space="preserve"> </t>
    </r>
    <r>
      <rPr>
        <sz val="12"/>
        <rFont val="標楷體"/>
        <family val="4"/>
        <charset val="136"/>
      </rPr>
      <t>坡趾處之產業道路遭滑落之土石方掩埋約</t>
    </r>
    <r>
      <rPr>
        <sz val="12"/>
        <rFont val="Times New Roman"/>
        <family val="1"/>
      </rPr>
      <t xml:space="preserve"> 80</t>
    </r>
    <r>
      <rPr>
        <sz val="12"/>
        <rFont val="標楷體"/>
        <family val="4"/>
        <charset val="136"/>
      </rPr>
      <t>公尺長。</t>
    </r>
    <phoneticPr fontId="5" type="noConversion"/>
  </si>
  <si>
    <t>C0D580</t>
  </si>
  <si>
    <r>
      <rPr>
        <sz val="12"/>
        <rFont val="標楷體"/>
        <family val="4"/>
        <charset val="136"/>
      </rPr>
      <t>寶山</t>
    </r>
    <phoneticPr fontId="5" type="noConversion"/>
  </si>
  <si>
    <r>
      <rPr>
        <sz val="12"/>
        <rFont val="標楷體"/>
        <family val="4"/>
        <charset val="136"/>
      </rPr>
      <t>台</t>
    </r>
    <r>
      <rPr>
        <sz val="12"/>
        <rFont val="Times New Roman"/>
        <family val="1"/>
      </rPr>
      <t xml:space="preserve"> 21 </t>
    </r>
    <r>
      <rPr>
        <sz val="12"/>
        <rFont val="標楷體"/>
        <family val="4"/>
        <charset val="136"/>
      </rPr>
      <t>線</t>
    </r>
    <r>
      <rPr>
        <sz val="12"/>
        <rFont val="Times New Roman"/>
        <family val="1"/>
      </rPr>
      <t xml:space="preserve"> 87K~88K</t>
    </r>
  </si>
  <si>
    <r>
      <rPr>
        <sz val="12"/>
        <rFont val="標楷體"/>
        <family val="4"/>
        <charset val="136"/>
      </rPr>
      <t>投縣</t>
    </r>
    <r>
      <rPr>
        <sz val="12"/>
        <rFont val="Times New Roman"/>
        <family val="1"/>
      </rPr>
      <t>DF187</t>
    </r>
    <phoneticPr fontId="5" type="noConversion"/>
  </si>
  <si>
    <r>
      <t>0601</t>
    </r>
    <r>
      <rPr>
        <sz val="12"/>
        <rFont val="標楷體"/>
        <family val="4"/>
        <charset val="136"/>
      </rPr>
      <t>豪雨</t>
    </r>
    <phoneticPr fontId="5" type="noConversion"/>
  </si>
  <si>
    <r>
      <t xml:space="preserve">0601 </t>
    </r>
    <r>
      <rPr>
        <sz val="12"/>
        <rFont val="標楷體"/>
        <family val="4"/>
        <charset val="136"/>
      </rPr>
      <t>豪雨期間，投縣</t>
    </r>
    <r>
      <rPr>
        <sz val="12"/>
        <rFont val="Times New Roman"/>
        <family val="1"/>
      </rPr>
      <t xml:space="preserve"> DF187 </t>
    </r>
    <r>
      <rPr>
        <sz val="12"/>
        <rFont val="標楷體"/>
        <family val="4"/>
        <charset val="136"/>
      </rPr>
      <t>左右兩側邊坡崩塌，既有河道堆積土石，大量土石宣洩不及，造成台</t>
    </r>
    <r>
      <rPr>
        <sz val="12"/>
        <rFont val="Times New Roman"/>
        <family val="1"/>
      </rPr>
      <t xml:space="preserve"> 21 </t>
    </r>
    <r>
      <rPr>
        <sz val="12"/>
        <rFont val="標楷體"/>
        <family val="4"/>
        <charset val="136"/>
      </rPr>
      <t>線</t>
    </r>
    <r>
      <rPr>
        <sz val="12"/>
        <rFont val="Times New Roman"/>
        <family val="1"/>
      </rPr>
      <t xml:space="preserve"> 87K~88K </t>
    </r>
    <r>
      <rPr>
        <sz val="12"/>
        <rFont val="標楷體"/>
        <family val="4"/>
        <charset val="136"/>
      </rPr>
      <t>道路阻塞。</t>
    </r>
    <phoneticPr fontId="5" type="noConversion"/>
  </si>
  <si>
    <r>
      <rPr>
        <sz val="12"/>
        <rFont val="標楷體"/>
        <family val="4"/>
        <charset val="136"/>
      </rPr>
      <t>桂林村</t>
    </r>
    <phoneticPr fontId="5" type="noConversion"/>
  </si>
  <si>
    <r>
      <rPr>
        <sz val="12"/>
        <rFont val="標楷體"/>
        <family val="4"/>
        <charset val="136"/>
      </rPr>
      <t>雲縣</t>
    </r>
    <r>
      <rPr>
        <sz val="12"/>
        <rFont val="Times New Roman"/>
        <family val="1"/>
      </rPr>
      <t>DF013</t>
    </r>
    <phoneticPr fontId="5" type="noConversion"/>
  </si>
  <si>
    <r>
      <t xml:space="preserve">0601 </t>
    </r>
    <r>
      <rPr>
        <sz val="12"/>
        <rFont val="標楷體"/>
        <family val="4"/>
        <charset val="136"/>
      </rPr>
      <t>豪雨期間，苦苓腳野溪上游及兩側坡面崩塌，土砂淤積河道，淹埋既有河道、既有構造物及橋涵，溪水改道沖刷下游邊坡基腳，加劇邊坡崩塌情形。</t>
    </r>
    <phoneticPr fontId="5" type="noConversion"/>
  </si>
  <si>
    <r>
      <t>107</t>
    </r>
    <r>
      <rPr>
        <sz val="12"/>
        <rFont val="標楷體"/>
        <family val="4"/>
        <charset val="136"/>
      </rPr>
      <t>年新增土石流</t>
    </r>
    <phoneticPr fontId="5" type="noConversion"/>
  </si>
  <si>
    <r>
      <rPr>
        <sz val="12"/>
        <rFont val="標楷體"/>
        <family val="4"/>
        <charset val="136"/>
      </rPr>
      <t>古坑</t>
    </r>
    <phoneticPr fontId="5" type="noConversion"/>
  </si>
  <si>
    <r>
      <rPr>
        <sz val="12"/>
        <rFont val="標楷體"/>
        <family val="4"/>
        <charset val="136"/>
      </rPr>
      <t>竹林村</t>
    </r>
    <phoneticPr fontId="5" type="noConversion"/>
  </si>
  <si>
    <r>
      <rPr>
        <sz val="12"/>
        <rFont val="標楷體"/>
        <family val="4"/>
        <charset val="136"/>
      </rPr>
      <t>：東埔蚋溪左岸邊坡發生崩塌並堵塞河道，造成小半天瀑布下方形成堰塞湖，形成初期壩體有產生溢流情形。</t>
    </r>
    <phoneticPr fontId="5" type="noConversion"/>
  </si>
  <si>
    <r>
      <rPr>
        <sz val="12"/>
        <rFont val="標楷體"/>
        <family val="4"/>
        <charset val="136"/>
      </rPr>
      <t>鳳凰</t>
    </r>
    <phoneticPr fontId="5" type="noConversion"/>
  </si>
  <si>
    <r>
      <t xml:space="preserve">0601 </t>
    </r>
    <r>
      <rPr>
        <sz val="12"/>
        <rFont val="標楷體"/>
        <family val="4"/>
        <charset val="136"/>
      </rPr>
      <t>豪雨期間，和社溪上游暴漲，大量土石沖刷至下游，造成</t>
    </r>
    <r>
      <rPr>
        <sz val="12"/>
        <rFont val="Times New Roman"/>
        <family val="1"/>
      </rPr>
      <t xml:space="preserve"> 8 </t>
    </r>
    <r>
      <rPr>
        <sz val="12"/>
        <rFont val="標楷體"/>
        <family val="4"/>
        <charset val="136"/>
      </rPr>
      <t>戶民宅、隆華橋及路基被沖毀。</t>
    </r>
    <phoneticPr fontId="5" type="noConversion"/>
  </si>
  <si>
    <t>C1I340</t>
    <phoneticPr fontId="5" type="noConversion"/>
  </si>
  <si>
    <r>
      <t>0601</t>
    </r>
    <r>
      <rPr>
        <sz val="12"/>
        <rFont val="標楷體"/>
        <family val="4"/>
        <charset val="136"/>
      </rPr>
      <t>豪雨期間，人倫林道出現坍方、落石，造成道路中斷</t>
    </r>
  </si>
  <si>
    <t>01H47</t>
  </si>
  <si>
    <r>
      <rPr>
        <sz val="12"/>
        <rFont val="標楷體"/>
        <family val="4"/>
        <charset val="136"/>
      </rPr>
      <t>蜈蚣里</t>
    </r>
  </si>
  <si>
    <r>
      <rPr>
        <sz val="12"/>
        <rFont val="標楷體"/>
        <family val="4"/>
        <charset val="136"/>
      </rPr>
      <t>投縣</t>
    </r>
    <r>
      <rPr>
        <sz val="12"/>
        <rFont val="Times New Roman"/>
        <family val="1"/>
      </rPr>
      <t>DF065</t>
    </r>
  </si>
  <si>
    <r>
      <t>0601</t>
    </r>
    <r>
      <rPr>
        <sz val="12"/>
        <rFont val="標楷體"/>
        <family val="4"/>
        <charset val="136"/>
      </rPr>
      <t>豪雨期間，投縣</t>
    </r>
    <r>
      <rPr>
        <sz val="12"/>
        <rFont val="Times New Roman"/>
        <family val="1"/>
      </rPr>
      <t>DF065</t>
    </r>
    <r>
      <rPr>
        <sz val="12"/>
        <rFont val="標楷體"/>
        <family val="4"/>
        <charset val="136"/>
      </rPr>
      <t>上游發生崩塌，導致大量土石，因下游通洪斷面不足，土石宣洩不及，造成土石溢流至台</t>
    </r>
    <r>
      <rPr>
        <sz val="12"/>
        <rFont val="Times New Roman"/>
        <family val="1"/>
      </rPr>
      <t>14</t>
    </r>
    <r>
      <rPr>
        <sz val="12"/>
        <rFont val="標楷體"/>
        <family val="4"/>
        <charset val="136"/>
      </rPr>
      <t>線上。</t>
    </r>
    <phoneticPr fontId="5" type="noConversion"/>
  </si>
  <si>
    <t>C1I250</t>
    <phoneticPr fontId="5" type="noConversion"/>
  </si>
  <si>
    <r>
      <rPr>
        <sz val="12"/>
        <rFont val="標楷體"/>
        <family val="4"/>
        <charset val="136"/>
      </rPr>
      <t>鯉潭</t>
    </r>
  </si>
  <si>
    <r>
      <t>0601</t>
    </r>
    <r>
      <rPr>
        <sz val="12"/>
        <rFont val="標楷體"/>
        <family val="4"/>
        <charset val="136"/>
      </rPr>
      <t>豪雨期間，</t>
    </r>
    <r>
      <rPr>
        <sz val="12"/>
        <rFont val="Times New Roman"/>
        <family val="1"/>
      </rPr>
      <t>87K</t>
    </r>
    <r>
      <rPr>
        <sz val="12"/>
        <rFont val="標楷體"/>
        <family val="4"/>
        <charset val="136"/>
      </rPr>
      <t>上邊坡坍方，土石滑動造成邊坡擋土牆毀損、柏油路面高低不平，道路下方有坍方。</t>
    </r>
    <phoneticPr fontId="5" type="noConversion"/>
  </si>
  <si>
    <r>
      <rPr>
        <sz val="12"/>
        <rFont val="標楷體"/>
        <family val="4"/>
        <charset val="136"/>
      </rPr>
      <t>榮興村</t>
    </r>
  </si>
  <si>
    <r>
      <rPr>
        <sz val="12"/>
        <rFont val="標楷體"/>
        <family val="4"/>
        <charset val="136"/>
      </rPr>
      <t>碧綠溪支流上游右邊坡崩塌，大量土石沿既有河道沖刷至台</t>
    </r>
    <r>
      <rPr>
        <sz val="12"/>
        <rFont val="Times New Roman"/>
        <family val="1"/>
      </rPr>
      <t>8</t>
    </r>
    <r>
      <rPr>
        <sz val="12"/>
        <rFont val="標楷體"/>
        <family val="4"/>
        <charset val="136"/>
      </rPr>
      <t>線，造成台</t>
    </r>
    <r>
      <rPr>
        <sz val="12"/>
        <rFont val="Times New Roman"/>
        <family val="1"/>
      </rPr>
      <t>8</t>
    </r>
    <r>
      <rPr>
        <sz val="12"/>
        <rFont val="標楷體"/>
        <family val="4"/>
        <charset val="136"/>
      </rPr>
      <t>線</t>
    </r>
    <r>
      <rPr>
        <sz val="12"/>
        <rFont val="Times New Roman"/>
        <family val="1"/>
      </rPr>
      <t>97.7K</t>
    </r>
    <r>
      <rPr>
        <sz val="12"/>
        <rFont val="標楷體"/>
        <family val="4"/>
        <charset val="136"/>
      </rPr>
      <t>道路中斷。</t>
    </r>
    <phoneticPr fontId="5" type="noConversion"/>
  </si>
  <si>
    <t>C0T790</t>
    <phoneticPr fontId="5" type="noConversion"/>
  </si>
  <si>
    <r>
      <rPr>
        <sz val="12"/>
        <rFont val="標楷體"/>
        <family val="4"/>
        <charset val="136"/>
      </rPr>
      <t>大禹嶺</t>
    </r>
    <phoneticPr fontId="5" type="noConversion"/>
  </si>
  <si>
    <r>
      <rPr>
        <sz val="12"/>
        <rFont val="標楷體"/>
        <family val="4"/>
        <charset val="136"/>
      </rPr>
      <t>永興里</t>
    </r>
  </si>
  <si>
    <r>
      <rPr>
        <sz val="12"/>
        <rFont val="標楷體"/>
        <family val="4"/>
        <charset val="136"/>
      </rPr>
      <t>新北</t>
    </r>
    <r>
      <rPr>
        <sz val="12"/>
        <rFont val="Times New Roman"/>
        <family val="1"/>
      </rPr>
      <t>DF218</t>
    </r>
  </si>
  <si>
    <r>
      <t>0601</t>
    </r>
    <r>
      <rPr>
        <sz val="12"/>
        <rFont val="標楷體"/>
        <family val="4"/>
        <charset val="136"/>
      </rPr>
      <t>豪雨期間，新北</t>
    </r>
    <r>
      <rPr>
        <sz val="12"/>
        <rFont val="Times New Roman"/>
        <family val="1"/>
      </rPr>
      <t>DF218</t>
    </r>
    <r>
      <rPr>
        <sz val="12"/>
        <rFont val="標楷體"/>
        <family val="4"/>
        <charset val="136"/>
      </rPr>
      <t>上游多處發生崩塌，大量夾砂水流沖毀濆水路，造永興村聯外道路中斷。</t>
    </r>
  </si>
  <si>
    <r>
      <t>0613</t>
    </r>
    <r>
      <rPr>
        <sz val="12"/>
        <rFont val="標楷體"/>
        <family val="4"/>
        <charset val="136"/>
      </rPr>
      <t>豪雨</t>
    </r>
    <phoneticPr fontId="5" type="noConversion"/>
  </si>
  <si>
    <r>
      <rPr>
        <sz val="12"/>
        <rFont val="標楷體"/>
        <family val="4"/>
        <charset val="136"/>
      </rPr>
      <t>因連日豪雨造成武玄宮後側邊坡發生崩塌，崩塌最深處約</t>
    </r>
    <r>
      <rPr>
        <sz val="12"/>
        <rFont val="Times New Roman"/>
        <family val="1"/>
      </rPr>
      <t>10</t>
    </r>
    <r>
      <rPr>
        <sz val="12"/>
        <rFont val="標楷體"/>
        <family val="4"/>
        <charset val="136"/>
      </rPr>
      <t>公尺。</t>
    </r>
  </si>
  <si>
    <t>C1H920</t>
    <phoneticPr fontId="5" type="noConversion"/>
  </si>
  <si>
    <r>
      <rPr>
        <sz val="12"/>
        <rFont val="標楷體"/>
        <family val="4"/>
        <charset val="136"/>
      </rPr>
      <t>長豐</t>
    </r>
    <phoneticPr fontId="5" type="noConversion"/>
  </si>
  <si>
    <r>
      <rPr>
        <sz val="12"/>
        <rFont val="標楷體"/>
        <family val="4"/>
        <charset val="136"/>
      </rPr>
      <t>中興村</t>
    </r>
  </si>
  <si>
    <r>
      <rPr>
        <sz val="12"/>
        <rFont val="標楷體"/>
        <family val="4"/>
        <charset val="136"/>
      </rPr>
      <t>邊坡崩塌，大量土石宣洩不及，溢流至苗</t>
    </r>
    <r>
      <rPr>
        <sz val="12"/>
        <rFont val="Times New Roman"/>
        <family val="1"/>
      </rPr>
      <t>61</t>
    </r>
    <r>
      <rPr>
        <sz val="12"/>
        <rFont val="標楷體"/>
        <family val="4"/>
        <charset val="136"/>
      </rPr>
      <t>縣，造成道路阻塞。</t>
    </r>
  </si>
  <si>
    <t>C1E681</t>
  </si>
  <si>
    <r>
      <rPr>
        <sz val="12"/>
        <rFont val="標楷體"/>
        <family val="4"/>
        <charset val="136"/>
      </rPr>
      <t>南勢山</t>
    </r>
  </si>
  <si>
    <r>
      <rPr>
        <sz val="12"/>
        <rFont val="標楷體"/>
        <family val="4"/>
        <charset val="136"/>
      </rPr>
      <t>宜縣</t>
    </r>
    <r>
      <rPr>
        <sz val="12"/>
        <rFont val="Times New Roman"/>
        <family val="1"/>
      </rPr>
      <t>DF069</t>
    </r>
  </si>
  <si>
    <r>
      <rPr>
        <sz val="12"/>
        <rFont val="標楷體"/>
        <family val="4"/>
        <charset val="136"/>
      </rPr>
      <t>尼莎暨海棠颱風</t>
    </r>
    <phoneticPr fontId="5" type="noConversion"/>
  </si>
  <si>
    <r>
      <t>106</t>
    </r>
    <r>
      <rPr>
        <sz val="12"/>
        <rFont val="標楷體"/>
        <family val="4"/>
        <charset val="136"/>
      </rPr>
      <t>年尼莎暨海棠颱風期間，宜縣</t>
    </r>
    <r>
      <rPr>
        <sz val="12"/>
        <rFont val="Times New Roman"/>
        <family val="1"/>
      </rPr>
      <t>DF069</t>
    </r>
    <r>
      <rPr>
        <sz val="12"/>
        <rFont val="標楷體"/>
        <family val="4"/>
        <charset val="136"/>
      </rPr>
      <t>上游發生崩塌，導致大量土石，因下游德荃橋下通洪斷面不足，土石宣洩不及，造成土石溢流至台</t>
    </r>
    <r>
      <rPr>
        <sz val="12"/>
        <rFont val="Times New Roman"/>
        <family val="1"/>
      </rPr>
      <t>7</t>
    </r>
    <r>
      <rPr>
        <sz val="12"/>
        <rFont val="標楷體"/>
        <family val="4"/>
        <charset val="136"/>
      </rPr>
      <t>甲線上。</t>
    </r>
  </si>
  <si>
    <t>01U070</t>
    <phoneticPr fontId="5" type="noConversion"/>
  </si>
  <si>
    <r>
      <rPr>
        <sz val="12"/>
        <rFont val="標楷體"/>
        <family val="4"/>
        <charset val="136"/>
      </rPr>
      <t>留茂安</t>
    </r>
    <phoneticPr fontId="5" type="noConversion"/>
  </si>
  <si>
    <r>
      <rPr>
        <sz val="12"/>
        <rFont val="標楷體"/>
        <family val="4"/>
        <charset val="136"/>
      </rPr>
      <t>同富村</t>
    </r>
  </si>
  <si>
    <r>
      <rPr>
        <sz val="12"/>
        <rFont val="標楷體"/>
        <family val="4"/>
        <charset val="136"/>
      </rPr>
      <t>投縣</t>
    </r>
    <r>
      <rPr>
        <sz val="12"/>
        <rFont val="Times New Roman"/>
        <family val="1"/>
      </rPr>
      <t>DF235</t>
    </r>
    <phoneticPr fontId="5" type="noConversion"/>
  </si>
  <si>
    <r>
      <rPr>
        <sz val="12"/>
        <rFont val="標楷體"/>
        <family val="4"/>
        <charset val="136"/>
      </rPr>
      <t>尼莎暨海棠颱風期間，造成台</t>
    </r>
    <r>
      <rPr>
        <sz val="12"/>
        <rFont val="Times New Roman"/>
        <family val="1"/>
      </rPr>
      <t>21</t>
    </r>
    <r>
      <rPr>
        <sz val="12"/>
        <rFont val="標楷體"/>
        <family val="4"/>
        <charset val="136"/>
      </rPr>
      <t>線</t>
    </r>
    <r>
      <rPr>
        <sz val="12"/>
        <rFont val="Times New Roman"/>
        <family val="1"/>
      </rPr>
      <t>115K+540</t>
    </r>
    <r>
      <rPr>
        <sz val="12"/>
        <rFont val="標楷體"/>
        <family val="4"/>
        <charset val="136"/>
      </rPr>
      <t>邊坡落石坍方，造成道路阻塞。</t>
    </r>
  </si>
  <si>
    <r>
      <rPr>
        <sz val="12"/>
        <rFont val="標楷體"/>
        <family val="4"/>
        <charset val="136"/>
      </rPr>
      <t>和社</t>
    </r>
    <phoneticPr fontId="5" type="noConversion"/>
  </si>
  <si>
    <r>
      <rPr>
        <sz val="12"/>
        <rFont val="標楷體"/>
        <family val="4"/>
        <charset val="136"/>
      </rPr>
      <t>枋山鄉</t>
    </r>
  </si>
  <si>
    <r>
      <rPr>
        <sz val="12"/>
        <rFont val="標楷體"/>
        <family val="4"/>
        <charset val="136"/>
      </rPr>
      <t>善餘村</t>
    </r>
  </si>
  <si>
    <r>
      <rPr>
        <sz val="12"/>
        <rFont val="標楷體"/>
        <family val="4"/>
        <charset val="136"/>
      </rPr>
      <t>屏縣</t>
    </r>
    <r>
      <rPr>
        <sz val="12"/>
        <rFont val="Times New Roman"/>
        <family val="1"/>
      </rPr>
      <t>DF054</t>
    </r>
  </si>
  <si>
    <r>
      <rPr>
        <sz val="12"/>
        <rFont val="標楷體"/>
        <family val="4"/>
        <charset val="136"/>
      </rPr>
      <t>土石流潛勢溪流屏縣</t>
    </r>
    <r>
      <rPr>
        <sz val="12"/>
        <rFont val="Times New Roman"/>
        <family val="1"/>
      </rPr>
      <t>DF054</t>
    </r>
    <r>
      <rPr>
        <sz val="12"/>
        <rFont val="標楷體"/>
        <family val="4"/>
        <charset val="136"/>
      </rPr>
      <t>因上游崩塌，洪水挾帶大量土石流入下游，在通洪斷面不足情況下使得洪水溢流橋面並流入河道右岸房舍，及造成農地流失、護岸損壞，台</t>
    </r>
    <r>
      <rPr>
        <sz val="12"/>
        <rFont val="Times New Roman"/>
        <family val="1"/>
      </rPr>
      <t>26</t>
    </r>
    <r>
      <rPr>
        <sz val="12"/>
        <rFont val="標楷體"/>
        <family val="4"/>
        <charset val="136"/>
      </rPr>
      <t>線屏鵝公路因此淹水道路中斷。</t>
    </r>
  </si>
  <si>
    <t>C0R400</t>
    <phoneticPr fontId="5" type="noConversion"/>
  </si>
  <si>
    <r>
      <rPr>
        <sz val="12"/>
        <rFont val="標楷體"/>
        <family val="4"/>
        <charset val="136"/>
      </rPr>
      <t>楓港</t>
    </r>
    <phoneticPr fontId="5" type="noConversion"/>
  </si>
  <si>
    <r>
      <rPr>
        <sz val="12"/>
        <rFont val="標楷體"/>
        <family val="4"/>
        <charset val="136"/>
      </rPr>
      <t>茂安村</t>
    </r>
    <phoneticPr fontId="5" type="noConversion"/>
  </si>
  <si>
    <r>
      <t>1011</t>
    </r>
    <r>
      <rPr>
        <sz val="12"/>
        <rFont val="標楷體"/>
        <family val="4"/>
        <charset val="136"/>
      </rPr>
      <t>豪雨</t>
    </r>
  </si>
  <si>
    <r>
      <t>106</t>
    </r>
    <r>
      <rPr>
        <sz val="12"/>
        <rFont val="標楷體"/>
        <family val="4"/>
        <charset val="136"/>
      </rPr>
      <t>年</t>
    </r>
    <r>
      <rPr>
        <sz val="12"/>
        <rFont val="Times New Roman"/>
        <family val="1"/>
      </rPr>
      <t>1011</t>
    </r>
    <r>
      <rPr>
        <sz val="12"/>
        <rFont val="標楷體"/>
        <family val="4"/>
        <charset val="136"/>
      </rPr>
      <t>豪雨期間，洪水挾帶大量土石流入下游，河道土石淤積深度高達</t>
    </r>
    <r>
      <rPr>
        <sz val="12"/>
        <rFont val="Times New Roman"/>
        <family val="1"/>
      </rPr>
      <t>4~5m</t>
    </r>
    <r>
      <rPr>
        <sz val="12"/>
        <rFont val="標楷體"/>
        <family val="4"/>
        <charset val="136"/>
      </rPr>
      <t>，在通洪斷面不足情況下使得洪水溢流橋面並流向河道左岸道路，造成道路路基掏空</t>
    </r>
    <r>
      <rPr>
        <sz val="12"/>
        <rFont val="Times New Roman"/>
        <family val="1"/>
      </rPr>
      <t>(</t>
    </r>
    <r>
      <rPr>
        <sz val="12"/>
        <rFont val="標楷體"/>
        <family val="4"/>
        <charset val="136"/>
      </rPr>
      <t>約</t>
    </r>
    <r>
      <rPr>
        <sz val="12"/>
        <rFont val="Times New Roman"/>
        <family val="1"/>
      </rPr>
      <t>4</t>
    </r>
    <r>
      <rPr>
        <sz val="12"/>
        <rFont val="標楷體"/>
        <family val="4"/>
        <charset val="136"/>
      </rPr>
      <t>平方公尺</t>
    </r>
    <r>
      <rPr>
        <sz val="12"/>
        <rFont val="Times New Roman"/>
        <family val="1"/>
      </rPr>
      <t>)</t>
    </r>
    <r>
      <rPr>
        <sz val="12"/>
        <rFont val="標楷體"/>
        <family val="4"/>
        <charset val="136"/>
      </rPr>
      <t>，台</t>
    </r>
    <r>
      <rPr>
        <sz val="12"/>
        <rFont val="Times New Roman"/>
        <family val="1"/>
      </rPr>
      <t>7</t>
    </r>
    <r>
      <rPr>
        <sz val="12"/>
        <rFont val="標楷體"/>
        <family val="4"/>
        <charset val="136"/>
      </rPr>
      <t>甲線</t>
    </r>
    <r>
      <rPr>
        <sz val="12"/>
        <rFont val="Times New Roman"/>
        <family val="1"/>
      </rPr>
      <t>(</t>
    </r>
    <r>
      <rPr>
        <sz val="12"/>
        <rFont val="標楷體"/>
        <family val="4"/>
        <charset val="136"/>
      </rPr>
      <t>德荃橋</t>
    </r>
    <r>
      <rPr>
        <sz val="12"/>
        <rFont val="Times New Roman"/>
        <family val="1"/>
      </rPr>
      <t>)</t>
    </r>
    <r>
      <rPr>
        <sz val="12"/>
        <rFont val="標楷體"/>
        <family val="4"/>
        <charset val="136"/>
      </rPr>
      <t>因土石堆積交通中斷。</t>
    </r>
  </si>
  <si>
    <t>01U070</t>
  </si>
  <si>
    <r>
      <rPr>
        <sz val="12"/>
        <rFont val="標楷體"/>
        <family val="4"/>
        <charset val="136"/>
      </rPr>
      <t>東勢里</t>
    </r>
  </si>
  <si>
    <r>
      <t>1011</t>
    </r>
    <r>
      <rPr>
        <sz val="12"/>
        <rFont val="標楷體"/>
        <family val="4"/>
        <charset val="136"/>
      </rPr>
      <t>豪雨期間，東勢街</t>
    </r>
    <r>
      <rPr>
        <sz val="12"/>
        <rFont val="Times New Roman"/>
        <family val="1"/>
      </rPr>
      <t>201</t>
    </r>
    <r>
      <rPr>
        <sz val="12"/>
        <rFont val="標楷體"/>
        <family val="4"/>
        <charset val="136"/>
      </rPr>
      <t>巷</t>
    </r>
    <r>
      <rPr>
        <sz val="12"/>
        <rFont val="Times New Roman"/>
        <family val="1"/>
      </rPr>
      <t>437</t>
    </r>
    <r>
      <rPr>
        <sz val="12"/>
        <rFont val="標楷體"/>
        <family val="4"/>
        <charset val="136"/>
      </rPr>
      <t>弄</t>
    </r>
    <r>
      <rPr>
        <sz val="12"/>
        <rFont val="Times New Roman"/>
        <family val="1"/>
      </rPr>
      <t>8</t>
    </r>
    <r>
      <rPr>
        <sz val="12"/>
        <rFont val="標楷體"/>
        <family val="4"/>
        <charset val="136"/>
      </rPr>
      <t>號民宅下邊坡發生崩塌，危及民房安全。</t>
    </r>
  </si>
  <si>
    <t>01AG00</t>
    <phoneticPr fontId="5" type="noConversion"/>
  </si>
  <si>
    <r>
      <rPr>
        <sz val="12"/>
        <rFont val="標楷體"/>
        <family val="4"/>
        <charset val="136"/>
      </rPr>
      <t>后社橋</t>
    </r>
    <phoneticPr fontId="5" type="noConversion"/>
  </si>
  <si>
    <r>
      <t>1011</t>
    </r>
    <r>
      <rPr>
        <sz val="12"/>
        <rFont val="標楷體"/>
        <family val="4"/>
        <charset val="136"/>
      </rPr>
      <t>豪雨期間，水源路二段</t>
    </r>
    <r>
      <rPr>
        <sz val="12"/>
        <rFont val="Times New Roman"/>
        <family val="1"/>
      </rPr>
      <t>110</t>
    </r>
    <r>
      <rPr>
        <sz val="12"/>
        <rFont val="標楷體"/>
        <family val="4"/>
        <charset val="136"/>
      </rPr>
      <t>巷民宅後方邊坡發生崩塌，危及民房安全。</t>
    </r>
  </si>
  <si>
    <t>C0AH00</t>
  </si>
  <si>
    <r>
      <rPr>
        <sz val="12"/>
        <rFont val="標楷體"/>
        <family val="4"/>
        <charset val="136"/>
      </rPr>
      <t>汐止</t>
    </r>
  </si>
  <si>
    <r>
      <rPr>
        <sz val="12"/>
        <rFont val="標楷體"/>
        <family val="4"/>
        <charset val="136"/>
      </rPr>
      <t>泰源村</t>
    </r>
  </si>
  <si>
    <r>
      <rPr>
        <sz val="12"/>
        <rFont val="標楷體"/>
        <family val="4"/>
        <charset val="136"/>
      </rPr>
      <t>受卡努颱風外圍環流連日豪大雨影響，造成鄉道東</t>
    </r>
    <r>
      <rPr>
        <sz val="12"/>
        <rFont val="Times New Roman"/>
        <family val="1"/>
      </rPr>
      <t>23</t>
    </r>
    <r>
      <rPr>
        <sz val="12"/>
        <rFont val="標楷體"/>
        <family val="4"/>
        <charset val="136"/>
      </rPr>
      <t>線往尚德方向里程</t>
    </r>
    <r>
      <rPr>
        <sz val="12"/>
        <rFont val="Times New Roman"/>
        <family val="1"/>
      </rPr>
      <t>2.5K</t>
    </r>
    <r>
      <rPr>
        <sz val="12"/>
        <rFont val="標楷體"/>
        <family val="4"/>
        <charset val="136"/>
      </rPr>
      <t>及</t>
    </r>
    <r>
      <rPr>
        <sz val="12"/>
        <rFont val="Times New Roman"/>
        <family val="1"/>
      </rPr>
      <t>3K</t>
    </r>
    <r>
      <rPr>
        <sz val="12"/>
        <rFont val="標楷體"/>
        <family val="4"/>
        <charset val="136"/>
      </rPr>
      <t>處道路邊坡土石崩落及道路塌陷</t>
    </r>
  </si>
  <si>
    <t>01S870</t>
    <phoneticPr fontId="5" type="noConversion"/>
  </si>
  <si>
    <r>
      <rPr>
        <sz val="12"/>
        <rFont val="標楷體"/>
        <family val="4"/>
        <charset val="136"/>
      </rPr>
      <t>北源</t>
    </r>
  </si>
  <si>
    <r>
      <rPr>
        <sz val="12"/>
        <rFont val="標楷體"/>
        <family val="4"/>
        <charset val="136"/>
      </rPr>
      <t>鎮樂</t>
    </r>
    <r>
      <rPr>
        <sz val="12"/>
        <rFont val="Times New Roman"/>
        <family val="1"/>
      </rPr>
      <t xml:space="preserve"> 122 </t>
    </r>
    <r>
      <rPr>
        <sz val="12"/>
        <rFont val="標楷體"/>
        <family val="4"/>
        <charset val="136"/>
      </rPr>
      <t>號民宅</t>
    </r>
    <phoneticPr fontId="5" type="noConversion"/>
  </si>
  <si>
    <r>
      <rPr>
        <sz val="12"/>
        <rFont val="標楷體"/>
        <family val="4"/>
        <charset val="136"/>
      </rPr>
      <t>卑南鄉</t>
    </r>
  </si>
  <si>
    <r>
      <rPr>
        <sz val="12"/>
        <rFont val="標楷體"/>
        <family val="4"/>
        <charset val="136"/>
      </rPr>
      <t>溫泉村</t>
    </r>
  </si>
  <si>
    <r>
      <rPr>
        <sz val="12"/>
        <rFont val="標楷體"/>
        <family val="4"/>
        <charset val="136"/>
      </rPr>
      <t>受卡努颱風外圍環流連日豪大雨影響，造成卑南</t>
    </r>
    <r>
      <rPr>
        <sz val="12"/>
        <rFont val="Times New Roman"/>
        <family val="1"/>
      </rPr>
      <t>?</t>
    </r>
    <r>
      <rPr>
        <sz val="12"/>
        <rFont val="標楷體"/>
        <family val="4"/>
        <charset val="136"/>
      </rPr>
      <t>溫泉村鎮樂山區部分民宅遭土石淤埋及木瓜溪千歲橋嚴重淤積阻塞，隨時可能溢流致災。</t>
    </r>
  </si>
  <si>
    <t>C0S700</t>
    <phoneticPr fontId="5" type="noConversion"/>
  </si>
  <si>
    <r>
      <rPr>
        <sz val="12"/>
        <rFont val="標楷體"/>
        <family val="4"/>
        <charset val="136"/>
      </rPr>
      <t>知本</t>
    </r>
  </si>
  <si>
    <r>
      <rPr>
        <sz val="12"/>
        <rFont val="標楷體"/>
        <family val="4"/>
        <charset val="136"/>
      </rPr>
      <t>知本富野飯店</t>
    </r>
    <phoneticPr fontId="5" type="noConversion"/>
  </si>
  <si>
    <r>
      <rPr>
        <sz val="12"/>
        <rFont val="標楷體"/>
        <family val="4"/>
        <charset val="136"/>
      </rPr>
      <t>受卡努颱風外圍環流連日豪大雨影響，造成卑南</t>
    </r>
    <r>
      <rPr>
        <sz val="12"/>
        <rFont val="Times New Roman"/>
        <family val="1"/>
      </rPr>
      <t>?</t>
    </r>
    <r>
      <rPr>
        <sz val="12"/>
        <rFont val="標楷體"/>
        <family val="4"/>
        <charset val="136"/>
      </rPr>
      <t>溫泉村富野飯店後方坡地土石崩落沖入飯店一樓。</t>
    </r>
  </si>
  <si>
    <r>
      <rPr>
        <sz val="12"/>
        <rFont val="標楷體"/>
        <family val="4"/>
        <charset val="136"/>
      </rPr>
      <t>池上鄉</t>
    </r>
  </si>
  <si>
    <r>
      <rPr>
        <sz val="12"/>
        <rFont val="標楷體"/>
        <family val="4"/>
        <charset val="136"/>
      </rPr>
      <t>富興村</t>
    </r>
  </si>
  <si>
    <r>
      <rPr>
        <sz val="12"/>
        <rFont val="標楷體"/>
        <family val="4"/>
        <charset val="136"/>
      </rPr>
      <t>受卡努颱風外圍環流連日豪大雨影響，造成池上鄉富興村山棕寮一帶土砂流出。</t>
    </r>
  </si>
  <si>
    <t>C0S890</t>
    <phoneticPr fontId="5" type="noConversion"/>
  </si>
  <si>
    <r>
      <rPr>
        <sz val="12"/>
        <rFont val="標楷體"/>
        <family val="4"/>
        <charset val="136"/>
      </rPr>
      <t>獅子鄉</t>
    </r>
    <phoneticPr fontId="5" type="noConversion"/>
  </si>
  <si>
    <r>
      <rPr>
        <sz val="12"/>
        <rFont val="標楷體"/>
        <family val="4"/>
        <charset val="136"/>
      </rPr>
      <t>竹坑村</t>
    </r>
    <phoneticPr fontId="5" type="noConversion"/>
  </si>
  <si>
    <r>
      <rPr>
        <sz val="12"/>
        <rFont val="標楷體"/>
        <family val="4"/>
        <charset val="136"/>
      </rPr>
      <t>屏縣</t>
    </r>
    <r>
      <rPr>
        <sz val="12"/>
        <rFont val="Times New Roman"/>
        <family val="1"/>
      </rPr>
      <t>DF048</t>
    </r>
    <phoneticPr fontId="5" type="noConversion"/>
  </si>
  <si>
    <r>
      <t>0823</t>
    </r>
    <r>
      <rPr>
        <sz val="12"/>
        <rFont val="標楷體"/>
        <family val="4"/>
        <charset val="136"/>
      </rPr>
      <t>豪雨</t>
    </r>
    <phoneticPr fontId="5" type="noConversion"/>
  </si>
  <si>
    <r>
      <t>0823</t>
    </r>
    <r>
      <rPr>
        <sz val="12"/>
        <rFont val="標楷體"/>
        <family val="4"/>
        <charset val="136"/>
      </rPr>
      <t>熱帶低壓期間，台</t>
    </r>
    <r>
      <rPr>
        <sz val="12"/>
        <rFont val="Times New Roman"/>
        <family val="1"/>
      </rPr>
      <t>26</t>
    </r>
    <r>
      <rPr>
        <sz val="12"/>
        <rFont val="標楷體"/>
        <family val="4"/>
        <charset val="136"/>
      </rPr>
      <t>線屏鵝公路</t>
    </r>
    <r>
      <rPr>
        <sz val="12"/>
        <rFont val="Times New Roman"/>
        <family val="1"/>
      </rPr>
      <t>385</t>
    </r>
    <r>
      <rPr>
        <sz val="12"/>
        <rFont val="標楷體"/>
        <family val="4"/>
        <charset val="136"/>
      </rPr>
      <t>號橋處苦苓橋西側邊坡因土砂流出，逕流挾帶土砂沿著苦苓巷既有道路溢流台</t>
    </r>
    <r>
      <rPr>
        <sz val="12"/>
        <rFont val="Times New Roman"/>
        <family val="1"/>
      </rPr>
      <t>26</t>
    </r>
    <r>
      <rPr>
        <sz val="12"/>
        <rFont val="標楷體"/>
        <family val="4"/>
        <charset val="136"/>
      </rPr>
      <t>線，造成台</t>
    </r>
    <r>
      <rPr>
        <sz val="12"/>
        <rFont val="Times New Roman"/>
        <family val="1"/>
      </rPr>
      <t>26</t>
    </r>
    <r>
      <rPr>
        <sz val="12"/>
        <rFont val="標楷體"/>
        <family val="4"/>
        <charset val="136"/>
      </rPr>
      <t>線因土石溢淹道路阻塞。</t>
    </r>
  </si>
  <si>
    <t>C0R400</t>
  </si>
  <si>
    <r>
      <rPr>
        <sz val="12"/>
        <rFont val="標楷體"/>
        <family val="4"/>
        <charset val="136"/>
      </rPr>
      <t>楓港</t>
    </r>
  </si>
  <si>
    <r>
      <rPr>
        <sz val="12"/>
        <rFont val="標楷體"/>
        <family val="4"/>
        <charset val="136"/>
      </rPr>
      <t>屏縣</t>
    </r>
    <r>
      <rPr>
        <sz val="12"/>
        <rFont val="Times New Roman"/>
        <family val="1"/>
      </rPr>
      <t>DF071</t>
    </r>
    <phoneticPr fontId="5" type="noConversion"/>
  </si>
  <si>
    <r>
      <t>0823</t>
    </r>
    <r>
      <rPr>
        <sz val="12"/>
        <rFont val="標楷體"/>
        <family val="4"/>
        <charset val="136"/>
      </rPr>
      <t>熱帶低壓期間，台</t>
    </r>
    <r>
      <rPr>
        <sz val="12"/>
        <rFont val="Times New Roman"/>
        <family val="1"/>
      </rPr>
      <t>26</t>
    </r>
    <r>
      <rPr>
        <sz val="12"/>
        <rFont val="標楷體"/>
        <family val="4"/>
        <charset val="136"/>
      </rPr>
      <t>線屏鵝公路</t>
    </r>
    <r>
      <rPr>
        <sz val="12"/>
        <rFont val="Times New Roman"/>
        <family val="1"/>
      </rPr>
      <t>386</t>
    </r>
    <r>
      <rPr>
        <sz val="12"/>
        <rFont val="標楷體"/>
        <family val="4"/>
        <charset val="136"/>
      </rPr>
      <t>號橋上游坑溝兩岸崩塌及邊坡部分土砂沖蝕，強降雨使逕流挾帶土砂沿著坑溝下移，逕流挾帶土砂下造成土砂堆積橋面。</t>
    </r>
  </si>
  <si>
    <r>
      <t>108</t>
    </r>
    <r>
      <rPr>
        <sz val="12"/>
        <rFont val="標楷體"/>
        <family val="4"/>
        <charset val="136"/>
      </rPr>
      <t>年新增土石流</t>
    </r>
    <phoneticPr fontId="5" type="noConversion"/>
  </si>
  <si>
    <r>
      <rPr>
        <sz val="12"/>
        <rFont val="標楷體"/>
        <family val="4"/>
        <charset val="136"/>
      </rPr>
      <t>左鎮區</t>
    </r>
  </si>
  <si>
    <r>
      <rPr>
        <sz val="12"/>
        <rFont val="標楷體"/>
        <family val="4"/>
        <charset val="136"/>
      </rPr>
      <t>澄山里</t>
    </r>
  </si>
  <si>
    <r>
      <t>0823</t>
    </r>
    <r>
      <rPr>
        <sz val="12"/>
        <rFont val="標楷體"/>
        <family val="4"/>
        <charset val="136"/>
      </rPr>
      <t>熱帶低壓，台南左鎮的南</t>
    </r>
    <r>
      <rPr>
        <sz val="12"/>
        <rFont val="Times New Roman"/>
        <family val="1"/>
      </rPr>
      <t>171-1</t>
    </r>
    <r>
      <rPr>
        <sz val="12"/>
        <rFont val="標楷體"/>
        <family val="4"/>
        <charset val="136"/>
      </rPr>
      <t>線區道因當地邊坡崩塌，過嶺部落路段遭土石沖毀，交通中斷。</t>
    </r>
  </si>
  <si>
    <t>C0X200</t>
  </si>
  <si>
    <r>
      <rPr>
        <sz val="12"/>
        <rFont val="標楷體"/>
        <family val="4"/>
        <charset val="136"/>
      </rPr>
      <t>左鎮</t>
    </r>
  </si>
  <si>
    <r>
      <t>0823</t>
    </r>
    <r>
      <rPr>
        <sz val="12"/>
        <rFont val="標楷體"/>
        <family val="4"/>
        <charset val="136"/>
      </rPr>
      <t>熱帶低壓，造成高雄桃源區往藤枝的荖濃溪林道</t>
    </r>
    <r>
      <rPr>
        <sz val="12"/>
        <rFont val="Times New Roman"/>
        <family val="1"/>
      </rPr>
      <t>18</t>
    </r>
    <r>
      <rPr>
        <sz val="12"/>
        <rFont val="標楷體"/>
        <family val="4"/>
        <charset val="136"/>
      </rPr>
      <t>到</t>
    </r>
    <r>
      <rPr>
        <sz val="12"/>
        <rFont val="Times New Roman"/>
        <family val="1"/>
      </rPr>
      <t>19K</t>
    </r>
    <r>
      <rPr>
        <sz val="12"/>
        <rFont val="標楷體"/>
        <family val="4"/>
        <charset val="136"/>
      </rPr>
      <t>處發生崩塌，交通中斷。</t>
    </r>
  </si>
  <si>
    <t>C1V600</t>
  </si>
  <si>
    <r>
      <rPr>
        <sz val="12"/>
        <rFont val="標楷體"/>
        <family val="4"/>
        <charset val="136"/>
      </rPr>
      <t>藤枝</t>
    </r>
  </si>
  <si>
    <r>
      <rPr>
        <sz val="12"/>
        <rFont val="標楷體"/>
        <family val="4"/>
        <charset val="136"/>
      </rPr>
      <t>梨山里</t>
    </r>
    <phoneticPr fontId="5" type="noConversion"/>
  </si>
  <si>
    <r>
      <t>0520</t>
    </r>
    <r>
      <rPr>
        <sz val="12"/>
        <rFont val="標楷體"/>
        <family val="4"/>
        <charset val="136"/>
      </rPr>
      <t>豪雨</t>
    </r>
    <phoneticPr fontId="5" type="noConversion"/>
  </si>
  <si>
    <r>
      <rPr>
        <sz val="12"/>
        <rFont val="標楷體"/>
        <family val="4"/>
        <charset val="136"/>
      </rPr>
      <t>受</t>
    </r>
    <r>
      <rPr>
        <sz val="12"/>
        <rFont val="Times New Roman"/>
        <family val="1"/>
      </rPr>
      <t xml:space="preserve"> 0518</t>
    </r>
    <r>
      <rPr>
        <sz val="12"/>
        <rFont val="標楷體"/>
        <family val="4"/>
        <charset val="136"/>
      </rPr>
      <t>豪雨影響，青山橋上游野溪土石下移掩埋道路</t>
    </r>
    <phoneticPr fontId="5" type="noConversion"/>
  </si>
  <si>
    <t>C1F871</t>
    <phoneticPr fontId="5" type="noConversion"/>
  </si>
  <si>
    <r>
      <rPr>
        <sz val="12"/>
        <rFont val="標楷體"/>
        <family val="4"/>
        <charset val="136"/>
      </rPr>
      <t>上谷關</t>
    </r>
    <phoneticPr fontId="5" type="noConversion"/>
  </si>
  <si>
    <r>
      <rPr>
        <sz val="12"/>
        <rFont val="標楷體"/>
        <family val="4"/>
        <charset val="136"/>
      </rPr>
      <t>崩塌、沖蝕</t>
    </r>
    <phoneticPr fontId="5" type="noConversion"/>
  </si>
  <si>
    <r>
      <rPr>
        <sz val="12"/>
        <rFont val="標楷體"/>
        <family val="4"/>
        <charset val="136"/>
      </rPr>
      <t>草湖溪糖廓橋</t>
    </r>
    <phoneticPr fontId="5" type="noConversion"/>
  </si>
  <si>
    <r>
      <rPr>
        <sz val="12"/>
        <rFont val="標楷體"/>
        <family val="4"/>
        <charset val="136"/>
      </rPr>
      <t>黃竹里</t>
    </r>
  </si>
  <si>
    <r>
      <t>0611</t>
    </r>
    <r>
      <rPr>
        <sz val="12"/>
        <rFont val="標楷體"/>
        <family val="4"/>
        <charset val="136"/>
      </rPr>
      <t>豪雨</t>
    </r>
    <phoneticPr fontId="5" type="noConversion"/>
  </si>
  <si>
    <r>
      <t>0611</t>
    </r>
    <r>
      <rPr>
        <sz val="12"/>
        <rFont val="標楷體"/>
        <family val="4"/>
        <charset val="136"/>
      </rPr>
      <t>豪雨期間，位於糖廓橋下游之河段兩岸邊坡發生災害</t>
    </r>
    <phoneticPr fontId="5" type="noConversion"/>
  </si>
  <si>
    <t>C1F9B1</t>
  </si>
  <si>
    <r>
      <rPr>
        <sz val="12"/>
        <rFont val="標楷體"/>
        <family val="4"/>
        <charset val="136"/>
      </rPr>
      <t>桐林</t>
    </r>
    <phoneticPr fontId="5" type="noConversion"/>
  </si>
  <si>
    <r>
      <rPr>
        <sz val="12"/>
        <rFont val="標楷體"/>
        <family val="4"/>
        <charset val="136"/>
      </rPr>
      <t>沖蝕</t>
    </r>
  </si>
  <si>
    <r>
      <rPr>
        <sz val="12"/>
        <rFont val="標楷體"/>
        <family val="4"/>
        <charset val="136"/>
      </rPr>
      <t>福旗巷</t>
    </r>
    <r>
      <rPr>
        <sz val="12"/>
        <rFont val="Times New Roman"/>
        <family val="1"/>
      </rPr>
      <t>18</t>
    </r>
    <r>
      <rPr>
        <sz val="12"/>
        <rFont val="標楷體"/>
        <family val="4"/>
        <charset val="136"/>
      </rPr>
      <t>號</t>
    </r>
    <phoneticPr fontId="5" type="noConversion"/>
  </si>
  <si>
    <r>
      <t>0611</t>
    </r>
    <r>
      <rPr>
        <sz val="12"/>
        <rFont val="標楷體"/>
        <family val="4"/>
        <charset val="136"/>
      </rPr>
      <t>豪雨期間，邊坡崩塌，土石沖入民宅後院</t>
    </r>
    <phoneticPr fontId="5" type="noConversion"/>
  </si>
  <si>
    <t>C0l420</t>
  </si>
  <si>
    <r>
      <rPr>
        <sz val="12"/>
        <rFont val="標楷體"/>
        <family val="4"/>
        <charset val="136"/>
      </rPr>
      <t>國姓</t>
    </r>
    <phoneticPr fontId="5" type="noConversion"/>
  </si>
  <si>
    <r>
      <rPr>
        <sz val="12"/>
        <rFont val="標楷體"/>
        <family val="4"/>
        <charset val="136"/>
      </rPr>
      <t>水流東溪</t>
    </r>
    <phoneticPr fontId="5" type="noConversion"/>
  </si>
  <si>
    <r>
      <rPr>
        <sz val="12"/>
        <rFont val="標楷體"/>
        <family val="4"/>
        <charset val="136"/>
      </rPr>
      <t>長豐村</t>
    </r>
    <phoneticPr fontId="5" type="noConversion"/>
  </si>
  <si>
    <r>
      <t>0611</t>
    </r>
    <r>
      <rPr>
        <sz val="12"/>
        <rFont val="標楷體"/>
        <family val="4"/>
        <charset val="136"/>
      </rPr>
      <t>豪雨雨期間，既有道路下方邊坡坡腳掏刷，導致邊坡崩塌，聯絡道路下方已局部崩塌。</t>
    </r>
    <phoneticPr fontId="5" type="noConversion"/>
  </si>
  <si>
    <t>C1H920</t>
  </si>
  <si>
    <r>
      <rPr>
        <sz val="12"/>
        <rFont val="標楷體"/>
        <family val="4"/>
        <charset val="136"/>
      </rPr>
      <t>地滑、山崩</t>
    </r>
    <phoneticPr fontId="5" type="noConversion"/>
  </si>
  <si>
    <r>
      <rPr>
        <sz val="12"/>
        <rFont val="標楷體"/>
        <family val="4"/>
        <charset val="136"/>
      </rPr>
      <t>中</t>
    </r>
    <r>
      <rPr>
        <sz val="12"/>
        <rFont val="Times New Roman"/>
        <family val="1"/>
      </rPr>
      <t>88</t>
    </r>
    <r>
      <rPr>
        <sz val="12"/>
        <rFont val="標楷體"/>
        <family val="4"/>
        <charset val="136"/>
      </rPr>
      <t>縣</t>
    </r>
    <r>
      <rPr>
        <sz val="12"/>
        <rFont val="Times New Roman"/>
        <family val="1"/>
      </rPr>
      <t>(</t>
    </r>
    <r>
      <rPr>
        <sz val="12"/>
        <rFont val="標楷體"/>
        <family val="4"/>
        <charset val="136"/>
      </rPr>
      <t>東陽路</t>
    </r>
    <r>
      <rPr>
        <sz val="12"/>
        <rFont val="Times New Roman"/>
        <family val="1"/>
      </rPr>
      <t>)</t>
    </r>
    <phoneticPr fontId="5" type="noConversion"/>
  </si>
  <si>
    <r>
      <rPr>
        <sz val="12"/>
        <rFont val="標楷體"/>
        <family val="4"/>
        <charset val="136"/>
      </rPr>
      <t>豐原區</t>
    </r>
    <phoneticPr fontId="5" type="noConversion"/>
  </si>
  <si>
    <r>
      <rPr>
        <sz val="12"/>
        <rFont val="標楷體"/>
        <family val="4"/>
        <charset val="136"/>
      </rPr>
      <t>東陽里</t>
    </r>
    <phoneticPr fontId="5" type="noConversion"/>
  </si>
  <si>
    <r>
      <rPr>
        <sz val="12"/>
        <rFont val="標楷體"/>
        <family val="4"/>
        <charset val="136"/>
      </rPr>
      <t>因連日豪雨，造成中</t>
    </r>
    <r>
      <rPr>
        <sz val="12"/>
        <rFont val="Times New Roman"/>
        <family val="1"/>
      </rPr>
      <t>88</t>
    </r>
    <r>
      <rPr>
        <sz val="12"/>
        <rFont val="標楷體"/>
        <family val="4"/>
        <charset val="136"/>
      </rPr>
      <t>縣上下邊坡崩塌，阻斷豐原往新社水井街交通。</t>
    </r>
    <phoneticPr fontId="5" type="noConversion"/>
  </si>
  <si>
    <t>C0F9M0</t>
    <phoneticPr fontId="5" type="noConversion"/>
  </si>
  <si>
    <r>
      <rPr>
        <sz val="12"/>
        <rFont val="標楷體"/>
        <family val="4"/>
        <charset val="136"/>
      </rPr>
      <t>豐原</t>
    </r>
    <phoneticPr fontId="5" type="noConversion"/>
  </si>
  <si>
    <r>
      <rPr>
        <sz val="12"/>
        <rFont val="標楷體"/>
        <family val="4"/>
        <charset val="136"/>
      </rPr>
      <t>中象道路</t>
    </r>
    <r>
      <rPr>
        <sz val="12"/>
        <rFont val="Times New Roman"/>
        <family val="1"/>
      </rPr>
      <t>10K</t>
    </r>
    <r>
      <rPr>
        <sz val="12"/>
        <rFont val="標楷體"/>
        <family val="4"/>
        <charset val="136"/>
      </rPr>
      <t>處</t>
    </r>
    <phoneticPr fontId="5" type="noConversion"/>
  </si>
  <si>
    <r>
      <rPr>
        <sz val="12"/>
        <rFont val="標楷體"/>
        <family val="4"/>
        <charset val="136"/>
      </rPr>
      <t>象鼻村</t>
    </r>
  </si>
  <si>
    <r>
      <rPr>
        <sz val="12"/>
        <rFont val="標楷體"/>
        <family val="4"/>
        <charset val="136"/>
      </rPr>
      <t>因連日豪雨，造成中象道路</t>
    </r>
    <r>
      <rPr>
        <sz val="12"/>
        <rFont val="Times New Roman"/>
        <family val="1"/>
      </rPr>
      <t>10K</t>
    </r>
    <r>
      <rPr>
        <sz val="12"/>
        <rFont val="標楷體"/>
        <family val="4"/>
        <charset val="136"/>
      </rPr>
      <t>上邊坡坑溝上游兩側崩塌，土石由坑溝沖刷而下流至路面</t>
    </r>
    <phoneticPr fontId="5" type="noConversion"/>
  </si>
  <si>
    <t>C1E451</t>
    <phoneticPr fontId="5" type="noConversion"/>
  </si>
  <si>
    <r>
      <rPr>
        <sz val="12"/>
        <rFont val="標楷體"/>
        <family val="4"/>
        <charset val="136"/>
      </rPr>
      <t>高義里</t>
    </r>
    <phoneticPr fontId="5" type="noConversion"/>
  </si>
  <si>
    <r>
      <rPr>
        <sz val="12"/>
        <rFont val="標楷體"/>
        <family val="4"/>
        <charset val="136"/>
      </rPr>
      <t>因連日山區午後大雨影響，造成土壤水分含量升高，導致邊坡崩塌</t>
    </r>
    <phoneticPr fontId="5" type="noConversion"/>
  </si>
  <si>
    <t>C1D400</t>
    <phoneticPr fontId="5" type="noConversion"/>
  </si>
  <si>
    <r>
      <rPr>
        <sz val="12"/>
        <rFont val="標楷體"/>
        <family val="4"/>
        <charset val="136"/>
      </rPr>
      <t>鳥嘴山</t>
    </r>
    <phoneticPr fontId="5" type="noConversion"/>
  </si>
  <si>
    <r>
      <rPr>
        <sz val="12"/>
        <rFont val="標楷體"/>
        <family val="4"/>
        <charset val="136"/>
      </rPr>
      <t>茂林情人谷霧瓦納溪</t>
    </r>
    <phoneticPr fontId="5" type="noConversion"/>
  </si>
  <si>
    <r>
      <rPr>
        <sz val="12"/>
        <rFont val="標楷體"/>
        <family val="4"/>
        <charset val="136"/>
      </rPr>
      <t>茂林區</t>
    </r>
    <phoneticPr fontId="5" type="noConversion"/>
  </si>
  <si>
    <r>
      <rPr>
        <sz val="12"/>
        <rFont val="標楷體"/>
        <family val="4"/>
        <charset val="136"/>
      </rPr>
      <t>茂林里</t>
    </r>
    <phoneticPr fontId="5" type="noConversion"/>
  </si>
  <si>
    <r>
      <rPr>
        <sz val="12"/>
        <rFont val="標楷體"/>
        <family val="4"/>
        <charset val="136"/>
      </rPr>
      <t>降雨影響，茂林情人谷霧瓦納溪上游邊坡崩塌，造成邊坡有大量土砂堆積，雖有部分土石下移至霧瓦納溪，但無明顯堵塞情形</t>
    </r>
    <phoneticPr fontId="5" type="noConversion"/>
  </si>
  <si>
    <t>C0R100</t>
    <phoneticPr fontId="5" type="noConversion"/>
  </si>
  <si>
    <r>
      <rPr>
        <sz val="12"/>
        <rFont val="標楷體"/>
        <family val="4"/>
        <charset val="136"/>
      </rPr>
      <t>大安部落</t>
    </r>
    <phoneticPr fontId="5" type="noConversion"/>
  </si>
  <si>
    <r>
      <rPr>
        <sz val="12"/>
        <rFont val="標楷體"/>
        <family val="4"/>
        <charset val="136"/>
      </rPr>
      <t>苗縣</t>
    </r>
    <r>
      <rPr>
        <sz val="12"/>
        <rFont val="Times New Roman"/>
        <family val="1"/>
      </rPr>
      <t>DF075</t>
    </r>
    <phoneticPr fontId="5" type="noConversion"/>
  </si>
  <si>
    <r>
      <rPr>
        <sz val="12"/>
        <rFont val="標楷體"/>
        <family val="4"/>
        <charset val="136"/>
      </rPr>
      <t>受</t>
    </r>
    <r>
      <rPr>
        <sz val="12"/>
        <rFont val="Times New Roman"/>
        <family val="1"/>
      </rPr>
      <t>0625</t>
    </r>
    <r>
      <rPr>
        <sz val="12"/>
        <rFont val="標楷體"/>
        <family val="4"/>
        <charset val="136"/>
      </rPr>
      <t>鋒面大雨影響致舊有裸露面崩塌，土石下移至下方苗縣</t>
    </r>
    <r>
      <rPr>
        <sz val="12"/>
        <rFont val="Times New Roman"/>
        <family val="1"/>
      </rPr>
      <t>DF075</t>
    </r>
    <r>
      <rPr>
        <sz val="12"/>
        <rFont val="標楷體"/>
        <family val="4"/>
        <charset val="136"/>
      </rPr>
      <t>上</t>
    </r>
    <phoneticPr fontId="5" type="noConversion"/>
  </si>
  <si>
    <r>
      <rPr>
        <sz val="12"/>
        <rFont val="標楷體"/>
        <family val="4"/>
        <charset val="136"/>
      </rPr>
      <t>中崙四號橋</t>
    </r>
    <phoneticPr fontId="5" type="noConversion"/>
  </si>
  <si>
    <r>
      <rPr>
        <sz val="12"/>
        <rFont val="標楷體"/>
        <family val="4"/>
        <charset val="136"/>
      </rPr>
      <t>利奇馬颱風</t>
    </r>
    <phoneticPr fontId="5" type="noConversion"/>
  </si>
  <si>
    <r>
      <rPr>
        <sz val="12"/>
        <rFont val="標楷體"/>
        <family val="4"/>
        <charset val="136"/>
      </rPr>
      <t>利奇馬颱風期間，因嘉縣</t>
    </r>
    <r>
      <rPr>
        <sz val="12"/>
        <rFont val="Times New Roman"/>
        <family val="1"/>
      </rPr>
      <t>DF051</t>
    </r>
    <r>
      <rPr>
        <sz val="12"/>
        <rFont val="標楷體"/>
        <family val="4"/>
        <charset val="136"/>
      </rPr>
      <t>支流上游邊坡發生崩塌，造成土石堆積於溪床，部分土石沿河道流至下游，造成支流與嘉</t>
    </r>
    <r>
      <rPr>
        <sz val="12"/>
        <rFont val="Times New Roman"/>
        <family val="1"/>
      </rPr>
      <t>141</t>
    </r>
    <r>
      <rPr>
        <sz val="12"/>
        <rFont val="標楷體"/>
        <family val="4"/>
        <charset val="136"/>
      </rPr>
      <t>縣道交會處之箱涵堵塞，導致土石溢流至嘉</t>
    </r>
    <r>
      <rPr>
        <sz val="12"/>
        <rFont val="Times New Roman"/>
        <family val="1"/>
      </rPr>
      <t>141</t>
    </r>
    <r>
      <rPr>
        <sz val="12"/>
        <rFont val="標楷體"/>
        <family val="4"/>
        <charset val="136"/>
      </rPr>
      <t>縣道及附近一戶民宅，道路因此中斷。</t>
    </r>
    <phoneticPr fontId="5" type="noConversion"/>
  </si>
  <si>
    <t>81M69</t>
    <phoneticPr fontId="5" type="noConversion"/>
  </si>
  <si>
    <r>
      <rPr>
        <sz val="12"/>
        <rFont val="標楷體"/>
        <family val="4"/>
        <charset val="136"/>
      </rPr>
      <t>台</t>
    </r>
    <r>
      <rPr>
        <sz val="12"/>
        <rFont val="Times New Roman"/>
        <family val="1"/>
      </rPr>
      <t>29</t>
    </r>
    <r>
      <rPr>
        <sz val="12"/>
        <rFont val="標楷體"/>
        <family val="4"/>
        <charset val="136"/>
      </rPr>
      <t>縣臨</t>
    </r>
    <r>
      <rPr>
        <sz val="12"/>
        <rFont val="Times New Roman"/>
        <family val="1"/>
      </rPr>
      <t>11</t>
    </r>
    <r>
      <rPr>
        <sz val="12"/>
        <rFont val="標楷體"/>
        <family val="4"/>
        <charset val="136"/>
      </rPr>
      <t>便道</t>
    </r>
    <r>
      <rPr>
        <sz val="12"/>
        <rFont val="Times New Roman"/>
        <family val="1"/>
      </rPr>
      <t>3.2K</t>
    </r>
    <phoneticPr fontId="5" type="noConversion"/>
  </si>
  <si>
    <r>
      <rPr>
        <sz val="12"/>
        <rFont val="標楷體"/>
        <family val="4"/>
        <charset val="136"/>
      </rPr>
      <t>那瑪夏區</t>
    </r>
    <phoneticPr fontId="5" type="noConversion"/>
  </si>
  <si>
    <r>
      <rPr>
        <sz val="12"/>
        <rFont val="標楷體"/>
        <family val="4"/>
        <charset val="136"/>
      </rPr>
      <t>南沙魯里</t>
    </r>
    <phoneticPr fontId="5" type="noConversion"/>
  </si>
  <si>
    <r>
      <rPr>
        <sz val="12"/>
        <rFont val="標楷體"/>
        <family val="4"/>
        <charset val="136"/>
      </rPr>
      <t>受利奇馬颱風降雨影響致舊有裸露面崩塌，土石下移至台</t>
    </r>
    <r>
      <rPr>
        <sz val="12"/>
        <rFont val="Times New Roman"/>
        <family val="1"/>
      </rPr>
      <t>29</t>
    </r>
    <r>
      <rPr>
        <sz val="12"/>
        <rFont val="標楷體"/>
        <family val="4"/>
        <charset val="136"/>
      </rPr>
      <t>線臨</t>
    </r>
    <r>
      <rPr>
        <sz val="12"/>
        <rFont val="Times New Roman"/>
        <family val="1"/>
      </rPr>
      <t>11</t>
    </r>
    <r>
      <rPr>
        <sz val="12"/>
        <rFont val="標楷體"/>
        <family val="4"/>
        <charset val="136"/>
      </rPr>
      <t>便道，造成道路封閉</t>
    </r>
    <phoneticPr fontId="5" type="noConversion"/>
  </si>
  <si>
    <r>
      <rPr>
        <sz val="12"/>
        <rFont val="標楷體"/>
        <family val="4"/>
        <charset val="136"/>
      </rPr>
      <t>達卡努瓦</t>
    </r>
    <phoneticPr fontId="5" type="noConversion"/>
  </si>
  <si>
    <r>
      <t>149</t>
    </r>
    <r>
      <rPr>
        <sz val="12"/>
        <rFont val="標楷體"/>
        <family val="4"/>
        <charset val="136"/>
      </rPr>
      <t>乙線</t>
    </r>
    <r>
      <rPr>
        <sz val="12"/>
        <rFont val="Times New Roman"/>
        <family val="1"/>
      </rPr>
      <t>6K</t>
    </r>
    <r>
      <rPr>
        <sz val="12"/>
        <rFont val="標楷體"/>
        <family val="4"/>
        <charset val="136"/>
      </rPr>
      <t>處</t>
    </r>
    <phoneticPr fontId="5" type="noConversion"/>
  </si>
  <si>
    <r>
      <rPr>
        <sz val="12"/>
        <rFont val="標楷體"/>
        <family val="4"/>
        <charset val="136"/>
      </rPr>
      <t>草嶺村</t>
    </r>
    <phoneticPr fontId="5" type="noConversion"/>
  </si>
  <si>
    <r>
      <rPr>
        <sz val="12"/>
        <rFont val="標楷體"/>
        <family val="4"/>
        <charset val="136"/>
      </rPr>
      <t>利奇馬颱風期間，連日豪雨造成邊坡土壤鬆動，大量土石滑落至</t>
    </r>
    <r>
      <rPr>
        <sz val="12"/>
        <rFont val="Times New Roman"/>
        <family val="1"/>
      </rPr>
      <t>149</t>
    </r>
    <r>
      <rPr>
        <sz val="12"/>
        <rFont val="標楷體"/>
        <family val="4"/>
        <charset val="136"/>
      </rPr>
      <t>乙線，一度造成交通中斷</t>
    </r>
    <phoneticPr fontId="5" type="noConversion"/>
  </si>
  <si>
    <r>
      <rPr>
        <sz val="12"/>
        <rFont val="標楷體"/>
        <family val="4"/>
        <charset val="136"/>
      </rPr>
      <t>小山嵙登山口步道</t>
    </r>
    <phoneticPr fontId="5" type="noConversion"/>
  </si>
  <si>
    <r>
      <rPr>
        <sz val="12"/>
        <rFont val="標楷體"/>
        <family val="4"/>
        <charset val="136"/>
      </rPr>
      <t>中市</t>
    </r>
    <r>
      <rPr>
        <sz val="12"/>
        <rFont val="Times New Roman"/>
        <family val="1"/>
      </rPr>
      <t>DF043</t>
    </r>
    <phoneticPr fontId="5" type="noConversion"/>
  </si>
  <si>
    <r>
      <rPr>
        <sz val="12"/>
        <rFont val="標楷體"/>
        <family val="4"/>
        <charset val="136"/>
      </rPr>
      <t>泰昌里小中嵙段施作野溪整治工程，因受</t>
    </r>
    <r>
      <rPr>
        <sz val="12"/>
        <rFont val="Times New Roman"/>
        <family val="1"/>
      </rPr>
      <t>9</t>
    </r>
    <r>
      <rPr>
        <sz val="12"/>
        <rFont val="標楷體"/>
        <family val="4"/>
        <charset val="136"/>
      </rPr>
      <t>日上午大雨影響，造成土壤水分含量升高，導致野溪邊坡崩塌</t>
    </r>
    <phoneticPr fontId="5" type="noConversion"/>
  </si>
  <si>
    <t>C1F9F1</t>
    <phoneticPr fontId="5" type="noConversion"/>
  </si>
  <si>
    <r>
      <rPr>
        <sz val="12"/>
        <rFont val="標楷體"/>
        <family val="4"/>
        <charset val="136"/>
      </rPr>
      <t>伯公龍</t>
    </r>
    <phoneticPr fontId="5" type="noConversion"/>
  </si>
  <si>
    <r>
      <rPr>
        <sz val="12"/>
        <rFont val="標楷體"/>
        <family val="4"/>
        <charset val="136"/>
      </rPr>
      <t>投</t>
    </r>
    <r>
      <rPr>
        <sz val="12"/>
        <rFont val="Times New Roman"/>
        <family val="1"/>
      </rPr>
      <t>83</t>
    </r>
    <r>
      <rPr>
        <sz val="12"/>
        <rFont val="標楷體"/>
        <family val="4"/>
        <charset val="136"/>
      </rPr>
      <t>線</t>
    </r>
    <r>
      <rPr>
        <sz val="12"/>
        <rFont val="Times New Roman"/>
        <family val="1"/>
      </rPr>
      <t>20.2K</t>
    </r>
    <phoneticPr fontId="5" type="noConversion"/>
  </si>
  <si>
    <r>
      <t>0815</t>
    </r>
    <r>
      <rPr>
        <sz val="12"/>
        <rFont val="標楷體"/>
        <family val="4"/>
        <charset val="136"/>
      </rPr>
      <t>豪雨</t>
    </r>
    <phoneticPr fontId="5" type="noConversion"/>
  </si>
  <si>
    <r>
      <rPr>
        <sz val="12"/>
        <rFont val="標楷體"/>
        <family val="4"/>
        <charset val="136"/>
      </rPr>
      <t>受利奇馬颱風及</t>
    </r>
    <r>
      <rPr>
        <sz val="12"/>
        <rFont val="Times New Roman"/>
        <family val="1"/>
      </rPr>
      <t>0815</t>
    </r>
    <r>
      <rPr>
        <sz val="12"/>
        <rFont val="標楷體"/>
        <family val="4"/>
        <charset val="136"/>
      </rPr>
      <t>豪雨影響，造成土壤水分含量升高，導致邊坡崩塌</t>
    </r>
    <phoneticPr fontId="5" type="noConversion"/>
  </si>
  <si>
    <t>C1I030</t>
    <phoneticPr fontId="5" type="noConversion"/>
  </si>
  <si>
    <r>
      <rPr>
        <sz val="12"/>
        <rFont val="標楷體"/>
        <family val="4"/>
        <charset val="136"/>
      </rPr>
      <t>台</t>
    </r>
    <r>
      <rPr>
        <sz val="12"/>
        <rFont val="Times New Roman"/>
        <family val="1"/>
      </rPr>
      <t>24</t>
    </r>
    <r>
      <rPr>
        <sz val="12"/>
        <rFont val="標楷體"/>
        <family val="4"/>
        <charset val="136"/>
      </rPr>
      <t>線</t>
    </r>
    <r>
      <rPr>
        <sz val="12"/>
        <rFont val="Times New Roman"/>
        <family val="1"/>
      </rPr>
      <t>42.6K</t>
    </r>
    <phoneticPr fontId="5" type="noConversion"/>
  </si>
  <si>
    <r>
      <rPr>
        <sz val="12"/>
        <rFont val="標楷體"/>
        <family val="4"/>
        <charset val="136"/>
      </rPr>
      <t>霧臺鄉</t>
    </r>
    <phoneticPr fontId="5" type="noConversion"/>
  </si>
  <si>
    <r>
      <rPr>
        <sz val="12"/>
        <rFont val="標楷體"/>
        <family val="4"/>
        <charset val="136"/>
      </rPr>
      <t>霧臺村</t>
    </r>
    <phoneticPr fontId="5" type="noConversion"/>
  </si>
  <si>
    <r>
      <rPr>
        <sz val="12"/>
        <rFont val="標楷體"/>
        <family val="4"/>
        <charset val="136"/>
      </rPr>
      <t>屏縣</t>
    </r>
    <r>
      <rPr>
        <sz val="12"/>
        <rFont val="Times New Roman"/>
        <family val="1"/>
      </rPr>
      <t>DF001</t>
    </r>
    <phoneticPr fontId="5" type="noConversion"/>
  </si>
  <si>
    <r>
      <rPr>
        <sz val="12"/>
        <rFont val="標楷體"/>
        <family val="4"/>
        <charset val="136"/>
      </rPr>
      <t>受</t>
    </r>
    <r>
      <rPr>
        <sz val="12"/>
        <rFont val="Times New Roman"/>
        <family val="1"/>
      </rPr>
      <t>0815</t>
    </r>
    <r>
      <rPr>
        <sz val="12"/>
        <rFont val="標楷體"/>
        <family val="4"/>
        <charset val="136"/>
      </rPr>
      <t>鋒面影響致屏縣</t>
    </r>
    <r>
      <rPr>
        <sz val="12"/>
        <rFont val="Times New Roman"/>
        <family val="1"/>
      </rPr>
      <t>DF001</t>
    </r>
    <r>
      <rPr>
        <sz val="12"/>
        <rFont val="標楷體"/>
        <family val="4"/>
        <charset val="136"/>
      </rPr>
      <t>左側坑溝邊坡崩塌，土砂下移堵塞道路箱涵造成溢流，台</t>
    </r>
    <r>
      <rPr>
        <sz val="12"/>
        <rFont val="Times New Roman"/>
        <family val="1"/>
      </rPr>
      <t>24</t>
    </r>
    <r>
      <rPr>
        <sz val="12"/>
        <rFont val="標楷體"/>
        <family val="4"/>
        <charset val="136"/>
      </rPr>
      <t>線遭土石掩埋道路封閉</t>
    </r>
    <phoneticPr fontId="5" type="noConversion"/>
  </si>
  <si>
    <t>C0R130</t>
    <phoneticPr fontId="5" type="noConversion"/>
  </si>
  <si>
    <r>
      <rPr>
        <sz val="12"/>
        <rFont val="標楷體"/>
        <family val="4"/>
        <charset val="136"/>
      </rPr>
      <t>山崩、土石流</t>
    </r>
    <phoneticPr fontId="5" type="noConversion"/>
  </si>
  <si>
    <r>
      <rPr>
        <sz val="12"/>
        <rFont val="標楷體"/>
        <family val="4"/>
        <charset val="136"/>
      </rPr>
      <t>仁和村北玄宮</t>
    </r>
    <phoneticPr fontId="5" type="noConversion"/>
  </si>
  <si>
    <r>
      <rPr>
        <sz val="12"/>
        <rFont val="標楷體"/>
        <family val="4"/>
        <charset val="136"/>
      </rPr>
      <t>名間鄉</t>
    </r>
    <phoneticPr fontId="5" type="noConversion"/>
  </si>
  <si>
    <r>
      <rPr>
        <sz val="12"/>
        <rFont val="標楷體"/>
        <family val="4"/>
        <charset val="136"/>
      </rPr>
      <t>仁和村</t>
    </r>
    <phoneticPr fontId="5" type="noConversion"/>
  </si>
  <si>
    <r>
      <rPr>
        <sz val="12"/>
        <rFont val="標楷體"/>
        <family val="4"/>
        <charset val="136"/>
      </rPr>
      <t>投縣</t>
    </r>
    <r>
      <rPr>
        <sz val="12"/>
        <rFont val="Times New Roman"/>
        <family val="1"/>
      </rPr>
      <t>DF126</t>
    </r>
    <phoneticPr fontId="5" type="noConversion"/>
  </si>
  <si>
    <r>
      <rPr>
        <sz val="12"/>
        <rFont val="標楷體"/>
        <family val="4"/>
        <charset val="136"/>
      </rPr>
      <t>受</t>
    </r>
    <r>
      <rPr>
        <sz val="12"/>
        <rFont val="Times New Roman"/>
        <family val="1"/>
      </rPr>
      <t>0815</t>
    </r>
    <r>
      <rPr>
        <sz val="12"/>
        <rFont val="標楷體"/>
        <family val="4"/>
        <charset val="136"/>
      </rPr>
      <t>豪雨及地震影響，造成邊坡崩塌，導致土石流發生</t>
    </r>
    <phoneticPr fontId="5" type="noConversion"/>
  </si>
  <si>
    <t>C0H950</t>
    <phoneticPr fontId="5" type="noConversion"/>
  </si>
  <si>
    <r>
      <rPr>
        <sz val="12"/>
        <rFont val="標楷體"/>
        <family val="4"/>
        <charset val="136"/>
      </rPr>
      <t>中寮</t>
    </r>
    <phoneticPr fontId="5" type="noConversion"/>
  </si>
  <si>
    <r>
      <rPr>
        <sz val="12"/>
        <rFont val="標楷體"/>
        <family val="4"/>
        <charset val="136"/>
      </rPr>
      <t>三隻寮產業道路</t>
    </r>
    <phoneticPr fontId="5" type="noConversion"/>
  </si>
  <si>
    <r>
      <rPr>
        <sz val="12"/>
        <rFont val="標楷體"/>
        <family val="4"/>
        <charset val="136"/>
      </rPr>
      <t>因連日豪雨，發生投</t>
    </r>
    <r>
      <rPr>
        <sz val="12"/>
        <rFont val="Times New Roman"/>
        <family val="1"/>
      </rPr>
      <t>81</t>
    </r>
    <r>
      <rPr>
        <sz val="12"/>
        <rFont val="標楷體"/>
        <family val="4"/>
        <charset val="136"/>
      </rPr>
      <t>線路基掏空，道路邊坡嚴重塌陷</t>
    </r>
    <phoneticPr fontId="5" type="noConversion"/>
  </si>
  <si>
    <r>
      <t>0815</t>
    </r>
    <r>
      <rPr>
        <sz val="12"/>
        <rFont val="標楷體"/>
        <family val="4"/>
        <charset val="136"/>
      </rPr>
      <t>豪雨期間，嘉線</t>
    </r>
    <r>
      <rPr>
        <sz val="12"/>
        <rFont val="Times New Roman"/>
        <family val="1"/>
      </rPr>
      <t>DF051</t>
    </r>
    <r>
      <rPr>
        <sz val="12"/>
        <rFont val="標楷體"/>
        <family val="4"/>
        <charset val="136"/>
      </rPr>
      <t>支線上游崩塌地再度發生崩塌，並再度形成土石流溢流道路及民宅</t>
    </r>
    <phoneticPr fontId="5" type="noConversion"/>
  </si>
  <si>
    <r>
      <rPr>
        <sz val="12"/>
        <rFont val="標楷體"/>
        <family val="4"/>
        <charset val="136"/>
      </rPr>
      <t>竹林農路</t>
    </r>
    <phoneticPr fontId="5" type="noConversion"/>
  </si>
  <si>
    <r>
      <rPr>
        <sz val="12"/>
        <rFont val="標楷體"/>
        <family val="4"/>
        <charset val="136"/>
      </rPr>
      <t>寶來里</t>
    </r>
    <phoneticPr fontId="5" type="noConversion"/>
  </si>
  <si>
    <r>
      <rPr>
        <sz val="12"/>
        <rFont val="標楷體"/>
        <family val="4"/>
        <charset val="136"/>
      </rPr>
      <t>受</t>
    </r>
    <r>
      <rPr>
        <sz val="12"/>
        <rFont val="Times New Roman"/>
        <family val="1"/>
      </rPr>
      <t>0815</t>
    </r>
    <r>
      <rPr>
        <sz val="12"/>
        <rFont val="標楷體"/>
        <family val="4"/>
        <charset val="136"/>
      </rPr>
      <t>大雨影響致寶來里竹林農路邊坡崩塌，農路路基流失</t>
    </r>
    <phoneticPr fontId="5" type="noConversion"/>
  </si>
  <si>
    <t>C1V231</t>
    <phoneticPr fontId="5" type="noConversion"/>
  </si>
  <si>
    <r>
      <rPr>
        <sz val="12"/>
        <rFont val="標楷體"/>
        <family val="4"/>
        <charset val="136"/>
      </rPr>
      <t>高中</t>
    </r>
    <phoneticPr fontId="5" type="noConversion"/>
  </si>
  <si>
    <r>
      <t>174</t>
    </r>
    <r>
      <rPr>
        <sz val="12"/>
        <rFont val="標楷體"/>
        <family val="4"/>
        <charset val="136"/>
      </rPr>
      <t>線</t>
    </r>
    <r>
      <rPr>
        <sz val="12"/>
        <rFont val="Times New Roman"/>
        <family val="1"/>
      </rPr>
      <t>48.5K</t>
    </r>
    <phoneticPr fontId="5" type="noConversion"/>
  </si>
  <si>
    <r>
      <rPr>
        <sz val="12"/>
        <rFont val="標楷體"/>
        <family val="4"/>
        <charset val="136"/>
      </rPr>
      <t>臺南市</t>
    </r>
    <phoneticPr fontId="5" type="noConversion"/>
  </si>
  <si>
    <r>
      <rPr>
        <sz val="12"/>
        <rFont val="標楷體"/>
        <family val="4"/>
        <charset val="136"/>
      </rPr>
      <t>六甲區</t>
    </r>
    <phoneticPr fontId="5" type="noConversion"/>
  </si>
  <si>
    <r>
      <rPr>
        <sz val="12"/>
        <rFont val="標楷體"/>
        <family val="4"/>
        <charset val="136"/>
      </rPr>
      <t>大丘里</t>
    </r>
    <phoneticPr fontId="5" type="noConversion"/>
  </si>
  <si>
    <r>
      <rPr>
        <sz val="12"/>
        <rFont val="標楷體"/>
        <family val="4"/>
        <charset val="136"/>
      </rPr>
      <t>南市</t>
    </r>
    <r>
      <rPr>
        <sz val="12"/>
        <rFont val="Times New Roman"/>
        <family val="1"/>
      </rPr>
      <t>DF028</t>
    </r>
    <phoneticPr fontId="5" type="noConversion"/>
  </si>
  <si>
    <r>
      <rPr>
        <sz val="12"/>
        <rFont val="標楷體"/>
        <family val="4"/>
        <charset val="136"/>
      </rPr>
      <t>受</t>
    </r>
    <r>
      <rPr>
        <sz val="12"/>
        <rFont val="Times New Roman"/>
        <family val="1"/>
      </rPr>
      <t>0815</t>
    </r>
    <r>
      <rPr>
        <sz val="12"/>
        <rFont val="標楷體"/>
        <family val="4"/>
        <charset val="136"/>
      </rPr>
      <t>豪雨影響，造成產業道路上邊坡崩塌，土石滑落至</t>
    </r>
    <r>
      <rPr>
        <sz val="12"/>
        <rFont val="Times New Roman"/>
        <family val="1"/>
      </rPr>
      <t>174</t>
    </r>
    <r>
      <rPr>
        <sz val="12"/>
        <rFont val="標楷體"/>
        <family val="4"/>
        <charset val="136"/>
      </rPr>
      <t>線</t>
    </r>
    <phoneticPr fontId="5" type="noConversion"/>
  </si>
  <si>
    <t>C0O840</t>
    <phoneticPr fontId="5" type="noConversion"/>
  </si>
  <si>
    <r>
      <rPr>
        <sz val="12"/>
        <rFont val="標楷體"/>
        <family val="4"/>
        <charset val="136"/>
      </rPr>
      <t>王爺宮</t>
    </r>
    <phoneticPr fontId="5" type="noConversion"/>
  </si>
  <si>
    <r>
      <rPr>
        <sz val="12"/>
        <rFont val="標楷體"/>
        <family val="4"/>
        <charset val="136"/>
      </rPr>
      <t>投</t>
    </r>
    <r>
      <rPr>
        <sz val="12"/>
        <rFont val="Times New Roman"/>
        <family val="1"/>
      </rPr>
      <t>89</t>
    </r>
    <r>
      <rPr>
        <sz val="12"/>
        <rFont val="標楷體"/>
        <family val="4"/>
        <charset val="136"/>
      </rPr>
      <t>線</t>
    </r>
    <r>
      <rPr>
        <sz val="12"/>
        <rFont val="Times New Roman"/>
        <family val="1"/>
      </rPr>
      <t>31K</t>
    </r>
    <r>
      <rPr>
        <sz val="12"/>
        <rFont val="標楷體"/>
        <family val="4"/>
        <charset val="136"/>
      </rPr>
      <t>附近</t>
    </r>
    <phoneticPr fontId="5" type="noConversion"/>
  </si>
  <si>
    <r>
      <rPr>
        <sz val="12"/>
        <rFont val="標楷體"/>
        <family val="4"/>
        <charset val="136"/>
      </rPr>
      <t>發祥村</t>
    </r>
    <phoneticPr fontId="5" type="noConversion"/>
  </si>
  <si>
    <r>
      <t>0522</t>
    </r>
    <r>
      <rPr>
        <sz val="12"/>
        <rFont val="標楷體"/>
        <family val="4"/>
        <charset val="136"/>
      </rPr>
      <t>豪雨</t>
    </r>
    <phoneticPr fontId="5" type="noConversion"/>
  </si>
  <si>
    <r>
      <rPr>
        <sz val="12"/>
        <rFont val="標楷體"/>
        <family val="4"/>
        <charset val="136"/>
      </rPr>
      <t>因連日豪雨，造成投</t>
    </r>
    <r>
      <rPr>
        <sz val="12"/>
        <rFont val="Times New Roman"/>
        <family val="1"/>
      </rPr>
      <t>89</t>
    </r>
    <r>
      <rPr>
        <sz val="12"/>
        <rFont val="標楷體"/>
        <family val="4"/>
        <charset val="136"/>
      </rPr>
      <t>線</t>
    </r>
    <r>
      <rPr>
        <sz val="12"/>
        <rFont val="Times New Roman"/>
        <family val="1"/>
      </rPr>
      <t>31</t>
    </r>
    <r>
      <rPr>
        <sz val="12"/>
        <rFont val="標楷體"/>
        <family val="4"/>
        <charset val="136"/>
      </rPr>
      <t>處附近上邊坡崩塌，堆積土石阻礙道路通行</t>
    </r>
    <phoneticPr fontId="5" type="noConversion"/>
  </si>
  <si>
    <t>C1H860</t>
    <phoneticPr fontId="5" type="noConversion"/>
  </si>
  <si>
    <r>
      <rPr>
        <sz val="12"/>
        <rFont val="標楷體"/>
        <family val="4"/>
        <charset val="136"/>
      </rPr>
      <t>瑞岩</t>
    </r>
    <phoneticPr fontId="5" type="noConversion"/>
  </si>
  <si>
    <r>
      <rPr>
        <sz val="12"/>
        <rFont val="標楷體"/>
        <family val="4"/>
        <charset val="136"/>
      </rPr>
      <t>崩塌</t>
    </r>
    <r>
      <rPr>
        <sz val="12"/>
        <rFont val="Times New Roman"/>
        <family val="1"/>
      </rPr>
      <t>(</t>
    </r>
    <r>
      <rPr>
        <sz val="12"/>
        <rFont val="標楷體"/>
        <family val="4"/>
        <charset val="136"/>
      </rPr>
      <t>山崩</t>
    </r>
    <r>
      <rPr>
        <sz val="12"/>
        <rFont val="Times New Roman"/>
        <family val="1"/>
      </rPr>
      <t>)</t>
    </r>
    <phoneticPr fontId="5" type="noConversion"/>
  </si>
  <si>
    <r>
      <rPr>
        <sz val="12"/>
        <rFont val="標楷體"/>
        <family val="4"/>
        <charset val="136"/>
      </rPr>
      <t>臺鐵瑞芳</t>
    </r>
    <r>
      <rPr>
        <sz val="12"/>
        <rFont val="Times New Roman"/>
        <family val="1"/>
      </rPr>
      <t>-</t>
    </r>
    <r>
      <rPr>
        <sz val="12"/>
        <rFont val="標楷體"/>
        <family val="4"/>
        <charset val="136"/>
      </rPr>
      <t>猴硐</t>
    </r>
    <r>
      <rPr>
        <sz val="12"/>
        <rFont val="Times New Roman"/>
        <family val="1"/>
      </rPr>
      <t xml:space="preserve"> 12K+233 </t>
    </r>
    <r>
      <rPr>
        <sz val="12"/>
        <rFont val="標楷體"/>
        <family val="4"/>
        <charset val="136"/>
      </rPr>
      <t>處</t>
    </r>
    <phoneticPr fontId="5" type="noConversion"/>
  </si>
  <si>
    <r>
      <rPr>
        <sz val="12"/>
        <rFont val="標楷體"/>
        <family val="4"/>
        <charset val="136"/>
      </rPr>
      <t>瑞芳區</t>
    </r>
    <phoneticPr fontId="5" type="noConversion"/>
  </si>
  <si>
    <r>
      <rPr>
        <sz val="12"/>
        <rFont val="標楷體"/>
        <family val="4"/>
        <charset val="136"/>
      </rPr>
      <t>光復里</t>
    </r>
    <phoneticPr fontId="5" type="noConversion"/>
  </si>
  <si>
    <r>
      <rPr>
        <sz val="12"/>
        <rFont val="標楷體"/>
        <family val="4"/>
        <charset val="136"/>
      </rPr>
      <t>其它</t>
    </r>
    <phoneticPr fontId="5" type="noConversion"/>
  </si>
  <si>
    <r>
      <rPr>
        <sz val="12"/>
        <rFont val="標楷體"/>
        <family val="4"/>
        <charset val="136"/>
      </rPr>
      <t>瑞芳</t>
    </r>
    <r>
      <rPr>
        <sz val="12"/>
        <rFont val="Times New Roman"/>
        <family val="1"/>
      </rPr>
      <t>-</t>
    </r>
    <r>
      <rPr>
        <sz val="12"/>
        <rFont val="標楷體"/>
        <family val="4"/>
        <charset val="136"/>
      </rPr>
      <t>猴硐</t>
    </r>
    <r>
      <rPr>
        <sz val="12"/>
        <rFont val="Times New Roman"/>
        <family val="1"/>
      </rPr>
      <t xml:space="preserve"> 12+233k </t>
    </r>
    <r>
      <rPr>
        <sz val="12"/>
        <rFont val="標楷體"/>
        <family val="4"/>
        <charset val="136"/>
      </rPr>
      <t>連日降雨造成崩塌，鐵路遭土石掩埋約</t>
    </r>
    <r>
      <rPr>
        <sz val="12"/>
        <rFont val="Times New Roman"/>
        <family val="1"/>
      </rPr>
      <t xml:space="preserve"> 60 </t>
    </r>
    <r>
      <rPr>
        <sz val="12"/>
        <rFont val="標楷體"/>
        <family val="4"/>
        <charset val="136"/>
      </rPr>
      <t>公尺</t>
    </r>
    <phoneticPr fontId="5" type="noConversion"/>
  </si>
  <si>
    <t>COA660</t>
    <phoneticPr fontId="5" type="noConversion"/>
  </si>
  <si>
    <r>
      <rPr>
        <sz val="12"/>
        <rFont val="標楷體"/>
        <family val="4"/>
        <charset val="136"/>
      </rPr>
      <t>瑞芳</t>
    </r>
    <phoneticPr fontId="5" type="noConversion"/>
  </si>
  <si>
    <r>
      <rPr>
        <sz val="12"/>
        <rFont val="標楷體"/>
        <family val="4"/>
        <charset val="136"/>
      </rPr>
      <t>台八線臨</t>
    </r>
    <r>
      <rPr>
        <sz val="12"/>
        <rFont val="Times New Roman"/>
        <family val="1"/>
      </rPr>
      <t xml:space="preserve"> 37 </t>
    </r>
    <r>
      <rPr>
        <sz val="12"/>
        <rFont val="標楷體"/>
        <family val="4"/>
        <charset val="136"/>
      </rPr>
      <t>便道</t>
    </r>
    <r>
      <rPr>
        <sz val="12"/>
        <rFont val="Times New Roman"/>
        <family val="1"/>
      </rPr>
      <t xml:space="preserve"> 22.5k</t>
    </r>
    <phoneticPr fontId="5" type="noConversion"/>
  </si>
  <si>
    <r>
      <rPr>
        <sz val="12"/>
        <rFont val="標楷體"/>
        <family val="4"/>
        <charset val="136"/>
      </rPr>
      <t>臺中市</t>
    </r>
    <phoneticPr fontId="5" type="noConversion"/>
  </si>
  <si>
    <r>
      <rPr>
        <sz val="12"/>
        <rFont val="標楷體"/>
        <family val="4"/>
        <charset val="136"/>
      </rPr>
      <t>台八線臨</t>
    </r>
    <r>
      <rPr>
        <sz val="12"/>
        <rFont val="Times New Roman"/>
        <family val="1"/>
      </rPr>
      <t xml:space="preserve"> 37 </t>
    </r>
    <r>
      <rPr>
        <sz val="12"/>
        <rFont val="標楷體"/>
        <family val="4"/>
        <charset val="136"/>
      </rPr>
      <t>便道道路上邊坡發生崩塌，土石掩埋道路</t>
    </r>
    <phoneticPr fontId="5" type="noConversion"/>
  </si>
  <si>
    <t>C1F9W0</t>
  </si>
  <si>
    <r>
      <rPr>
        <sz val="12"/>
        <rFont val="標楷體"/>
        <family val="4"/>
        <charset val="136"/>
      </rPr>
      <t>德基</t>
    </r>
    <phoneticPr fontId="5" type="noConversion"/>
  </si>
  <si>
    <t>110 年彩雲颱風暨 0605 豪雨-南投仁愛-001</t>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</si>
  <si>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 xml:space="preserve"> 15K </t>
    </r>
    <r>
      <rPr>
        <sz val="12"/>
        <rFont val="標楷體"/>
        <family val="4"/>
        <charset val="136"/>
      </rPr>
      <t>之</t>
    </r>
    <r>
      <rPr>
        <sz val="12"/>
        <rFont val="Times New Roman"/>
        <family val="1"/>
      </rPr>
      <t xml:space="preserve"> 3 </t>
    </r>
    <r>
      <rPr>
        <sz val="12"/>
        <rFont val="標楷體"/>
        <family val="4"/>
        <charset val="136"/>
      </rPr>
      <t>處舊崩塌地</t>
    </r>
    <r>
      <rPr>
        <sz val="12"/>
        <rFont val="Times New Roman"/>
        <family val="1"/>
      </rPr>
      <t>(1</t>
    </r>
    <r>
      <rPr>
        <sz val="12"/>
        <rFont val="標楷體"/>
        <family val="4"/>
        <charset val="136"/>
      </rPr>
      <t>號崩塌地</t>
    </r>
    <r>
      <rPr>
        <sz val="12"/>
        <rFont val="Times New Roman"/>
        <family val="1"/>
      </rPr>
      <t>)</t>
    </r>
    <phoneticPr fontId="5" type="noConversion"/>
  </si>
  <si>
    <r>
      <rPr>
        <sz val="12"/>
        <rFont val="標楷體"/>
        <family val="4"/>
        <charset val="136"/>
      </rPr>
      <t>力行村</t>
    </r>
    <phoneticPr fontId="5" type="noConversion"/>
  </si>
  <si>
    <t>投縣 DF011</t>
  </si>
  <si>
    <r>
      <rPr>
        <sz val="12"/>
        <rFont val="標楷體"/>
        <family val="4"/>
        <charset val="136"/>
      </rPr>
      <t>彩雲颱風暨</t>
    </r>
    <r>
      <rPr>
        <sz val="12"/>
        <rFont val="Times New Roman"/>
        <family val="1"/>
      </rPr>
      <t xml:space="preserve"> 0605 </t>
    </r>
    <r>
      <rPr>
        <sz val="12"/>
        <rFont val="標楷體"/>
        <family val="4"/>
        <charset val="136"/>
      </rPr>
      <t>豪雨</t>
    </r>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</si>
  <si>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t>
    </r>
    <r>
      <rPr>
        <sz val="12"/>
        <rFont val="標楷體"/>
        <family val="4"/>
        <charset val="136"/>
      </rPr>
      <t>力行產業道路</t>
    </r>
    <r>
      <rPr>
        <sz val="12"/>
        <rFont val="Times New Roman"/>
        <family val="1"/>
      </rPr>
      <t xml:space="preserve">)15K </t>
    </r>
    <r>
      <rPr>
        <sz val="12"/>
        <rFont val="標楷體"/>
        <family val="4"/>
        <charset val="136"/>
      </rPr>
      <t>路段沿線共</t>
    </r>
    <r>
      <rPr>
        <sz val="12"/>
        <rFont val="Times New Roman"/>
        <family val="1"/>
      </rPr>
      <t xml:space="preserve"> 3 </t>
    </r>
    <r>
      <rPr>
        <sz val="12"/>
        <rFont val="標楷體"/>
        <family val="4"/>
        <charset val="136"/>
      </rPr>
      <t>處舊有崩塌地，本次崩塌原因推測乃連日豪雨，逕流夾帶道路上邊坡泥砂，滑落至投</t>
    </r>
    <r>
      <rPr>
        <sz val="12"/>
        <rFont val="Times New Roman"/>
        <family val="1"/>
      </rPr>
      <t xml:space="preserve"> 89 </t>
    </r>
    <r>
      <rPr>
        <sz val="12"/>
        <rFont val="標楷體"/>
        <family val="4"/>
        <charset val="136"/>
      </rPr>
      <t>線且阻礙通行。</t>
    </r>
    <phoneticPr fontId="5" type="noConversion"/>
  </si>
  <si>
    <t>C1I430</t>
  </si>
  <si>
    <r>
      <rPr>
        <sz val="12"/>
        <rFont val="標楷體"/>
        <family val="4"/>
        <charset val="136"/>
      </rPr>
      <t>翠華</t>
    </r>
  </si>
  <si>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 xml:space="preserve"> 15K </t>
    </r>
    <r>
      <rPr>
        <sz val="12"/>
        <rFont val="標楷體"/>
        <family val="4"/>
        <charset val="136"/>
      </rPr>
      <t>之</t>
    </r>
    <r>
      <rPr>
        <sz val="12"/>
        <rFont val="Times New Roman"/>
        <family val="1"/>
      </rPr>
      <t xml:space="preserve"> 3 </t>
    </r>
    <r>
      <rPr>
        <sz val="12"/>
        <rFont val="標楷體"/>
        <family val="4"/>
        <charset val="136"/>
      </rPr>
      <t>處舊崩塌地</t>
    </r>
    <r>
      <rPr>
        <sz val="12"/>
        <rFont val="Times New Roman"/>
        <family val="1"/>
      </rPr>
      <t>(2</t>
    </r>
    <r>
      <rPr>
        <sz val="12"/>
        <rFont val="標楷體"/>
        <family val="4"/>
        <charset val="136"/>
      </rPr>
      <t>、</t>
    </r>
    <r>
      <rPr>
        <sz val="12"/>
        <rFont val="Times New Roman"/>
        <family val="1"/>
      </rPr>
      <t>3</t>
    </r>
    <r>
      <rPr>
        <sz val="12"/>
        <rFont val="標楷體"/>
        <family val="4"/>
        <charset val="136"/>
      </rPr>
      <t>號崩塌地</t>
    </r>
    <r>
      <rPr>
        <sz val="12"/>
        <rFont val="Times New Roman"/>
        <family val="1"/>
      </rPr>
      <t>)</t>
    </r>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</si>
  <si>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t>
    </r>
    <r>
      <rPr>
        <sz val="12"/>
        <rFont val="標楷體"/>
        <family val="4"/>
        <charset val="136"/>
      </rPr>
      <t>力行產業道路</t>
    </r>
    <r>
      <rPr>
        <sz val="12"/>
        <rFont val="Times New Roman"/>
        <family val="1"/>
      </rPr>
      <t xml:space="preserve">)15K </t>
    </r>
    <r>
      <rPr>
        <sz val="12"/>
        <rFont val="標楷體"/>
        <family val="4"/>
        <charset val="136"/>
      </rPr>
      <t>路段沿線共</t>
    </r>
    <r>
      <rPr>
        <sz val="12"/>
        <rFont val="Times New Roman"/>
        <family val="1"/>
      </rPr>
      <t xml:space="preserve"> 3 </t>
    </r>
    <r>
      <rPr>
        <sz val="12"/>
        <rFont val="標楷體"/>
        <family val="4"/>
        <charset val="136"/>
      </rPr>
      <t>處舊有崩塌地，本次崩塌原因推測乃連日豪雨，逕流夾帶道路上邊坡泥砂，滑落至投</t>
    </r>
    <r>
      <rPr>
        <sz val="12"/>
        <rFont val="Times New Roman"/>
        <family val="1"/>
      </rPr>
      <t xml:space="preserve"> 89 </t>
    </r>
    <r>
      <rPr>
        <sz val="12"/>
        <rFont val="標楷體"/>
        <family val="4"/>
        <charset val="136"/>
      </rPr>
      <t>線且阻礙通行。</t>
    </r>
  </si>
  <si>
    <t>110 年彩雲颱風暨 0605 豪雨-南投仁愛-002</t>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</si>
  <si>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 xml:space="preserve"> 46.3K </t>
    </r>
    <r>
      <rPr>
        <sz val="12"/>
        <rFont val="標楷體"/>
        <family val="4"/>
        <charset val="136"/>
      </rPr>
      <t>之舊崩塌地</t>
    </r>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</si>
  <si>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t>
    </r>
    <r>
      <rPr>
        <sz val="12"/>
        <rFont val="標楷體"/>
        <family val="4"/>
        <charset val="136"/>
      </rPr>
      <t>力行產業道路</t>
    </r>
    <r>
      <rPr>
        <sz val="12"/>
        <rFont val="Times New Roman"/>
        <family val="1"/>
      </rPr>
      <t xml:space="preserve">)46.3K </t>
    </r>
    <r>
      <rPr>
        <sz val="12"/>
        <rFont val="標楷體"/>
        <family val="4"/>
        <charset val="136"/>
      </rPr>
      <t>處為舊有崩塌地，崩塌原因推測乃連日豪雨造成邊坡水分含量升高，導致道路上邊坡殘留土石崩塌，並堆積於道路阻礙通行。</t>
    </r>
    <phoneticPr fontId="5" type="noConversion"/>
  </si>
  <si>
    <t>C0I480</t>
  </si>
  <si>
    <r>
      <rPr>
        <sz val="12"/>
        <rFont val="標楷體"/>
        <family val="4"/>
        <charset val="136"/>
      </rPr>
      <t>梅峰</t>
    </r>
  </si>
  <si>
    <t>110 年其他-苗栗南庄-001</t>
    <phoneticPr fontId="5" type="noConversion"/>
  </si>
  <si>
    <r>
      <rPr>
        <sz val="12"/>
        <rFont val="標楷體"/>
        <family val="4"/>
        <charset val="136"/>
      </rPr>
      <t>苗</t>
    </r>
    <r>
      <rPr>
        <sz val="12"/>
        <rFont val="Times New Roman"/>
        <family val="1"/>
      </rPr>
      <t xml:space="preserve"> 21 </t>
    </r>
    <r>
      <rPr>
        <sz val="12"/>
        <rFont val="標楷體"/>
        <family val="4"/>
        <charset val="136"/>
      </rPr>
      <t>線</t>
    </r>
    <r>
      <rPr>
        <sz val="12"/>
        <rFont val="Times New Roman"/>
        <family val="1"/>
      </rPr>
      <t xml:space="preserve"> 6.5K</t>
    </r>
  </si>
  <si>
    <r>
      <rPr>
        <sz val="12"/>
        <rFont val="標楷體"/>
        <family val="4"/>
        <charset val="136"/>
      </rPr>
      <t>南庄鄉</t>
    </r>
    <phoneticPr fontId="5" type="noConversion"/>
  </si>
  <si>
    <r>
      <rPr>
        <sz val="12"/>
        <rFont val="標楷體"/>
        <family val="4"/>
        <charset val="136"/>
      </rPr>
      <t>東河村</t>
    </r>
  </si>
  <si>
    <r>
      <rPr>
        <sz val="12"/>
        <rFont val="標楷體"/>
        <family val="4"/>
        <charset val="136"/>
      </rPr>
      <t>苗</t>
    </r>
    <r>
      <rPr>
        <sz val="12"/>
        <rFont val="Times New Roman"/>
        <family val="1"/>
      </rPr>
      <t xml:space="preserve"> 21 </t>
    </r>
    <r>
      <rPr>
        <sz val="12"/>
        <rFont val="標楷體"/>
        <family val="4"/>
        <charset val="136"/>
      </rPr>
      <t>線為通往南庄鄉鹿場部落之主要道路，</t>
    </r>
    <r>
      <rPr>
        <sz val="12"/>
        <rFont val="Times New Roman"/>
        <family val="1"/>
      </rPr>
      <t xml:space="preserve">6.5K </t>
    </r>
    <r>
      <rPr>
        <sz val="12"/>
        <rFont val="標楷體"/>
        <family val="4"/>
        <charset val="136"/>
      </rPr>
      <t>處陡峭邊坡節理明顯，推測</t>
    </r>
    <r>
      <rPr>
        <sz val="12"/>
        <rFont val="Times New Roman"/>
        <family val="1"/>
      </rPr>
      <t xml:space="preserve"> 6 </t>
    </r>
    <r>
      <rPr>
        <sz val="12"/>
        <rFont val="標楷體"/>
        <family val="4"/>
        <charset val="136"/>
      </rPr>
      <t>月</t>
    </r>
    <r>
      <rPr>
        <sz val="12"/>
        <rFont val="Times New Roman"/>
        <family val="1"/>
      </rPr>
      <t xml:space="preserve"> 12 </t>
    </r>
    <r>
      <rPr>
        <sz val="12"/>
        <rFont val="標楷體"/>
        <family val="4"/>
        <charset val="136"/>
      </rPr>
      <t>日豪雨造成雨水入滲邊坡裂隙導致崩塌發生，大量巨石及土砂崩塌至苗</t>
    </r>
    <r>
      <rPr>
        <sz val="12"/>
        <rFont val="Times New Roman"/>
        <family val="1"/>
      </rPr>
      <t xml:space="preserve"> 21 </t>
    </r>
    <r>
      <rPr>
        <sz val="12"/>
        <rFont val="標楷體"/>
        <family val="4"/>
        <charset val="136"/>
      </rPr>
      <t>線，造成邊坡擋土設施損毀及道路中斷，目前可單向通車，但仍有土石堆積於道路兩側。</t>
    </r>
    <phoneticPr fontId="5" type="noConversion"/>
  </si>
  <si>
    <t>C1E480</t>
  </si>
  <si>
    <r>
      <rPr>
        <sz val="12"/>
        <rFont val="標楷體"/>
        <family val="4"/>
        <charset val="136"/>
      </rPr>
      <t>鳳美</t>
    </r>
  </si>
  <si>
    <t>其他-苗栗大湖-001</t>
    <phoneticPr fontId="5" type="noConversion"/>
  </si>
  <si>
    <r>
      <rPr>
        <sz val="12"/>
        <rFont val="標楷體"/>
        <family val="4"/>
        <charset val="136"/>
      </rPr>
      <t>苗</t>
    </r>
    <r>
      <rPr>
        <sz val="12"/>
        <rFont val="Times New Roman"/>
        <family val="1"/>
      </rPr>
      <t xml:space="preserve"> 62 </t>
    </r>
    <r>
      <rPr>
        <sz val="12"/>
        <rFont val="標楷體"/>
        <family val="4"/>
        <charset val="136"/>
      </rPr>
      <t>線</t>
    </r>
    <r>
      <rPr>
        <sz val="12"/>
        <rFont val="Times New Roman"/>
        <family val="1"/>
      </rPr>
      <t xml:space="preserve"> 2K </t>
    </r>
    <r>
      <rPr>
        <sz val="12"/>
        <rFont val="標楷體"/>
        <family val="4"/>
        <charset val="136"/>
      </rPr>
      <t>處</t>
    </r>
  </si>
  <si>
    <r>
      <rPr>
        <sz val="12"/>
        <rFont val="標楷體"/>
        <family val="4"/>
        <charset val="136"/>
      </rPr>
      <t>苗</t>
    </r>
    <r>
      <rPr>
        <sz val="12"/>
        <rFont val="Times New Roman"/>
        <family val="1"/>
      </rPr>
      <t xml:space="preserve"> 62 </t>
    </r>
    <r>
      <rPr>
        <sz val="12"/>
        <rFont val="標楷體"/>
        <family val="4"/>
        <charset val="136"/>
      </rPr>
      <t>線</t>
    </r>
    <r>
      <rPr>
        <sz val="12"/>
        <rFont val="Times New Roman"/>
        <family val="1"/>
      </rPr>
      <t xml:space="preserve"> 2K </t>
    </r>
    <r>
      <rPr>
        <sz val="12"/>
        <rFont val="標楷體"/>
        <family val="4"/>
        <charset val="136"/>
      </rPr>
      <t>道路上邊坡發生崩塌，推測發生原因乃</t>
    </r>
    <r>
      <rPr>
        <sz val="12"/>
        <rFont val="Times New Roman"/>
        <family val="1"/>
      </rPr>
      <t xml:space="preserve"> 6 </t>
    </r>
    <r>
      <rPr>
        <sz val="12"/>
        <rFont val="標楷體"/>
        <family val="4"/>
        <charset val="136"/>
      </rPr>
      <t>月</t>
    </r>
    <r>
      <rPr>
        <sz val="12"/>
        <rFont val="Times New Roman"/>
        <family val="1"/>
      </rPr>
      <t xml:space="preserve"> 28 </t>
    </r>
    <r>
      <rPr>
        <sz val="12"/>
        <rFont val="標楷體"/>
        <family val="4"/>
        <charset val="136"/>
      </rPr>
      <t>及</t>
    </r>
    <r>
      <rPr>
        <sz val="12"/>
        <rFont val="Times New Roman"/>
        <family val="1"/>
      </rPr>
      <t xml:space="preserve"> 29 </t>
    </r>
    <r>
      <rPr>
        <sz val="12"/>
        <rFont val="標楷體"/>
        <family val="4"/>
        <charset val="136"/>
      </rPr>
      <t>日之降雨造成邊坡含水量上升而崩塌，土砂堆積於苗</t>
    </r>
    <r>
      <rPr>
        <sz val="12"/>
        <rFont val="Times New Roman"/>
        <family val="1"/>
      </rPr>
      <t xml:space="preserve"> 62 </t>
    </r>
    <r>
      <rPr>
        <sz val="12"/>
        <rFont val="標楷體"/>
        <family val="4"/>
        <charset val="136"/>
      </rPr>
      <t>線，且損毀既有道路護欄及下邊坡之擋土設施，現況有高約</t>
    </r>
    <r>
      <rPr>
        <sz val="12"/>
        <rFont val="Times New Roman"/>
        <family val="1"/>
      </rPr>
      <t xml:space="preserve"> 3 </t>
    </r>
    <r>
      <rPr>
        <sz val="12"/>
        <rFont val="標楷體"/>
        <family val="4"/>
        <charset val="136"/>
      </rPr>
      <t>米之落石停留於道路下邊坡。</t>
    </r>
    <phoneticPr fontId="5" type="noConversion"/>
  </si>
  <si>
    <t>01E270</t>
    <phoneticPr fontId="5" type="noConversion"/>
  </si>
  <si>
    <r>
      <rPr>
        <sz val="12"/>
        <rFont val="標楷體"/>
        <family val="4"/>
        <charset val="136"/>
      </rPr>
      <t>大湖</t>
    </r>
    <r>
      <rPr>
        <sz val="12"/>
        <rFont val="Times New Roman"/>
        <family val="1"/>
      </rPr>
      <t>(1)</t>
    </r>
  </si>
  <si>
    <t>其他-高雄旗山-001</t>
    <phoneticPr fontId="5" type="noConversion"/>
  </si>
  <si>
    <r>
      <rPr>
        <sz val="12"/>
        <rFont val="標楷體"/>
        <family val="4"/>
        <charset val="136"/>
      </rPr>
      <t>台</t>
    </r>
    <r>
      <rPr>
        <sz val="12"/>
        <rFont val="Times New Roman"/>
        <family val="1"/>
      </rPr>
      <t xml:space="preserve"> 29 </t>
    </r>
    <r>
      <rPr>
        <sz val="12"/>
        <rFont val="標楷體"/>
        <family val="4"/>
        <charset val="136"/>
      </rPr>
      <t>線</t>
    </r>
    <r>
      <rPr>
        <sz val="12"/>
        <rFont val="Times New Roman"/>
        <family val="1"/>
      </rPr>
      <t xml:space="preserve"> 78K </t>
    </r>
    <r>
      <rPr>
        <sz val="12"/>
        <rFont val="標楷體"/>
        <family val="4"/>
        <charset val="136"/>
      </rPr>
      <t>處野溪源頭</t>
    </r>
  </si>
  <si>
    <r>
      <rPr>
        <sz val="12"/>
        <rFont val="標楷體"/>
        <family val="4"/>
        <charset val="136"/>
      </rPr>
      <t>旗山區</t>
    </r>
    <phoneticPr fontId="5" type="noConversion"/>
  </si>
  <si>
    <r>
      <rPr>
        <sz val="12"/>
        <rFont val="標楷體"/>
        <family val="4"/>
        <charset val="136"/>
      </rPr>
      <t>南勝里</t>
    </r>
    <phoneticPr fontId="5" type="noConversion"/>
  </si>
  <si>
    <r>
      <rPr>
        <sz val="12"/>
        <rFont val="標楷體"/>
        <family val="4"/>
        <charset val="136"/>
      </rPr>
      <t>本案崩塌原因乃盧碧颱風引進之西南氣流挾帶豪雨，導致邊坡土壤含水量上升，造成台</t>
    </r>
    <r>
      <rPr>
        <sz val="12"/>
        <rFont val="Times New Roman"/>
        <family val="1"/>
      </rPr>
      <t xml:space="preserve">29 </t>
    </r>
    <r>
      <rPr>
        <sz val="12"/>
        <rFont val="標楷體"/>
        <family val="4"/>
        <charset val="136"/>
      </rPr>
      <t>縣</t>
    </r>
    <r>
      <rPr>
        <sz val="12"/>
        <rFont val="Times New Roman"/>
        <family val="1"/>
      </rPr>
      <t xml:space="preserve"> 78K </t>
    </r>
    <r>
      <rPr>
        <sz val="12"/>
        <rFont val="標楷體"/>
        <family val="4"/>
        <charset val="136"/>
      </rPr>
      <t>處野溪源頭邊坡崩塌，並造成堆積區上游之漫地流有蓄積情形。</t>
    </r>
    <phoneticPr fontId="5" type="noConversion"/>
  </si>
  <si>
    <t>C0R590</t>
  </si>
  <si>
    <r>
      <rPr>
        <sz val="12"/>
        <rFont val="標楷體"/>
        <family val="4"/>
        <charset val="136"/>
      </rPr>
      <t>里港</t>
    </r>
  </si>
  <si>
    <t>其他-高雄桃源-001</t>
    <phoneticPr fontId="5" type="noConversion"/>
  </si>
  <si>
    <r>
      <rPr>
        <sz val="12"/>
        <rFont val="標楷體"/>
        <family val="4"/>
        <charset val="136"/>
      </rPr>
      <t>小關山林道</t>
    </r>
    <r>
      <rPr>
        <sz val="12"/>
        <rFont val="Times New Roman"/>
        <family val="1"/>
      </rPr>
      <t xml:space="preserve"> 3.5K</t>
    </r>
  </si>
  <si>
    <r>
      <rPr>
        <sz val="12"/>
        <rFont val="標楷體"/>
        <family val="4"/>
        <charset val="136"/>
      </rPr>
      <t>寶山里</t>
    </r>
    <phoneticPr fontId="5" type="noConversion"/>
  </si>
  <si>
    <r>
      <rPr>
        <sz val="12"/>
        <rFont val="標楷體"/>
        <family val="4"/>
        <charset val="136"/>
      </rPr>
      <t>本案崩塌位於小關山林道</t>
    </r>
    <r>
      <rPr>
        <sz val="12"/>
        <rFont val="Times New Roman"/>
        <family val="1"/>
      </rPr>
      <t xml:space="preserve"> 3.5K </t>
    </r>
    <r>
      <rPr>
        <sz val="12"/>
        <rFont val="標楷體"/>
        <family val="4"/>
        <charset val="136"/>
      </rPr>
      <t>之邊坡，推測因盧碧颱風引進之西南氣流挾帶豪雨，加上</t>
    </r>
    <r>
      <rPr>
        <sz val="12"/>
        <rFont val="Times New Roman"/>
        <family val="1"/>
      </rPr>
      <t xml:space="preserve">8 </t>
    </r>
    <r>
      <rPr>
        <sz val="12"/>
        <rFont val="標楷體"/>
        <family val="4"/>
        <charset val="136"/>
      </rPr>
      <t>月</t>
    </r>
    <r>
      <rPr>
        <sz val="12"/>
        <rFont val="Times New Roman"/>
        <family val="1"/>
      </rPr>
      <t xml:space="preserve"> 11 </t>
    </r>
    <r>
      <rPr>
        <sz val="12"/>
        <rFont val="標楷體"/>
        <family val="4"/>
        <charset val="136"/>
      </rPr>
      <t>日午後之短延時強降雨，導致邊坡土壤含水量上升，造成多處道路邊坡崩塌。</t>
    </r>
    <phoneticPr fontId="5" type="noConversion"/>
  </si>
  <si>
    <t>C1V231</t>
  </si>
  <si>
    <r>
      <rPr>
        <sz val="12"/>
        <rFont val="標楷體"/>
        <family val="4"/>
        <charset val="136"/>
      </rPr>
      <t>高中</t>
    </r>
  </si>
  <si>
    <t>110 年 0815 其他-南投集集-001</t>
    <phoneticPr fontId="5" type="noConversion"/>
  </si>
  <si>
    <r>
      <rPr>
        <sz val="12"/>
        <rFont val="標楷體"/>
        <family val="4"/>
        <charset val="136"/>
      </rPr>
      <t>台</t>
    </r>
    <r>
      <rPr>
        <sz val="12"/>
        <rFont val="Times New Roman"/>
        <family val="1"/>
      </rPr>
      <t xml:space="preserve"> 16 </t>
    </r>
    <r>
      <rPr>
        <sz val="12"/>
        <rFont val="標楷體"/>
        <family val="4"/>
        <charset val="136"/>
      </rPr>
      <t>線</t>
    </r>
    <r>
      <rPr>
        <sz val="12"/>
        <rFont val="Times New Roman"/>
        <family val="1"/>
      </rPr>
      <t xml:space="preserve"> 12K </t>
    </r>
    <r>
      <rPr>
        <sz val="12"/>
        <rFont val="標楷體"/>
        <family val="4"/>
        <charset val="136"/>
      </rPr>
      <t>處</t>
    </r>
    <phoneticPr fontId="5" type="noConversion"/>
  </si>
  <si>
    <r>
      <rPr>
        <sz val="12"/>
        <rFont val="標楷體"/>
        <family val="4"/>
        <charset val="136"/>
      </rPr>
      <t>集集鎮</t>
    </r>
    <phoneticPr fontId="5" type="noConversion"/>
  </si>
  <si>
    <r>
      <rPr>
        <sz val="12"/>
        <rFont val="標楷體"/>
        <family val="4"/>
        <charset val="136"/>
      </rPr>
      <t>富山里</t>
    </r>
    <phoneticPr fontId="5" type="noConversion"/>
  </si>
  <si>
    <r>
      <rPr>
        <sz val="12"/>
        <rFont val="標楷體"/>
        <family val="4"/>
        <charset val="136"/>
      </rPr>
      <t>本案崩塌地位於台</t>
    </r>
    <r>
      <rPr>
        <sz val="12"/>
        <rFont val="Times New Roman"/>
        <family val="1"/>
      </rPr>
      <t xml:space="preserve"> 16 </t>
    </r>
    <r>
      <rPr>
        <sz val="12"/>
        <rFont val="標楷體"/>
        <family val="4"/>
        <charset val="136"/>
      </rPr>
      <t>線</t>
    </r>
    <r>
      <rPr>
        <sz val="12"/>
        <rFont val="Times New Roman"/>
        <family val="1"/>
      </rPr>
      <t xml:space="preserve"> 12K </t>
    </r>
    <r>
      <rPr>
        <sz val="12"/>
        <rFont val="標楷體"/>
        <family val="4"/>
        <charset val="136"/>
      </rPr>
      <t>上邊坡</t>
    </r>
    <r>
      <rPr>
        <sz val="12"/>
        <rFont val="Times New Roman"/>
        <family val="1"/>
      </rPr>
      <t>(</t>
    </r>
    <r>
      <rPr>
        <sz val="12"/>
        <rFont val="標楷體"/>
        <family val="4"/>
        <charset val="136"/>
      </rPr>
      <t>集集線鐵路隧道上方</t>
    </r>
    <r>
      <rPr>
        <sz val="12"/>
        <rFont val="Times New Roman"/>
        <family val="1"/>
      </rPr>
      <t>)</t>
    </r>
    <r>
      <rPr>
        <sz val="12"/>
        <rFont val="標楷體"/>
        <family val="4"/>
        <charset val="136"/>
      </rPr>
      <t>，推測原因可能為連日降雨，造成土壤水分含量升高，導致邊坡崩塌，部分土石堆積路面。</t>
    </r>
    <phoneticPr fontId="5" type="noConversion"/>
  </si>
  <si>
    <t>C0I380</t>
  </si>
  <si>
    <t>其他-新竹尖石-001</t>
    <phoneticPr fontId="5" type="noConversion"/>
  </si>
  <si>
    <r>
      <rPr>
        <sz val="12"/>
        <rFont val="標楷體"/>
        <family val="4"/>
        <charset val="136"/>
      </rPr>
      <t>竹</t>
    </r>
    <r>
      <rPr>
        <sz val="12"/>
        <rFont val="Times New Roman"/>
        <family val="1"/>
      </rPr>
      <t xml:space="preserve"> 60 </t>
    </r>
    <r>
      <rPr>
        <sz val="12"/>
        <rFont val="標楷體"/>
        <family val="4"/>
        <charset val="136"/>
      </rPr>
      <t>線</t>
    </r>
    <r>
      <rPr>
        <sz val="12"/>
        <rFont val="Times New Roman"/>
        <family val="1"/>
      </rPr>
      <t xml:space="preserve"> 31K </t>
    </r>
    <r>
      <rPr>
        <sz val="12"/>
        <rFont val="標楷體"/>
        <family val="4"/>
        <charset val="136"/>
      </rPr>
      <t>處邊坡</t>
    </r>
  </si>
  <si>
    <r>
      <rPr>
        <sz val="12"/>
        <rFont val="標楷體"/>
        <family val="4"/>
        <charset val="136"/>
      </rPr>
      <t>尖石鄉</t>
    </r>
    <phoneticPr fontId="5" type="noConversion"/>
  </si>
  <si>
    <r>
      <rPr>
        <sz val="12"/>
        <rFont val="標楷體"/>
        <family val="4"/>
        <charset val="136"/>
      </rPr>
      <t>秀巒村</t>
    </r>
    <phoneticPr fontId="5" type="noConversion"/>
  </si>
  <si>
    <r>
      <rPr>
        <sz val="12"/>
        <rFont val="標楷體"/>
        <family val="4"/>
        <charset val="136"/>
      </rPr>
      <t>石門水庫集水區之秀巒大規模崩塌地</t>
    </r>
    <r>
      <rPr>
        <sz val="12"/>
        <rFont val="Times New Roman"/>
        <family val="1"/>
      </rPr>
      <t>(</t>
    </r>
    <r>
      <rPr>
        <sz val="12"/>
        <rFont val="標楷體"/>
        <family val="4"/>
        <charset val="136"/>
      </rPr>
      <t>新竹縣</t>
    </r>
    <r>
      <rPr>
        <sz val="12"/>
        <rFont val="Times New Roman"/>
        <family val="1"/>
      </rPr>
      <t>-</t>
    </r>
    <r>
      <rPr>
        <sz val="12"/>
        <rFont val="標楷體"/>
        <family val="4"/>
        <charset val="136"/>
      </rPr>
      <t>尖石鄉</t>
    </r>
    <r>
      <rPr>
        <sz val="12"/>
        <rFont val="Times New Roman"/>
        <family val="1"/>
      </rPr>
      <t>-T001(</t>
    </r>
    <r>
      <rPr>
        <sz val="12"/>
        <rFont val="標楷體"/>
        <family val="4"/>
        <charset val="136"/>
      </rPr>
      <t>秀巒</t>
    </r>
    <r>
      <rPr>
        <sz val="12"/>
        <rFont val="Times New Roman"/>
        <family val="1"/>
      </rPr>
      <t>))</t>
    </r>
    <r>
      <rPr>
        <sz val="12"/>
        <rFont val="標楷體"/>
        <family val="4"/>
        <charset val="136"/>
      </rPr>
      <t>，位於竹</t>
    </r>
    <r>
      <rPr>
        <sz val="12"/>
        <rFont val="Times New Roman"/>
        <family val="1"/>
      </rPr>
      <t xml:space="preserve"> 60 </t>
    </r>
    <r>
      <rPr>
        <sz val="12"/>
        <rFont val="標楷體"/>
        <family val="4"/>
        <charset val="136"/>
      </rPr>
      <t>線</t>
    </r>
    <r>
      <rPr>
        <sz val="12"/>
        <rFont val="Times New Roman"/>
        <family val="1"/>
      </rPr>
      <t xml:space="preserve"> 31K </t>
    </r>
    <r>
      <rPr>
        <sz val="12"/>
        <rFont val="標楷體"/>
        <family val="4"/>
        <charset val="136"/>
      </rPr>
      <t>處道路對岸，自</t>
    </r>
    <r>
      <rPr>
        <sz val="12"/>
        <rFont val="Times New Roman"/>
        <family val="1"/>
      </rPr>
      <t xml:space="preserve"> 2001 </t>
    </r>
    <r>
      <rPr>
        <sz val="12"/>
        <rFont val="標楷體"/>
        <family val="4"/>
        <charset val="136"/>
      </rPr>
      <t>年起已有零星崩塌發生，本年度</t>
    </r>
    <r>
      <rPr>
        <sz val="12"/>
        <rFont val="Times New Roman"/>
        <family val="1"/>
      </rPr>
      <t xml:space="preserve">(2021 </t>
    </r>
    <r>
      <rPr>
        <sz val="12"/>
        <rFont val="標楷體"/>
        <family val="4"/>
        <charset val="136"/>
      </rPr>
      <t>年</t>
    </r>
    <r>
      <rPr>
        <sz val="12"/>
        <rFont val="Times New Roman"/>
        <family val="1"/>
      </rPr>
      <t>)</t>
    </r>
    <r>
      <rPr>
        <sz val="12"/>
        <rFont val="標楷體"/>
        <family val="4"/>
        <charset val="136"/>
      </rPr>
      <t>因</t>
    </r>
    <r>
      <rPr>
        <sz val="12"/>
        <rFont val="Times New Roman"/>
        <family val="1"/>
      </rPr>
      <t xml:space="preserve"> 9 </t>
    </r>
    <r>
      <rPr>
        <sz val="12"/>
        <rFont val="標楷體"/>
        <family val="4"/>
        <charset val="136"/>
      </rPr>
      <t>月</t>
    </r>
    <r>
      <rPr>
        <sz val="12"/>
        <rFont val="Times New Roman"/>
        <family val="1"/>
      </rPr>
      <t xml:space="preserve"> 13 </t>
    </r>
    <r>
      <rPr>
        <sz val="12"/>
        <rFont val="標楷體"/>
        <family val="4"/>
        <charset val="136"/>
      </rPr>
      <t>日之降雨造成邊坡含水量上升而崩塌，崩落土石淤積白石溪河道，及左岸竹</t>
    </r>
    <r>
      <rPr>
        <sz val="12"/>
        <rFont val="Times New Roman"/>
        <family val="1"/>
      </rPr>
      <t xml:space="preserve"> 60 </t>
    </r>
    <r>
      <rPr>
        <sz val="12"/>
        <rFont val="標楷體"/>
        <family val="4"/>
        <charset val="136"/>
      </rPr>
      <t>線道路，因土砂阻塞河道形成堰塞湖，使水流溢淹道路並影響</t>
    </r>
    <r>
      <rPr>
        <sz val="12"/>
        <rFont val="Times New Roman"/>
        <family val="1"/>
      </rPr>
      <t xml:space="preserve"> 4 </t>
    </r>
    <r>
      <rPr>
        <sz val="12"/>
        <rFont val="標楷體"/>
        <family val="4"/>
        <charset val="136"/>
      </rPr>
      <t>處民房，</t>
    </r>
    <r>
      <rPr>
        <sz val="12"/>
        <rFont val="Times New Roman"/>
        <family val="1"/>
      </rPr>
      <t xml:space="preserve"> </t>
    </r>
    <r>
      <rPr>
        <sz val="12"/>
        <rFont val="標楷體"/>
        <family val="4"/>
        <charset val="136"/>
      </rPr>
      <t>無人員傷亡，村內有替代道路，未形成孤島。</t>
    </r>
    <phoneticPr fontId="5" type="noConversion"/>
  </si>
  <si>
    <t>(21D140</t>
  </si>
  <si>
    <r>
      <rPr>
        <sz val="12"/>
        <rFont val="標楷體"/>
        <family val="4"/>
        <charset val="136"/>
      </rPr>
      <t>秀巒</t>
    </r>
  </si>
  <si>
    <t>110 年 0621 豪雨暨光華崩塌-桃園復興-001</t>
  </si>
  <si>
    <r>
      <rPr>
        <sz val="12"/>
        <rFont val="標楷體"/>
        <family val="4"/>
        <charset val="136"/>
      </rPr>
      <t>臺</t>
    </r>
    <r>
      <rPr>
        <sz val="12"/>
        <rFont val="Times New Roman"/>
        <family val="1"/>
      </rPr>
      <t xml:space="preserve"> 7 </t>
    </r>
    <r>
      <rPr>
        <sz val="12"/>
        <rFont val="標楷體"/>
        <family val="4"/>
        <charset val="136"/>
      </rPr>
      <t>線</t>
    </r>
    <r>
      <rPr>
        <sz val="12"/>
        <rFont val="Times New Roman"/>
        <family val="1"/>
      </rPr>
      <t xml:space="preserve"> 50K </t>
    </r>
    <r>
      <rPr>
        <sz val="12"/>
        <rFont val="標楷體"/>
        <family val="4"/>
        <charset val="136"/>
      </rPr>
      <t>大漢橋上游</t>
    </r>
    <r>
      <rPr>
        <sz val="12"/>
        <rFont val="Times New Roman"/>
        <family val="1"/>
      </rPr>
      <t xml:space="preserve">100 </t>
    </r>
    <r>
      <rPr>
        <sz val="12"/>
        <rFont val="標楷體"/>
        <family val="4"/>
        <charset val="136"/>
      </rPr>
      <t>公尺</t>
    </r>
    <phoneticPr fontId="5" type="noConversion"/>
  </si>
  <si>
    <r>
      <rPr>
        <sz val="12"/>
        <rFont val="標楷體"/>
        <family val="4"/>
        <charset val="136"/>
      </rPr>
      <t>華陵里</t>
    </r>
    <phoneticPr fontId="5" type="noConversion"/>
  </si>
  <si>
    <r>
      <t>0621</t>
    </r>
    <r>
      <rPr>
        <sz val="12"/>
        <rFont val="標楷體"/>
        <family val="4"/>
        <charset val="136"/>
      </rPr>
      <t>豪雨</t>
    </r>
    <phoneticPr fontId="5" type="noConversion"/>
  </si>
  <si>
    <r>
      <rPr>
        <sz val="12"/>
        <rFont val="標楷體"/>
        <family val="4"/>
        <charset val="136"/>
      </rPr>
      <t>臺</t>
    </r>
    <r>
      <rPr>
        <sz val="12"/>
        <rFont val="Times New Roman"/>
        <family val="1"/>
      </rPr>
      <t xml:space="preserve"> 7 </t>
    </r>
    <r>
      <rPr>
        <sz val="12"/>
        <rFont val="標楷體"/>
        <family val="4"/>
        <charset val="136"/>
      </rPr>
      <t>線</t>
    </r>
    <r>
      <rPr>
        <sz val="12"/>
        <rFont val="Times New Roman"/>
        <family val="1"/>
      </rPr>
      <t xml:space="preserve"> 50K </t>
    </r>
    <r>
      <rPr>
        <sz val="12"/>
        <rFont val="標楷體"/>
        <family val="4"/>
        <charset val="136"/>
      </rPr>
      <t>大漢橋上游</t>
    </r>
    <r>
      <rPr>
        <sz val="12"/>
        <rFont val="Times New Roman"/>
        <family val="1"/>
      </rPr>
      <t xml:space="preserve"> 100 </t>
    </r>
    <r>
      <rPr>
        <sz val="12"/>
        <rFont val="標楷體"/>
        <family val="4"/>
        <charset val="136"/>
      </rPr>
      <t>公尺之陡峭邊坡發生崩塌，推測發生原因乃該處屬順向坡且位於河道凹岸，加上連日豪雨流量大增，逕流淘刷坡腳，邊坡失去支撐而導致崩塌，崩塌土砂堆積於河道，並於上游造成堰塞湖。</t>
    </r>
    <phoneticPr fontId="5" type="noConversion"/>
  </si>
  <si>
    <t>21C090</t>
  </si>
  <si>
    <r>
      <rPr>
        <sz val="12"/>
        <rFont val="標楷體"/>
        <family val="4"/>
        <charset val="136"/>
      </rPr>
      <t>嘎拉賀</t>
    </r>
  </si>
  <si>
    <t>110 年 0621 豪雨暨光華崩塌-嘉義大埔-001</t>
  </si>
  <si>
    <r>
      <rPr>
        <sz val="12"/>
        <rFont val="標楷體"/>
        <family val="4"/>
        <charset val="136"/>
      </rPr>
      <t>嘉</t>
    </r>
    <r>
      <rPr>
        <sz val="12"/>
        <rFont val="Times New Roman"/>
        <family val="1"/>
      </rPr>
      <t xml:space="preserve"> 133 </t>
    </r>
    <r>
      <rPr>
        <sz val="12"/>
        <rFont val="標楷體"/>
        <family val="4"/>
        <charset val="136"/>
      </rPr>
      <t>線</t>
    </r>
    <r>
      <rPr>
        <sz val="12"/>
        <rFont val="Times New Roman"/>
        <family val="1"/>
      </rPr>
      <t xml:space="preserve"> 4K </t>
    </r>
    <r>
      <rPr>
        <sz val="12"/>
        <rFont val="標楷體"/>
        <family val="4"/>
        <charset val="136"/>
      </rPr>
      <t>處</t>
    </r>
    <phoneticPr fontId="5" type="noConversion"/>
  </si>
  <si>
    <t>C0M850</t>
  </si>
  <si>
    <t>110 年 0731 豪雨-嘉義竹崎-001</t>
  </si>
  <si>
    <r>
      <rPr>
        <sz val="12"/>
        <rFont val="標楷體"/>
        <family val="4"/>
        <charset val="136"/>
      </rPr>
      <t>嘉</t>
    </r>
    <r>
      <rPr>
        <sz val="12"/>
        <rFont val="Times New Roman"/>
        <family val="1"/>
      </rPr>
      <t xml:space="preserve"> 159 </t>
    </r>
    <r>
      <rPr>
        <sz val="12"/>
        <rFont val="標楷體"/>
        <family val="4"/>
        <charset val="136"/>
      </rPr>
      <t>甲線</t>
    </r>
    <r>
      <rPr>
        <sz val="12"/>
        <rFont val="Times New Roman"/>
        <family val="1"/>
      </rPr>
      <t xml:space="preserve"> 32K </t>
    </r>
    <r>
      <rPr>
        <sz val="12"/>
        <rFont val="標楷體"/>
        <family val="4"/>
        <charset val="136"/>
      </rPr>
      <t>處</t>
    </r>
    <phoneticPr fontId="5" type="noConversion"/>
  </si>
  <si>
    <r>
      <t>0731</t>
    </r>
    <r>
      <rPr>
        <sz val="12"/>
        <rFont val="標楷體"/>
        <family val="4"/>
        <charset val="136"/>
      </rPr>
      <t>豪雨</t>
    </r>
    <phoneticPr fontId="5" type="noConversion"/>
  </si>
  <si>
    <r>
      <rPr>
        <sz val="12"/>
        <rFont val="標楷體"/>
        <family val="4"/>
        <charset val="136"/>
      </rPr>
      <t>嘉</t>
    </r>
    <r>
      <rPr>
        <sz val="12"/>
        <rFont val="Times New Roman"/>
        <family val="1"/>
      </rPr>
      <t xml:space="preserve"> 159 </t>
    </r>
    <r>
      <rPr>
        <sz val="12"/>
        <rFont val="標楷體"/>
        <family val="4"/>
        <charset val="136"/>
      </rPr>
      <t>甲線</t>
    </r>
    <r>
      <rPr>
        <sz val="12"/>
        <rFont val="Times New Roman"/>
        <family val="1"/>
      </rPr>
      <t xml:space="preserve"> 32K </t>
    </r>
    <r>
      <rPr>
        <sz val="12"/>
        <rFont val="標楷體"/>
        <family val="4"/>
        <charset val="136"/>
      </rPr>
      <t>道路上下邊坡發生崩塌，推測發生原因乃</t>
    </r>
    <r>
      <rPr>
        <sz val="12"/>
        <rFont val="Times New Roman"/>
        <family val="1"/>
      </rPr>
      <t xml:space="preserve"> 7 </t>
    </r>
    <r>
      <rPr>
        <sz val="12"/>
        <rFont val="標楷體"/>
        <family val="4"/>
        <charset val="136"/>
      </rPr>
      <t>月</t>
    </r>
    <r>
      <rPr>
        <sz val="12"/>
        <rFont val="Times New Roman"/>
        <family val="1"/>
      </rPr>
      <t xml:space="preserve"> 31 </t>
    </r>
    <r>
      <rPr>
        <sz val="12"/>
        <rFont val="標楷體"/>
        <family val="4"/>
        <charset val="136"/>
      </rPr>
      <t>起因降雨造成邊坡含水量上升而崩塌，道路路基掏空造成道路暫時中斷，雖有部分土石堆積於八掌溪溪左岸，惟未影響水流通行，亦未對防砂壩及護岸等構造物造成破壞。</t>
    </r>
    <phoneticPr fontId="5" type="noConversion"/>
  </si>
  <si>
    <t>110 年 0731 豪雨-高雄六龜-001</t>
  </si>
  <si>
    <r>
      <rPr>
        <sz val="12"/>
        <rFont val="標楷體"/>
        <family val="4"/>
        <charset val="136"/>
      </rPr>
      <t>台</t>
    </r>
    <r>
      <rPr>
        <sz val="12"/>
        <rFont val="Times New Roman"/>
        <family val="1"/>
      </rPr>
      <t xml:space="preserve"> 27 </t>
    </r>
    <r>
      <rPr>
        <sz val="12"/>
        <rFont val="標楷體"/>
        <family val="4"/>
        <charset val="136"/>
      </rPr>
      <t>線</t>
    </r>
    <r>
      <rPr>
        <sz val="12"/>
        <rFont val="Times New Roman"/>
        <family val="1"/>
      </rPr>
      <t xml:space="preserve"> 14K </t>
    </r>
    <r>
      <rPr>
        <sz val="12"/>
        <rFont val="標楷體"/>
        <family val="4"/>
        <charset val="136"/>
      </rPr>
      <t>處</t>
    </r>
    <phoneticPr fontId="5" type="noConversion"/>
  </si>
  <si>
    <r>
      <rPr>
        <sz val="12"/>
        <rFont val="標楷體"/>
        <family val="4"/>
        <charset val="136"/>
      </rPr>
      <t>高市</t>
    </r>
    <r>
      <rPr>
        <sz val="12"/>
        <rFont val="Times New Roman"/>
        <family val="1"/>
      </rPr>
      <t>DF114</t>
    </r>
  </si>
  <si>
    <r>
      <rPr>
        <sz val="12"/>
        <rFont val="標楷體"/>
        <family val="4"/>
        <charset val="136"/>
      </rPr>
      <t>台</t>
    </r>
    <r>
      <rPr>
        <sz val="12"/>
        <rFont val="Times New Roman"/>
        <family val="1"/>
      </rPr>
      <t xml:space="preserve"> 27 </t>
    </r>
    <r>
      <rPr>
        <sz val="12"/>
        <rFont val="標楷體"/>
        <family val="4"/>
        <charset val="136"/>
      </rPr>
      <t>線</t>
    </r>
    <r>
      <rPr>
        <sz val="12"/>
        <rFont val="Times New Roman"/>
        <family val="1"/>
      </rPr>
      <t xml:space="preserve"> 14K </t>
    </r>
    <r>
      <rPr>
        <sz val="12"/>
        <rFont val="標楷體"/>
        <family val="4"/>
        <charset val="136"/>
      </rPr>
      <t>處</t>
    </r>
    <r>
      <rPr>
        <sz val="12"/>
        <rFont val="Times New Roman"/>
        <family val="1"/>
      </rPr>
      <t>(</t>
    </r>
    <r>
      <rPr>
        <sz val="12"/>
        <rFont val="標楷體"/>
        <family val="4"/>
        <charset val="136"/>
      </rPr>
      <t>扇平山莊上方野溪</t>
    </r>
    <r>
      <rPr>
        <sz val="12"/>
        <rFont val="Times New Roman"/>
        <family val="1"/>
      </rPr>
      <t>)</t>
    </r>
    <r>
      <rPr>
        <sz val="12"/>
        <rFont val="標楷體"/>
        <family val="4"/>
        <charset val="136"/>
      </rPr>
      <t>河道發生沖蝕崩塌，推測發生原因乃</t>
    </r>
    <r>
      <rPr>
        <sz val="12"/>
        <rFont val="Times New Roman"/>
        <family val="1"/>
      </rPr>
      <t xml:space="preserve"> 7 </t>
    </r>
    <r>
      <rPr>
        <sz val="12"/>
        <rFont val="標楷體"/>
        <family val="4"/>
        <charset val="136"/>
      </rPr>
      <t>月</t>
    </r>
    <r>
      <rPr>
        <sz val="12"/>
        <rFont val="Times New Roman"/>
        <family val="1"/>
      </rPr>
      <t xml:space="preserve"> 31 </t>
    </r>
    <r>
      <rPr>
        <sz val="12"/>
        <rFont val="標楷體"/>
        <family val="4"/>
        <charset val="136"/>
      </rPr>
      <t>至</t>
    </r>
    <r>
      <rPr>
        <sz val="12"/>
        <rFont val="Times New Roman"/>
        <family val="1"/>
      </rPr>
      <t xml:space="preserve"> 8 </t>
    </r>
    <r>
      <rPr>
        <sz val="12"/>
        <rFont val="標楷體"/>
        <family val="4"/>
        <charset val="136"/>
      </rPr>
      <t>月</t>
    </r>
    <r>
      <rPr>
        <sz val="12"/>
        <rFont val="Times New Roman"/>
        <family val="1"/>
      </rPr>
      <t xml:space="preserve"> 2 </t>
    </r>
    <r>
      <rPr>
        <sz val="12"/>
        <rFont val="標楷體"/>
        <family val="4"/>
        <charset val="136"/>
      </rPr>
      <t>日之降雨造成河岸邊坡含水量上升而崩塌，同時野溪河道流量巨大，夾帶大量土砂、石塊流經扇平林道，淤滿過路箱涵與靜水池，造成溢流，土砂由此處開始堆積至下方新發公路</t>
    </r>
    <r>
      <rPr>
        <sz val="12"/>
        <rFont val="Times New Roman"/>
        <family val="1"/>
      </rPr>
      <t>(</t>
    </r>
    <r>
      <rPr>
        <sz val="12"/>
        <rFont val="標楷體"/>
        <family val="4"/>
        <charset val="136"/>
      </rPr>
      <t>台</t>
    </r>
    <r>
      <rPr>
        <sz val="12"/>
        <rFont val="Times New Roman"/>
        <family val="1"/>
      </rPr>
      <t xml:space="preserve"> 27 </t>
    </r>
    <r>
      <rPr>
        <sz val="12"/>
        <rFont val="標楷體"/>
        <family val="4"/>
        <charset val="136"/>
      </rPr>
      <t>線</t>
    </r>
    <r>
      <rPr>
        <sz val="12"/>
        <rFont val="Times New Roman"/>
        <family val="1"/>
      </rPr>
      <t>)</t>
    </r>
    <r>
      <rPr>
        <sz val="12"/>
        <rFont val="標楷體"/>
        <family val="4"/>
        <charset val="136"/>
      </rPr>
      <t>，兩處民宅受損，高含砂水流沿新發公路往南流，最終流入荖濃溪，惟野溪上游防砂壩及護岸等構造物狀況大致良好未遭破壞。</t>
    </r>
    <phoneticPr fontId="5" type="noConversion"/>
  </si>
  <si>
    <r>
      <rPr>
        <sz val="12"/>
        <rFont val="標楷體"/>
        <family val="4"/>
        <charset val="136"/>
      </rPr>
      <t>六龜</t>
    </r>
  </si>
  <si>
    <t>110 年盧碧颱風暨 0806 水災-台南龍崎-002</t>
  </si>
  <si>
    <r>
      <rPr>
        <sz val="12"/>
        <rFont val="標楷體"/>
        <family val="4"/>
        <charset val="136"/>
      </rPr>
      <t>崎頂里水坑農路</t>
    </r>
  </si>
  <si>
    <r>
      <rPr>
        <sz val="12"/>
        <rFont val="標楷體"/>
        <family val="4"/>
        <charset val="136"/>
      </rPr>
      <t>崎頂里</t>
    </r>
    <phoneticPr fontId="5" type="noConversion"/>
  </si>
  <si>
    <r>
      <rPr>
        <sz val="12"/>
        <rFont val="標楷體"/>
        <family val="4"/>
        <charset val="136"/>
      </rPr>
      <t>盧碧颱風暨</t>
    </r>
    <r>
      <rPr>
        <sz val="12"/>
        <rFont val="Times New Roman"/>
        <family val="1"/>
      </rPr>
      <t xml:space="preserve"> 0806 </t>
    </r>
    <r>
      <rPr>
        <sz val="12"/>
        <rFont val="標楷體"/>
        <family val="4"/>
        <charset val="136"/>
      </rPr>
      <t>水災</t>
    </r>
    <phoneticPr fontId="5" type="noConversion"/>
  </si>
  <si>
    <r>
      <rPr>
        <sz val="12"/>
        <rFont val="標楷體"/>
        <family val="4"/>
        <charset val="136"/>
      </rPr>
      <t>本案崩塌地位於崎頂里水坑農路，原因為連日降雨，使道路邊坡崩塌，崩塌土石向下沖刷出蝕溝。</t>
    </r>
    <phoneticPr fontId="5" type="noConversion"/>
  </si>
  <si>
    <t>C0O960</t>
  </si>
  <si>
    <t>110 年盧碧颱風暨 0806 水災-嘉義阿里山-001</t>
  </si>
  <si>
    <r>
      <rPr>
        <sz val="12"/>
        <rFont val="標楷體"/>
        <family val="4"/>
        <charset val="136"/>
      </rPr>
      <t>阿里山青年活動中心約</t>
    </r>
    <r>
      <rPr>
        <sz val="12"/>
        <rFont val="Times New Roman"/>
        <family val="1"/>
      </rPr>
      <t xml:space="preserve">300 </t>
    </r>
    <r>
      <rPr>
        <sz val="12"/>
        <rFont val="標楷體"/>
        <family val="4"/>
        <charset val="136"/>
      </rPr>
      <t>公尺道路上邊坡</t>
    </r>
    <phoneticPr fontId="5" type="noConversion"/>
  </si>
  <si>
    <r>
      <rPr>
        <sz val="12"/>
        <rFont val="標楷體"/>
        <family val="4"/>
        <charset val="136"/>
      </rPr>
      <t>本案崩塌發生於距離阿里山青年活動中心約</t>
    </r>
    <r>
      <rPr>
        <sz val="12"/>
        <rFont val="Times New Roman"/>
        <family val="1"/>
      </rPr>
      <t xml:space="preserve"> 300 </t>
    </r>
    <r>
      <rPr>
        <sz val="12"/>
        <rFont val="標楷體"/>
        <family val="4"/>
        <charset val="136"/>
      </rPr>
      <t>公尺之道路上邊坡，推測崩塌原因乃盧碧颱風引進之西南氣流，夾帶之高強度長延時降雨，使土壤含水量過高而崩塌。</t>
    </r>
    <phoneticPr fontId="5" type="noConversion"/>
  </si>
  <si>
    <r>
      <rPr>
        <sz val="12"/>
        <rFont val="標楷體"/>
        <family val="4"/>
        <charset val="136"/>
      </rPr>
      <t>阿里山</t>
    </r>
  </si>
  <si>
    <t>110 年盧碧颱風暨 0806 水災-高雄六龜-003</t>
  </si>
  <si>
    <r>
      <rPr>
        <sz val="12"/>
        <rFont val="標楷體"/>
        <family val="4"/>
        <charset val="136"/>
      </rPr>
      <t>興龍里舊潭</t>
    </r>
    <r>
      <rPr>
        <sz val="12"/>
        <rFont val="Times New Roman"/>
        <family val="1"/>
      </rPr>
      <t xml:space="preserve"> 53 </t>
    </r>
    <r>
      <rPr>
        <sz val="12"/>
        <rFont val="標楷體"/>
        <family val="4"/>
        <charset val="136"/>
      </rPr>
      <t>號前之農路、潛勢溪流</t>
    </r>
    <r>
      <rPr>
        <sz val="12"/>
        <rFont val="Times New Roman"/>
        <family val="1"/>
      </rPr>
      <t>(</t>
    </r>
    <r>
      <rPr>
        <sz val="12"/>
        <rFont val="標楷體"/>
        <family val="4"/>
        <charset val="136"/>
      </rPr>
      <t>高市</t>
    </r>
    <r>
      <rPr>
        <sz val="12"/>
        <rFont val="Times New Roman"/>
        <family val="1"/>
      </rPr>
      <t xml:space="preserve"> DF054)</t>
    </r>
    <phoneticPr fontId="5" type="noConversion"/>
  </si>
  <si>
    <r>
      <rPr>
        <sz val="12"/>
        <rFont val="標楷體"/>
        <family val="4"/>
        <charset val="136"/>
      </rPr>
      <t>高市</t>
    </r>
    <r>
      <rPr>
        <sz val="12"/>
        <rFont val="Times New Roman"/>
        <family val="1"/>
      </rPr>
      <t>DF054</t>
    </r>
  </si>
  <si>
    <t>110 年盧碧颱風暨 0806 水災-南投國姓-001</t>
  </si>
  <si>
    <r>
      <rPr>
        <sz val="12"/>
        <rFont val="標楷體"/>
        <family val="4"/>
        <charset val="136"/>
      </rPr>
      <t>大石村</t>
    </r>
    <r>
      <rPr>
        <sz val="12"/>
        <rFont val="Times New Roman"/>
        <family val="1"/>
      </rPr>
      <t xml:space="preserve"> 7 </t>
    </r>
    <r>
      <rPr>
        <sz val="12"/>
        <rFont val="標楷體"/>
        <family val="4"/>
        <charset val="136"/>
      </rPr>
      <t>鄰</t>
    </r>
    <phoneticPr fontId="5" type="noConversion"/>
  </si>
  <si>
    <r>
      <rPr>
        <sz val="12"/>
        <rFont val="標楷體"/>
        <family val="4"/>
        <charset val="136"/>
      </rPr>
      <t>大石村</t>
    </r>
    <phoneticPr fontId="5" type="noConversion"/>
  </si>
  <si>
    <r>
      <rPr>
        <sz val="12"/>
        <rFont val="標楷體"/>
        <family val="4"/>
        <charset val="136"/>
      </rPr>
      <t>本案崩塌地位於大石村</t>
    </r>
    <r>
      <rPr>
        <sz val="12"/>
        <rFont val="Times New Roman"/>
        <family val="1"/>
      </rPr>
      <t xml:space="preserve"> 7 </t>
    </r>
    <r>
      <rPr>
        <sz val="12"/>
        <rFont val="標楷體"/>
        <family val="4"/>
        <charset val="136"/>
      </rPr>
      <t>鄰昌榮路旁，原因為連日降雨，南港溪溪水暴漲造成溪水沖刷河岸產生崩塌。</t>
    </r>
    <phoneticPr fontId="5" type="noConversion"/>
  </si>
  <si>
    <r>
      <rPr>
        <sz val="12"/>
        <rFont val="標楷體"/>
        <family val="4"/>
        <charset val="136"/>
      </rPr>
      <t>北山</t>
    </r>
  </si>
  <si>
    <t>110 年盧碧颱風暨 0806 水災-高雄桃源-001</t>
  </si>
  <si>
    <r>
      <rPr>
        <sz val="12"/>
        <rFont val="標楷體"/>
        <family val="4"/>
        <charset val="136"/>
      </rPr>
      <t>台</t>
    </r>
    <r>
      <rPr>
        <sz val="12"/>
        <rFont val="Times New Roman"/>
        <family val="1"/>
      </rPr>
      <t xml:space="preserve"> 20 </t>
    </r>
    <r>
      <rPr>
        <sz val="12"/>
        <rFont val="標楷體"/>
        <family val="4"/>
        <charset val="136"/>
      </rPr>
      <t>線</t>
    </r>
    <r>
      <rPr>
        <sz val="12"/>
        <rFont val="Times New Roman"/>
        <family val="1"/>
      </rPr>
      <t xml:space="preserve"> 100.5K</t>
    </r>
    <phoneticPr fontId="5" type="noConversion"/>
  </si>
  <si>
    <r>
      <rPr>
        <sz val="12"/>
        <rFont val="標楷體"/>
        <family val="4"/>
        <charset val="136"/>
      </rPr>
      <t>拉芙蘭里</t>
    </r>
    <phoneticPr fontId="5" type="noConversion"/>
  </si>
  <si>
    <r>
      <rPr>
        <sz val="12"/>
        <rFont val="標楷體"/>
        <family val="4"/>
        <charset val="136"/>
      </rPr>
      <t>本案發生原因乃盧碧颱風之長延時強降雨，使台</t>
    </r>
    <r>
      <rPr>
        <sz val="12"/>
        <rFont val="Times New Roman"/>
        <family val="1"/>
      </rPr>
      <t xml:space="preserve"> 20 </t>
    </r>
    <r>
      <rPr>
        <sz val="12"/>
        <rFont val="標楷體"/>
        <family val="4"/>
        <charset val="136"/>
      </rPr>
      <t>線</t>
    </r>
    <r>
      <rPr>
        <sz val="12"/>
        <rFont val="Times New Roman"/>
        <family val="1"/>
      </rPr>
      <t xml:space="preserve"> 100.5K </t>
    </r>
    <r>
      <rPr>
        <sz val="12"/>
        <rFont val="標楷體"/>
        <family val="4"/>
        <charset val="136"/>
      </rPr>
      <t>處之拉芙蘭明隧道邊坡發土石崩落，崩塌發生後損毀道路右側之防落石網約</t>
    </r>
    <r>
      <rPr>
        <sz val="12"/>
        <rFont val="Times New Roman"/>
        <family val="1"/>
      </rPr>
      <t xml:space="preserve"> 5 </t>
    </r>
    <r>
      <rPr>
        <sz val="12"/>
        <rFont val="標楷體"/>
        <family val="4"/>
        <charset val="136"/>
      </rPr>
      <t>公尺，掩埋道路約</t>
    </r>
    <r>
      <rPr>
        <sz val="12"/>
        <rFont val="Times New Roman"/>
        <family val="1"/>
      </rPr>
      <t xml:space="preserve"> 5 </t>
    </r>
    <r>
      <rPr>
        <sz val="12"/>
        <rFont val="標楷體"/>
        <family val="4"/>
        <charset val="136"/>
      </rPr>
      <t>公尺。</t>
    </r>
    <phoneticPr fontId="5" type="noConversion"/>
  </si>
  <si>
    <t>C0V210</t>
  </si>
  <si>
    <r>
      <rPr>
        <sz val="12"/>
        <rFont val="標楷體"/>
        <family val="4"/>
        <charset val="136"/>
      </rPr>
      <t>復興</t>
    </r>
  </si>
  <si>
    <t>110 年盧碧颱風暨 0806 水災-台南龍崎-001</t>
  </si>
  <si>
    <r>
      <rPr>
        <sz val="12"/>
        <rFont val="標楷體"/>
        <family val="4"/>
        <charset val="136"/>
      </rPr>
      <t>石嘈里蜈蜞埔</t>
    </r>
    <r>
      <rPr>
        <sz val="12"/>
        <rFont val="Times New Roman"/>
        <family val="1"/>
      </rPr>
      <t xml:space="preserve"> 3 </t>
    </r>
    <r>
      <rPr>
        <sz val="12"/>
        <rFont val="標楷體"/>
        <family val="4"/>
        <charset val="136"/>
      </rPr>
      <t>號邊坡</t>
    </r>
    <phoneticPr fontId="5" type="noConversion"/>
  </si>
  <si>
    <r>
      <rPr>
        <sz val="12"/>
        <rFont val="標楷體"/>
        <family val="4"/>
        <charset val="136"/>
      </rPr>
      <t>石嘈里</t>
    </r>
    <phoneticPr fontId="5" type="noConversion"/>
  </si>
  <si>
    <r>
      <rPr>
        <sz val="12"/>
        <rFont val="標楷體"/>
        <family val="4"/>
        <charset val="136"/>
      </rPr>
      <t>本案崩塌地位於石嘈里蜈蜞埔</t>
    </r>
    <r>
      <rPr>
        <sz val="12"/>
        <rFont val="Times New Roman"/>
        <family val="1"/>
      </rPr>
      <t xml:space="preserve"> 3 </t>
    </r>
    <r>
      <rPr>
        <sz val="12"/>
        <rFont val="標楷體"/>
        <family val="4"/>
        <charset val="136"/>
      </rPr>
      <t>號邊坡，推測原因可能為連日降雨，使泥岩邊坡發生向源侵蝕，造成民宅之基礎淘空崩塌。</t>
    </r>
    <phoneticPr fontId="5" type="noConversion"/>
  </si>
  <si>
    <t>110 年盧碧颱風暨 0806 水災-南投中寮-001</t>
  </si>
  <si>
    <r>
      <rPr>
        <sz val="12"/>
        <rFont val="標楷體"/>
        <family val="4"/>
        <charset val="136"/>
      </rPr>
      <t>福盛村仙洞巷</t>
    </r>
    <r>
      <rPr>
        <sz val="12"/>
        <rFont val="Times New Roman"/>
        <family val="1"/>
      </rPr>
      <t xml:space="preserve"> 1K </t>
    </r>
    <r>
      <rPr>
        <sz val="12"/>
        <rFont val="標楷體"/>
        <family val="4"/>
        <charset val="136"/>
      </rPr>
      <t>處</t>
    </r>
  </si>
  <si>
    <r>
      <rPr>
        <sz val="12"/>
        <rFont val="標楷體"/>
        <family val="4"/>
        <charset val="136"/>
      </rPr>
      <t>福盛村</t>
    </r>
  </si>
  <si>
    <r>
      <rPr>
        <sz val="12"/>
        <rFont val="標楷體"/>
        <family val="4"/>
        <charset val="136"/>
      </rPr>
      <t>本案崩塌地位於福盛村仙洞巷</t>
    </r>
    <r>
      <rPr>
        <sz val="12"/>
        <rFont val="Times New Roman"/>
        <family val="1"/>
      </rPr>
      <t xml:space="preserve"> 1K </t>
    </r>
    <r>
      <rPr>
        <sz val="12"/>
        <rFont val="標楷體"/>
        <family val="4"/>
        <charset val="136"/>
      </rPr>
      <t>處上邊坡，坡度陡，地質為黏質土壤，推測因連日降雨造成土壤含水量增加，因而崩塌。</t>
    </r>
    <phoneticPr fontId="5" type="noConversion"/>
  </si>
  <si>
    <t>110 年盧碧颱風暨 0806 水災-苗栗大湖-001</t>
  </si>
  <si>
    <r>
      <rPr>
        <sz val="12"/>
        <rFont val="標楷體"/>
        <family val="4"/>
        <charset val="136"/>
      </rPr>
      <t>台</t>
    </r>
    <r>
      <rPr>
        <sz val="12"/>
        <rFont val="Times New Roman"/>
        <family val="1"/>
      </rPr>
      <t xml:space="preserve"> 3 </t>
    </r>
    <r>
      <rPr>
        <sz val="12"/>
        <rFont val="標楷體"/>
        <family val="4"/>
        <charset val="136"/>
      </rPr>
      <t>線</t>
    </r>
    <r>
      <rPr>
        <sz val="12"/>
        <rFont val="Times New Roman"/>
        <family val="1"/>
      </rPr>
      <t xml:space="preserve"> 136.2K </t>
    </r>
    <r>
      <rPr>
        <sz val="12"/>
        <rFont val="標楷體"/>
        <family val="4"/>
        <charset val="136"/>
      </rPr>
      <t>處</t>
    </r>
  </si>
  <si>
    <r>
      <rPr>
        <sz val="12"/>
        <rFont val="標楷體"/>
        <family val="4"/>
        <charset val="136"/>
      </rPr>
      <t>栗林村</t>
    </r>
    <phoneticPr fontId="5" type="noConversion"/>
  </si>
  <si>
    <r>
      <rPr>
        <sz val="12"/>
        <rFont val="標楷體"/>
        <family val="4"/>
        <charset val="136"/>
      </rPr>
      <t>本案崩塌地位於栗林村台</t>
    </r>
    <r>
      <rPr>
        <sz val="12"/>
        <rFont val="Times New Roman"/>
        <family val="1"/>
      </rPr>
      <t xml:space="preserve"> 3 </t>
    </r>
    <r>
      <rPr>
        <sz val="12"/>
        <rFont val="標楷體"/>
        <family val="4"/>
        <charset val="136"/>
      </rPr>
      <t>線</t>
    </r>
    <r>
      <rPr>
        <sz val="12"/>
        <rFont val="Times New Roman"/>
        <family val="1"/>
      </rPr>
      <t xml:space="preserve"> 136.2 </t>
    </r>
    <r>
      <rPr>
        <sz val="12"/>
        <rFont val="標楷體"/>
        <family val="4"/>
        <charset val="136"/>
      </rPr>
      <t>公里處，道路上邊坡坡度陡，地質為黏質土壤，推測因連日降雨造成土壤含水量過高，因而崩塌。</t>
    </r>
    <phoneticPr fontId="5" type="noConversion"/>
  </si>
  <si>
    <r>
      <rPr>
        <sz val="12"/>
        <rFont val="標楷體"/>
        <family val="4"/>
        <charset val="136"/>
      </rPr>
      <t>大湖</t>
    </r>
  </si>
  <si>
    <t>110 年盧碧颱風暨 0806 水災-彰化彰化-001</t>
  </si>
  <si>
    <r>
      <rPr>
        <sz val="12"/>
        <rFont val="標楷體"/>
        <family val="4"/>
        <charset val="136"/>
      </rPr>
      <t>安溪路</t>
    </r>
    <r>
      <rPr>
        <sz val="12"/>
        <rFont val="Times New Roman"/>
        <family val="1"/>
      </rPr>
      <t xml:space="preserve"> 591 </t>
    </r>
    <r>
      <rPr>
        <sz val="12"/>
        <rFont val="標楷體"/>
        <family val="4"/>
        <charset val="136"/>
      </rPr>
      <t>巷</t>
    </r>
  </si>
  <si>
    <r>
      <rPr>
        <sz val="12"/>
        <rFont val="標楷體"/>
        <family val="4"/>
        <charset val="136"/>
      </rPr>
      <t>彰化市</t>
    </r>
    <phoneticPr fontId="5" type="noConversion"/>
  </si>
  <si>
    <r>
      <rPr>
        <sz val="12"/>
        <rFont val="標楷體"/>
        <family val="4"/>
        <charset val="136"/>
      </rPr>
      <t>安溪里</t>
    </r>
  </si>
  <si>
    <r>
      <rPr>
        <sz val="12"/>
        <rFont val="標楷體"/>
        <family val="4"/>
        <charset val="136"/>
      </rPr>
      <t>本案崩塌地位於安溪路</t>
    </r>
    <r>
      <rPr>
        <sz val="12"/>
        <rFont val="Times New Roman"/>
        <family val="1"/>
      </rPr>
      <t xml:space="preserve"> 591 </t>
    </r>
    <r>
      <rPr>
        <sz val="12"/>
        <rFont val="標楷體"/>
        <family val="4"/>
        <charset val="136"/>
      </rPr>
      <t>巷，推測原因可能為兩日之長延時降雨，邊坡含水量增加，導致土壓力上升造成擋土設施破壞進而崩塌，崩塌地造成既有道路及擋土設施損毀約</t>
    </r>
    <r>
      <rPr>
        <sz val="12"/>
        <rFont val="Times New Roman"/>
        <family val="1"/>
      </rPr>
      <t xml:space="preserve"> 40 </t>
    </r>
    <r>
      <rPr>
        <sz val="12"/>
        <rFont val="標楷體"/>
        <family val="4"/>
        <charset val="136"/>
      </rPr>
      <t>公尺。</t>
    </r>
    <phoneticPr fontId="5" type="noConversion"/>
  </si>
  <si>
    <t>C0F9S0</t>
  </si>
  <si>
    <r>
      <rPr>
        <sz val="12"/>
        <rFont val="標楷體"/>
        <family val="4"/>
        <charset val="136"/>
      </rPr>
      <t>烏日</t>
    </r>
  </si>
  <si>
    <t>110 年盧碧颱風暨 0806 水災-高雄六龜-001</t>
  </si>
  <si>
    <r>
      <rPr>
        <sz val="12"/>
        <rFont val="標楷體"/>
        <family val="4"/>
        <charset val="136"/>
      </rPr>
      <t>美崙山溫泉渡假山莊</t>
    </r>
    <phoneticPr fontId="5" type="noConversion"/>
  </si>
  <si>
    <r>
      <rPr>
        <sz val="12"/>
        <rFont val="標楷體"/>
        <family val="4"/>
        <charset val="136"/>
      </rPr>
      <t>高市</t>
    </r>
    <r>
      <rPr>
        <sz val="12"/>
        <rFont val="Times New Roman"/>
        <family val="1"/>
      </rPr>
      <t>DF112</t>
    </r>
  </si>
  <si>
    <r>
      <rPr>
        <sz val="12"/>
        <rFont val="標楷體"/>
        <family val="4"/>
        <charset val="136"/>
      </rPr>
      <t>本案災例位於美崙山溫泉渡假山莊，原因為颱風引進西南氣流所帶來之強降雨，使美崙山兩條野溪河道向下及兩側刷深，引發土石流並堆積於民房，造成嚴重災情。</t>
    </r>
    <phoneticPr fontId="5" type="noConversion"/>
  </si>
  <si>
    <t>110 年盧碧颱風暨 0806 水災-高雄六龜-002</t>
  </si>
  <si>
    <r>
      <rPr>
        <sz val="12"/>
        <rFont val="標楷體"/>
        <family val="4"/>
        <charset val="136"/>
      </rPr>
      <t>高</t>
    </r>
    <r>
      <rPr>
        <sz val="12"/>
        <rFont val="Times New Roman"/>
        <family val="1"/>
      </rPr>
      <t xml:space="preserve"> 133 </t>
    </r>
    <r>
      <rPr>
        <sz val="12"/>
        <rFont val="標楷體"/>
        <family val="4"/>
        <charset val="136"/>
      </rPr>
      <t>鄉道檳園渡假山莊旁野溪</t>
    </r>
  </si>
  <si>
    <r>
      <rPr>
        <sz val="12"/>
        <rFont val="標楷體"/>
        <family val="4"/>
        <charset val="136"/>
      </rPr>
      <t>高市</t>
    </r>
    <r>
      <rPr>
        <sz val="12"/>
        <rFont val="Times New Roman"/>
        <family val="1"/>
      </rPr>
      <t>DF113</t>
    </r>
  </si>
  <si>
    <r>
      <rPr>
        <sz val="12"/>
        <rFont val="標楷體"/>
        <family val="4"/>
        <charset val="136"/>
      </rPr>
      <t>高</t>
    </r>
    <r>
      <rPr>
        <sz val="12"/>
        <rFont val="Times New Roman"/>
        <family val="1"/>
      </rPr>
      <t xml:space="preserve"> 133 </t>
    </r>
    <r>
      <rPr>
        <sz val="12"/>
        <rFont val="標楷體"/>
        <family val="4"/>
        <charset val="136"/>
      </rPr>
      <t>鄉道檳園渡假山莊旁無名野溪發生土石流，推測發生原因為</t>
    </r>
    <r>
      <rPr>
        <sz val="12"/>
        <rFont val="Times New Roman"/>
        <family val="1"/>
      </rPr>
      <t xml:space="preserve"> 08 </t>
    </r>
    <r>
      <rPr>
        <sz val="12"/>
        <rFont val="標楷體"/>
        <family val="4"/>
        <charset val="136"/>
      </rPr>
      <t>月</t>
    </r>
    <r>
      <rPr>
        <sz val="12"/>
        <rFont val="Times New Roman"/>
        <family val="1"/>
      </rPr>
      <t xml:space="preserve"> 05 </t>
    </r>
    <r>
      <rPr>
        <sz val="12"/>
        <rFont val="標楷體"/>
        <family val="4"/>
        <charset val="136"/>
      </rPr>
      <t>日至</t>
    </r>
    <r>
      <rPr>
        <sz val="12"/>
        <rFont val="Times New Roman"/>
        <family val="1"/>
      </rPr>
      <t xml:space="preserve">08 </t>
    </r>
    <r>
      <rPr>
        <sz val="12"/>
        <rFont val="標楷體"/>
        <family val="4"/>
        <charset val="136"/>
      </rPr>
      <t>月</t>
    </r>
    <r>
      <rPr>
        <sz val="12"/>
        <rFont val="Times New Roman"/>
        <family val="1"/>
      </rPr>
      <t xml:space="preserve"> 08 </t>
    </r>
    <r>
      <rPr>
        <sz val="12"/>
        <rFont val="標楷體"/>
        <family val="4"/>
        <charset val="136"/>
      </rPr>
      <t>日之長時間降雨，造成河岸邊坡土壤含水量上升而崩塌。且於高</t>
    </r>
    <r>
      <rPr>
        <sz val="12"/>
        <rFont val="Times New Roman"/>
        <family val="1"/>
      </rPr>
      <t xml:space="preserve"> 133 </t>
    </r>
    <r>
      <rPr>
        <sz val="12"/>
        <rFont val="標楷體"/>
        <family val="4"/>
        <charset val="136"/>
      </rPr>
      <t>鄉道旁河道流心呈</t>
    </r>
    <r>
      <rPr>
        <sz val="12"/>
        <rFont val="Times New Roman"/>
        <family val="1"/>
      </rPr>
      <t xml:space="preserve"> 90 </t>
    </r>
    <r>
      <rPr>
        <sz val="12"/>
        <rFont val="標楷體"/>
        <family val="4"/>
        <charset val="136"/>
      </rPr>
      <t>度轉彎，至使河道內大量土砂來不及排出，造成溢流，土砂於河道下游段開始堆積直至高</t>
    </r>
    <r>
      <rPr>
        <sz val="12"/>
        <rFont val="Times New Roman"/>
        <family val="1"/>
      </rPr>
      <t xml:space="preserve"> 133 </t>
    </r>
    <r>
      <rPr>
        <sz val="12"/>
        <rFont val="標楷體"/>
        <family val="4"/>
        <charset val="136"/>
      </rPr>
      <t>線道路二側。</t>
    </r>
    <phoneticPr fontId="5" type="noConversion"/>
  </si>
  <si>
    <t>110 年盧碧颱風暨 0806 水災-新竹關西-001</t>
  </si>
  <si>
    <r>
      <rPr>
        <sz val="12"/>
        <rFont val="標楷體"/>
        <family val="4"/>
        <charset val="136"/>
      </rPr>
      <t>竹</t>
    </r>
    <r>
      <rPr>
        <sz val="12"/>
        <rFont val="Times New Roman"/>
        <family val="1"/>
      </rPr>
      <t xml:space="preserve"> 28 </t>
    </r>
    <r>
      <rPr>
        <sz val="12"/>
        <rFont val="標楷體"/>
        <family val="4"/>
        <charset val="136"/>
      </rPr>
      <t>線</t>
    </r>
    <r>
      <rPr>
        <sz val="12"/>
        <rFont val="Times New Roman"/>
        <family val="1"/>
      </rPr>
      <t xml:space="preserve"> 5.4K </t>
    </r>
    <r>
      <rPr>
        <sz val="12"/>
        <rFont val="標楷體"/>
        <family val="4"/>
        <charset val="136"/>
      </rPr>
      <t>處</t>
    </r>
  </si>
  <si>
    <r>
      <rPr>
        <sz val="12"/>
        <rFont val="標楷體"/>
        <family val="4"/>
        <charset val="136"/>
      </rPr>
      <t>關西鎮</t>
    </r>
    <phoneticPr fontId="5" type="noConversion"/>
  </si>
  <si>
    <r>
      <rPr>
        <sz val="12"/>
        <rFont val="標楷體"/>
        <family val="4"/>
        <charset val="136"/>
      </rPr>
      <t>東山里</t>
    </r>
  </si>
  <si>
    <r>
      <rPr>
        <sz val="12"/>
        <rFont val="標楷體"/>
        <family val="4"/>
        <charset val="136"/>
      </rPr>
      <t>本案崩塌地位於竹</t>
    </r>
    <r>
      <rPr>
        <sz val="12"/>
        <rFont val="Times New Roman"/>
        <family val="1"/>
      </rPr>
      <t xml:space="preserve"> 28 </t>
    </r>
    <r>
      <rPr>
        <sz val="12"/>
        <rFont val="標楷體"/>
        <family val="4"/>
        <charset val="136"/>
      </rPr>
      <t>線</t>
    </r>
    <r>
      <rPr>
        <sz val="12"/>
        <rFont val="Times New Roman"/>
        <family val="1"/>
      </rPr>
      <t xml:space="preserve"> 5.4K </t>
    </r>
    <r>
      <rPr>
        <sz val="12"/>
        <rFont val="標楷體"/>
        <family val="4"/>
        <charset val="136"/>
      </rPr>
      <t>上邊坡，推測原因可能為連日降雨，造成土壤水分含量升高，導致邊坡崩塌，崩落土石堆積於道路。</t>
    </r>
    <phoneticPr fontId="5" type="noConversion"/>
  </si>
  <si>
    <t>C0D390</t>
  </si>
  <si>
    <r>
      <rPr>
        <sz val="12"/>
        <rFont val="標楷體"/>
        <family val="4"/>
        <charset val="136"/>
      </rPr>
      <t>關西</t>
    </r>
  </si>
  <si>
    <r>
      <rPr>
        <sz val="12"/>
        <rFont val="標楷體"/>
        <family val="4"/>
        <charset val="136"/>
      </rPr>
      <t>崩塌</t>
    </r>
    <r>
      <rPr>
        <sz val="12"/>
        <rFont val="Times New Roman"/>
        <family val="1"/>
      </rPr>
      <t>(</t>
    </r>
    <r>
      <rPr>
        <sz val="12"/>
        <rFont val="標楷體"/>
        <family val="4"/>
        <charset val="136"/>
      </rPr>
      <t>山崩</t>
    </r>
    <r>
      <rPr>
        <sz val="12"/>
        <rFont val="Times New Roman"/>
        <family val="1"/>
      </rPr>
      <t>)</t>
    </r>
    <r>
      <rPr>
        <sz val="12"/>
        <rFont val="標楷體"/>
        <family val="4"/>
        <charset val="136"/>
      </rPr>
      <t>、土石流</t>
    </r>
    <phoneticPr fontId="5" type="noConversion"/>
  </si>
  <si>
    <t>110 年盧碧颱風暨 0806 水災-高雄桃源-002</t>
  </si>
  <si>
    <r>
      <rPr>
        <sz val="12"/>
        <rFont val="標楷體"/>
        <family val="4"/>
        <charset val="136"/>
      </rPr>
      <t>台</t>
    </r>
    <r>
      <rPr>
        <sz val="12"/>
        <rFont val="Times New Roman"/>
        <family val="1"/>
      </rPr>
      <t xml:space="preserve"> 20 </t>
    </r>
    <r>
      <rPr>
        <sz val="12"/>
        <rFont val="標楷體"/>
        <family val="4"/>
        <charset val="136"/>
      </rPr>
      <t>線明霸克露橋</t>
    </r>
  </si>
  <si>
    <r>
      <rPr>
        <sz val="12"/>
        <rFont val="標楷體"/>
        <family val="4"/>
        <charset val="136"/>
      </rPr>
      <t>勤和里</t>
    </r>
  </si>
  <si>
    <r>
      <rPr>
        <sz val="12"/>
        <rFont val="標楷體"/>
        <family val="4"/>
        <charset val="136"/>
      </rPr>
      <t>本案發生原因乃盧碧颱風之長延時強降雨，使玉穗溪流量增加，挾帶大量土砂後沖毀明霸克露橋，並掩埋部分台</t>
    </r>
    <r>
      <rPr>
        <sz val="12"/>
        <rFont val="Times New Roman"/>
        <family val="1"/>
      </rPr>
      <t xml:space="preserve"> 20 </t>
    </r>
    <r>
      <rPr>
        <sz val="12"/>
        <rFont val="標楷體"/>
        <family val="4"/>
        <charset val="136"/>
      </rPr>
      <t>線道路。</t>
    </r>
    <phoneticPr fontId="5" type="noConversion"/>
  </si>
  <si>
    <r>
      <rPr>
        <sz val="12"/>
        <rFont val="標楷體"/>
        <family val="4"/>
        <charset val="136"/>
      </rPr>
      <t>小關山</t>
    </r>
  </si>
  <si>
    <t>110 年盧碧颱風暨 0806 水災-南投仁愛-001</t>
  </si>
  <si>
    <r>
      <rPr>
        <sz val="12"/>
        <rFont val="標楷體"/>
        <family val="4"/>
        <charset val="136"/>
      </rPr>
      <t>投</t>
    </r>
    <r>
      <rPr>
        <sz val="12"/>
        <rFont val="Times New Roman"/>
        <family val="1"/>
      </rPr>
      <t xml:space="preserve"> 83 </t>
    </r>
    <r>
      <rPr>
        <sz val="12"/>
        <rFont val="標楷體"/>
        <family val="4"/>
        <charset val="136"/>
      </rPr>
      <t>線</t>
    </r>
    <r>
      <rPr>
        <sz val="12"/>
        <rFont val="Times New Roman"/>
        <family val="1"/>
      </rPr>
      <t xml:space="preserve"> 25K </t>
    </r>
    <r>
      <rPr>
        <sz val="12"/>
        <rFont val="標楷體"/>
        <family val="4"/>
        <charset val="136"/>
      </rPr>
      <t>處</t>
    </r>
  </si>
  <si>
    <r>
      <rPr>
        <sz val="12"/>
        <rFont val="標楷體"/>
        <family val="4"/>
        <charset val="136"/>
      </rPr>
      <t>本案崩塌地位於萬豐村武界隧道北側邊坡，係為原有崩塌擴大，推測因連日降雨，造成土壤水分含量升高，導致邊坡整面滑落，大量土砂崩落堆積至武界水庫庫區內。</t>
    </r>
    <phoneticPr fontId="5" type="noConversion"/>
  </si>
  <si>
    <r>
      <rPr>
        <sz val="12"/>
        <rFont val="標楷體"/>
        <family val="4"/>
        <charset val="136"/>
      </rPr>
      <t>武界</t>
    </r>
  </si>
  <si>
    <t>圓規颱風-花蓮秀林-001</t>
  </si>
  <si>
    <r>
      <rPr>
        <sz val="12"/>
        <rFont val="標楷體"/>
        <family val="4"/>
        <charset val="136"/>
      </rPr>
      <t>榕樹部落翡翠谷入口處</t>
    </r>
  </si>
  <si>
    <r>
      <rPr>
        <sz val="12"/>
        <rFont val="標楷體"/>
        <family val="4"/>
        <charset val="136"/>
      </rPr>
      <t>銅門村</t>
    </r>
    <phoneticPr fontId="5" type="noConversion"/>
  </si>
  <si>
    <r>
      <rPr>
        <sz val="12"/>
        <rFont val="標楷體"/>
        <family val="4"/>
        <charset val="136"/>
      </rPr>
      <t>圓規颱風</t>
    </r>
    <phoneticPr fontId="5" type="noConversion"/>
  </si>
  <si>
    <r>
      <rPr>
        <sz val="12"/>
        <rFont val="標楷體"/>
        <family val="4"/>
        <charset val="136"/>
      </rPr>
      <t>本災例發生於榕樹部落翡翠谷入口處，因為圓規颱風帶來之外圍環流所挾帶之降雨，造成榕樹部落翡翠谷入口處邊坡之舊崩塌地發生二次崩塌，地表逕流挾帶土石流出，堆積於木瓜溪之防汛道路及產業道路，並阻塞防汛道路側溝。</t>
    </r>
    <phoneticPr fontId="5" type="noConversion"/>
  </si>
  <si>
    <t>C1Z130</t>
  </si>
  <si>
    <r>
      <rPr>
        <sz val="12"/>
        <rFont val="標楷體"/>
        <family val="4"/>
        <charset val="136"/>
      </rPr>
      <t>銅門</t>
    </r>
  </si>
  <si>
    <t>圓規颱風-臺東大武-001</t>
  </si>
  <si>
    <r>
      <rPr>
        <sz val="12"/>
        <rFont val="標楷體"/>
        <family val="4"/>
        <charset val="136"/>
      </rPr>
      <t>台</t>
    </r>
    <r>
      <rPr>
        <sz val="12"/>
        <rFont val="Times New Roman"/>
        <family val="1"/>
      </rPr>
      <t xml:space="preserve"> 9 </t>
    </r>
    <r>
      <rPr>
        <sz val="12"/>
        <rFont val="標楷體"/>
        <family val="4"/>
        <charset val="136"/>
      </rPr>
      <t>線</t>
    </r>
    <r>
      <rPr>
        <sz val="12"/>
        <rFont val="Times New Roman"/>
        <family val="1"/>
      </rPr>
      <t xml:space="preserve"> 411K </t>
    </r>
    <r>
      <rPr>
        <sz val="12"/>
        <rFont val="標楷體"/>
        <family val="4"/>
        <charset val="136"/>
      </rPr>
      <t>富山橋</t>
    </r>
    <phoneticPr fontId="5" type="noConversion"/>
  </si>
  <si>
    <r>
      <rPr>
        <sz val="12"/>
        <rFont val="標楷體"/>
        <family val="4"/>
        <charset val="136"/>
      </rPr>
      <t>東縣</t>
    </r>
    <r>
      <rPr>
        <sz val="12"/>
        <rFont val="Times New Roman"/>
        <family val="1"/>
      </rPr>
      <t>DF093</t>
    </r>
    <phoneticPr fontId="5" type="noConversion"/>
  </si>
  <si>
    <r>
      <rPr>
        <sz val="12"/>
        <rFont val="標楷體"/>
        <family val="4"/>
        <charset val="136"/>
      </rPr>
      <t>本災例發生於台</t>
    </r>
    <r>
      <rPr>
        <sz val="12"/>
        <rFont val="Times New Roman"/>
        <family val="1"/>
      </rPr>
      <t xml:space="preserve"> 9 </t>
    </r>
    <r>
      <rPr>
        <sz val="12"/>
        <rFont val="標楷體"/>
        <family val="4"/>
        <charset val="136"/>
      </rPr>
      <t>線</t>
    </r>
    <r>
      <rPr>
        <sz val="12"/>
        <rFont val="Times New Roman"/>
        <family val="1"/>
      </rPr>
      <t xml:space="preserve"> 411K </t>
    </r>
    <r>
      <rPr>
        <sz val="12"/>
        <rFont val="標楷體"/>
        <family val="4"/>
        <charset val="136"/>
      </rPr>
      <t>富山橋，因為圓規颱風帶來之外圍環流所挾帶之連日降雨，造成東縣</t>
    </r>
    <r>
      <rPr>
        <sz val="12"/>
        <rFont val="Times New Roman"/>
        <family val="1"/>
      </rPr>
      <t xml:space="preserve"> DF093 </t>
    </r>
    <r>
      <rPr>
        <sz val="12"/>
        <rFont val="標楷體"/>
        <family val="4"/>
        <charset val="136"/>
      </rPr>
      <t>發生土石流，大量土砂阻塞富山橋之橋梁涵洞，造成路面土砂堆積及淹水，河道之防砂壩亦遭淤埋。</t>
    </r>
    <phoneticPr fontId="5" type="noConversion"/>
  </si>
  <si>
    <r>
      <rPr>
        <sz val="12"/>
        <rFont val="標楷體"/>
        <family val="4"/>
        <charset val="136"/>
      </rPr>
      <t>勝林山</t>
    </r>
  </si>
  <si>
    <t>1013 豪雨-花蓮玉里-001</t>
  </si>
  <si>
    <r>
      <rPr>
        <sz val="12"/>
        <rFont val="標楷體"/>
        <family val="4"/>
        <charset val="136"/>
      </rPr>
      <t>松浦里</t>
    </r>
    <r>
      <rPr>
        <sz val="12"/>
        <rFont val="Times New Roman"/>
        <family val="1"/>
      </rPr>
      <t xml:space="preserve"> 138-1 </t>
    </r>
    <r>
      <rPr>
        <sz val="12"/>
        <rFont val="標楷體"/>
        <family val="4"/>
        <charset val="136"/>
      </rPr>
      <t>號</t>
    </r>
  </si>
  <si>
    <r>
      <rPr>
        <sz val="12"/>
        <rFont val="標楷體"/>
        <family val="4"/>
        <charset val="136"/>
      </rPr>
      <t>玉里鎮</t>
    </r>
    <phoneticPr fontId="5" type="noConversion"/>
  </si>
  <si>
    <r>
      <rPr>
        <sz val="12"/>
        <rFont val="標楷體"/>
        <family val="4"/>
        <charset val="136"/>
      </rPr>
      <t>松浦里</t>
    </r>
  </si>
  <si>
    <r>
      <t>1013</t>
    </r>
    <r>
      <rPr>
        <sz val="12"/>
        <rFont val="標楷體"/>
        <family val="4"/>
        <charset val="136"/>
      </rPr>
      <t>豪雨</t>
    </r>
    <phoneticPr fontId="5" type="noConversion"/>
  </si>
  <si>
    <r>
      <rPr>
        <sz val="12"/>
        <rFont val="標楷體"/>
        <family val="4"/>
        <charset val="136"/>
      </rPr>
      <t>本災例發生於玉里鄉松浦里</t>
    </r>
    <r>
      <rPr>
        <sz val="12"/>
        <rFont val="Times New Roman"/>
        <family val="1"/>
      </rPr>
      <t xml:space="preserve"> 138-1 </t>
    </r>
    <r>
      <rPr>
        <sz val="12"/>
        <rFont val="標楷體"/>
        <family val="4"/>
        <charset val="136"/>
      </rPr>
      <t>號旁，因為連日豪雨，上邊坡土壤含水量增加，造成擋土牆倒塌，崩落土石堆積於排水及民宅後院，受災民眾初步以巨木阻擋土砂，防止堆積土砂流入民宅。</t>
    </r>
    <phoneticPr fontId="5" type="noConversion"/>
  </si>
  <si>
    <t>C0Z070</t>
  </si>
  <si>
    <r>
      <rPr>
        <sz val="12"/>
        <rFont val="標楷體"/>
        <family val="4"/>
        <charset val="136"/>
      </rPr>
      <t>舞鶴</t>
    </r>
  </si>
  <si>
    <t>1013 豪雨-花蓮玉里-003</t>
  </si>
  <si>
    <r>
      <rPr>
        <sz val="12"/>
        <rFont val="標楷體"/>
        <family val="4"/>
        <charset val="136"/>
      </rPr>
      <t>大禹里</t>
    </r>
    <r>
      <rPr>
        <sz val="12"/>
        <rFont val="Times New Roman"/>
        <family val="1"/>
      </rPr>
      <t xml:space="preserve"> 10~18 </t>
    </r>
    <r>
      <rPr>
        <sz val="12"/>
        <rFont val="標楷體"/>
        <family val="4"/>
        <charset val="136"/>
      </rPr>
      <t>鄰</t>
    </r>
  </si>
  <si>
    <r>
      <rPr>
        <sz val="12"/>
        <rFont val="標楷體"/>
        <family val="4"/>
        <charset val="136"/>
      </rPr>
      <t>大禹里</t>
    </r>
  </si>
  <si>
    <r>
      <rPr>
        <sz val="12"/>
        <rFont val="標楷體"/>
        <family val="4"/>
        <charset val="136"/>
      </rPr>
      <t>花縣</t>
    </r>
    <r>
      <rPr>
        <sz val="12"/>
        <rFont val="Times New Roman"/>
        <family val="1"/>
      </rPr>
      <t>DF065</t>
    </r>
  </si>
  <si>
    <r>
      <rPr>
        <sz val="12"/>
        <rFont val="標楷體"/>
        <family val="4"/>
        <charset val="136"/>
      </rPr>
      <t>本災例發生於花縣</t>
    </r>
    <r>
      <rPr>
        <sz val="12"/>
        <rFont val="Times New Roman"/>
        <family val="1"/>
      </rPr>
      <t xml:space="preserve"> DF065</t>
    </r>
    <r>
      <rPr>
        <sz val="12"/>
        <rFont val="標楷體"/>
        <family val="4"/>
        <charset val="136"/>
      </rPr>
      <t>，因為連日豪雨引發土石流，並掩埋道路及流入</t>
    </r>
    <r>
      <rPr>
        <sz val="12"/>
        <rFont val="Times New Roman"/>
        <family val="1"/>
      </rPr>
      <t xml:space="preserve"> 3 </t>
    </r>
    <r>
      <rPr>
        <sz val="12"/>
        <rFont val="標楷體"/>
        <family val="4"/>
        <charset val="136"/>
      </rPr>
      <t>戶民宅，且河道因土砂淤積，導致逕流水漫延至道路</t>
    </r>
    <phoneticPr fontId="5" type="noConversion"/>
  </si>
  <si>
    <r>
      <rPr>
        <sz val="12"/>
        <rFont val="標楷體"/>
        <family val="4"/>
        <charset val="136"/>
      </rPr>
      <t>高寮</t>
    </r>
  </si>
  <si>
    <t>1013 豪雨-花蓮玉里-002</t>
  </si>
  <si>
    <r>
      <rPr>
        <sz val="12"/>
        <rFont val="標楷體"/>
        <family val="4"/>
        <charset val="136"/>
      </rPr>
      <t>大禹里</t>
    </r>
    <r>
      <rPr>
        <sz val="12"/>
        <rFont val="Times New Roman"/>
        <family val="1"/>
      </rPr>
      <t xml:space="preserve"> 18 </t>
    </r>
    <r>
      <rPr>
        <sz val="12"/>
        <rFont val="標楷體"/>
        <family val="4"/>
        <charset val="136"/>
      </rPr>
      <t>鄰</t>
    </r>
  </si>
  <si>
    <r>
      <rPr>
        <sz val="12"/>
        <rFont val="標楷體"/>
        <family val="4"/>
        <charset val="136"/>
      </rPr>
      <t>花縣</t>
    </r>
    <r>
      <rPr>
        <sz val="12"/>
        <rFont val="Times New Roman"/>
        <family val="1"/>
      </rPr>
      <t>DF064</t>
    </r>
    <phoneticPr fontId="5" type="noConversion"/>
  </si>
  <si>
    <r>
      <rPr>
        <sz val="12"/>
        <rFont val="標楷體"/>
        <family val="4"/>
        <charset val="136"/>
      </rPr>
      <t>本災例發生於花縣</t>
    </r>
    <r>
      <rPr>
        <sz val="12"/>
        <rFont val="Times New Roman"/>
        <family val="1"/>
      </rPr>
      <t xml:space="preserve"> DF064</t>
    </r>
    <r>
      <rPr>
        <sz val="12"/>
        <rFont val="標楷體"/>
        <family val="4"/>
        <charset val="136"/>
      </rPr>
      <t>，因為連日豪雨引發土石流，並阻塞河道、掩埋農地及流入</t>
    </r>
    <r>
      <rPr>
        <sz val="12"/>
        <rFont val="Times New Roman"/>
        <family val="1"/>
      </rPr>
      <t xml:space="preserve"> 1 </t>
    </r>
    <r>
      <rPr>
        <sz val="12"/>
        <rFont val="標楷體"/>
        <family val="4"/>
        <charset val="136"/>
      </rPr>
      <t>戶民宅，且河道因土砂淤積，導致逕流水漫延至道路</t>
    </r>
    <phoneticPr fontId="5" type="noConversion"/>
  </si>
  <si>
    <t>1013 豪雨-花蓮瑞穗-001</t>
  </si>
  <si>
    <r>
      <rPr>
        <sz val="12"/>
        <rFont val="標楷體"/>
        <family val="4"/>
        <charset val="136"/>
      </rPr>
      <t>花</t>
    </r>
    <r>
      <rPr>
        <sz val="12"/>
        <rFont val="Times New Roman"/>
        <family val="1"/>
      </rPr>
      <t xml:space="preserve"> 64 </t>
    </r>
    <r>
      <rPr>
        <sz val="12"/>
        <rFont val="標楷體"/>
        <family val="4"/>
        <charset val="136"/>
      </rPr>
      <t>線</t>
    </r>
    <r>
      <rPr>
        <sz val="12"/>
        <rFont val="Times New Roman"/>
        <family val="1"/>
      </rPr>
      <t>(</t>
    </r>
    <r>
      <rPr>
        <sz val="12"/>
        <rFont val="標楷體"/>
        <family val="4"/>
        <charset val="136"/>
      </rPr>
      <t>瑞港公路</t>
    </r>
    <r>
      <rPr>
        <sz val="12"/>
        <rFont val="Times New Roman"/>
        <family val="1"/>
      </rPr>
      <t xml:space="preserve">)2.3K </t>
    </r>
    <r>
      <rPr>
        <sz val="12"/>
        <rFont val="標楷體"/>
        <family val="4"/>
        <charset val="136"/>
      </rPr>
      <t>處</t>
    </r>
  </si>
  <si>
    <r>
      <rPr>
        <sz val="12"/>
        <rFont val="標楷體"/>
        <family val="4"/>
        <charset val="136"/>
      </rPr>
      <t>瑞穗鄉</t>
    </r>
    <phoneticPr fontId="5" type="noConversion"/>
  </si>
  <si>
    <r>
      <rPr>
        <sz val="12"/>
        <rFont val="標楷體"/>
        <family val="4"/>
        <charset val="136"/>
      </rPr>
      <t>奇美村</t>
    </r>
  </si>
  <si>
    <r>
      <rPr>
        <sz val="12"/>
        <rFont val="標楷體"/>
        <family val="4"/>
        <charset val="136"/>
      </rPr>
      <t>本災例發生於花</t>
    </r>
    <r>
      <rPr>
        <sz val="12"/>
        <rFont val="Times New Roman"/>
        <family val="1"/>
      </rPr>
      <t xml:space="preserve"> 64 </t>
    </r>
    <r>
      <rPr>
        <sz val="12"/>
        <rFont val="標楷體"/>
        <family val="4"/>
        <charset val="136"/>
      </rPr>
      <t>線</t>
    </r>
    <r>
      <rPr>
        <sz val="12"/>
        <rFont val="Times New Roman"/>
        <family val="1"/>
      </rPr>
      <t>(</t>
    </r>
    <r>
      <rPr>
        <sz val="12"/>
        <rFont val="標楷體"/>
        <family val="4"/>
        <charset val="136"/>
      </rPr>
      <t>瑞港公路</t>
    </r>
    <r>
      <rPr>
        <sz val="12"/>
        <rFont val="Times New Roman"/>
        <family val="1"/>
      </rPr>
      <t xml:space="preserve">)2.3K </t>
    </r>
    <r>
      <rPr>
        <sz val="12"/>
        <rFont val="標楷體"/>
        <family val="4"/>
        <charset val="136"/>
      </rPr>
      <t>處，因為圓規颱風帶來之外圍環流所挾帶之連日降雨，造成道路下邊坡發生崩塌，道路淘空約</t>
    </r>
    <r>
      <rPr>
        <sz val="12"/>
        <rFont val="Times New Roman"/>
        <family val="1"/>
      </rPr>
      <t xml:space="preserve"> 20 </t>
    </r>
    <r>
      <rPr>
        <sz val="12"/>
        <rFont val="標楷體"/>
        <family val="4"/>
        <charset val="136"/>
      </rPr>
      <t>公尺，另上邊坡土砂崩落阻塞路邊溝，造成路邊排水溢流。</t>
    </r>
    <phoneticPr fontId="5" type="noConversion"/>
  </si>
  <si>
    <r>
      <rPr>
        <sz val="12"/>
        <rFont val="標楷體"/>
        <family val="4"/>
        <charset val="136"/>
      </rPr>
      <t>崩塌</t>
    </r>
    <r>
      <rPr>
        <sz val="12"/>
        <rFont val="Times New Roman"/>
        <family val="1"/>
      </rPr>
      <t>(</t>
    </r>
    <r>
      <rPr>
        <sz val="12"/>
        <rFont val="標楷體"/>
        <family val="4"/>
        <charset val="136"/>
      </rPr>
      <t>地滑</t>
    </r>
    <r>
      <rPr>
        <sz val="12"/>
        <rFont val="Times New Roman"/>
        <family val="1"/>
      </rPr>
      <t>)</t>
    </r>
    <phoneticPr fontId="5" type="noConversion"/>
  </si>
  <si>
    <t>111 年 1030 豪雨-新北汐止-001</t>
  </si>
  <si>
    <r>
      <rPr>
        <sz val="12"/>
        <rFont val="標楷體"/>
        <family val="4"/>
        <charset val="136"/>
      </rPr>
      <t>國道一號南向</t>
    </r>
    <r>
      <rPr>
        <sz val="12"/>
        <rFont val="Times New Roman"/>
        <family val="1"/>
      </rPr>
      <t xml:space="preserve"> 10.1 </t>
    </r>
    <r>
      <rPr>
        <sz val="12"/>
        <rFont val="標楷體"/>
        <family val="4"/>
        <charset val="136"/>
      </rPr>
      <t>公里</t>
    </r>
  </si>
  <si>
    <r>
      <rPr>
        <sz val="12"/>
        <rFont val="標楷體"/>
        <family val="4"/>
        <charset val="136"/>
      </rPr>
      <t>汐止區</t>
    </r>
    <phoneticPr fontId="5" type="noConversion"/>
  </si>
  <si>
    <r>
      <rPr>
        <sz val="12"/>
        <rFont val="標楷體"/>
        <family val="4"/>
        <charset val="136"/>
      </rPr>
      <t>江北里</t>
    </r>
    <phoneticPr fontId="5" type="noConversion"/>
  </si>
  <si>
    <r>
      <t>1030</t>
    </r>
    <r>
      <rPr>
        <sz val="12"/>
        <rFont val="Microsoft JhengHei"/>
        <family val="2"/>
      </rPr>
      <t>豪雨</t>
    </r>
    <phoneticPr fontId="5" type="noConversion"/>
  </si>
  <si>
    <r>
      <rPr>
        <sz val="12"/>
        <rFont val="標楷體"/>
        <family val="4"/>
        <charset val="136"/>
      </rPr>
      <t>本災例發生於國道一號南向</t>
    </r>
    <r>
      <rPr>
        <sz val="12"/>
        <rFont val="Times New Roman"/>
        <family val="1"/>
      </rPr>
      <t xml:space="preserve"> 10.1 </t>
    </r>
    <r>
      <rPr>
        <sz val="12"/>
        <rFont val="標楷體"/>
        <family val="4"/>
        <charset val="136"/>
      </rPr>
      <t>公里，本次因東北季風及奈格颱風之共伴效應所挾帶之豪雨，使逕流入滲滑動面，造成該處順向坡發生土體滑動，大量土砂堆積於國道一號汐止系統匝道，以及造成路牌門架傾倒歪斜。</t>
    </r>
    <phoneticPr fontId="5" type="noConversion"/>
  </si>
  <si>
    <t>111 年尼莎颱風-基隆七堵-001</t>
  </si>
  <si>
    <r>
      <rPr>
        <sz val="12"/>
        <rFont val="標楷體"/>
        <family val="4"/>
        <charset val="136"/>
      </rPr>
      <t>七堵苗圃、東新街</t>
    </r>
    <r>
      <rPr>
        <sz val="12"/>
        <rFont val="Times New Roman"/>
        <family val="1"/>
      </rPr>
      <t xml:space="preserve"> 141-143 </t>
    </r>
    <r>
      <rPr>
        <sz val="12"/>
        <rFont val="標楷體"/>
        <family val="4"/>
        <charset val="136"/>
      </rPr>
      <t>號</t>
    </r>
    <phoneticPr fontId="5" type="noConversion"/>
  </si>
  <si>
    <r>
      <rPr>
        <sz val="12"/>
        <rFont val="標楷體"/>
        <family val="4"/>
        <charset val="136"/>
      </rPr>
      <t>七堵區</t>
    </r>
    <phoneticPr fontId="5" type="noConversion"/>
  </si>
  <si>
    <r>
      <rPr>
        <sz val="12"/>
        <rFont val="標楷體"/>
        <family val="4"/>
        <charset val="136"/>
      </rPr>
      <t>長興里</t>
    </r>
    <phoneticPr fontId="5" type="noConversion"/>
  </si>
  <si>
    <r>
      <rPr>
        <sz val="12"/>
        <rFont val="標楷體"/>
        <family val="4"/>
        <charset val="136"/>
      </rPr>
      <t>尼莎颱風</t>
    </r>
    <phoneticPr fontId="5" type="noConversion"/>
  </si>
  <si>
    <r>
      <rPr>
        <sz val="12"/>
        <rFont val="標楷體"/>
        <family val="4"/>
        <charset val="136"/>
      </rPr>
      <t>本災例發生於七堵苗圃及東新街</t>
    </r>
    <r>
      <rPr>
        <sz val="12"/>
        <rFont val="Times New Roman"/>
        <family val="1"/>
      </rPr>
      <t xml:space="preserve"> 141-143 </t>
    </r>
    <r>
      <rPr>
        <sz val="12"/>
        <rFont val="標楷體"/>
        <family val="4"/>
        <charset val="136"/>
      </rPr>
      <t>號，本次因東北季風及尼莎颱風之共伴效應，挾帶之豪雨使雨水入滲邊坡，造成七堵苗圃下邊坡崩塌，並堆積於東新街</t>
    </r>
    <r>
      <rPr>
        <sz val="12"/>
        <rFont val="Times New Roman"/>
        <family val="1"/>
      </rPr>
      <t xml:space="preserve"> 141-143 </t>
    </r>
    <r>
      <rPr>
        <sz val="12"/>
        <rFont val="標楷體"/>
        <family val="4"/>
        <charset val="136"/>
      </rPr>
      <t>號之營造廠工寮旁，降雨持續沖刷堆積土砂，使泥水流入營造廠房屋建物中。</t>
    </r>
    <phoneticPr fontId="5" type="noConversion"/>
  </si>
  <si>
    <t>C0B010</t>
  </si>
  <si>
    <r>
      <rPr>
        <sz val="12"/>
        <rFont val="標楷體"/>
        <family val="4"/>
        <charset val="136"/>
      </rPr>
      <t>七堵</t>
    </r>
  </si>
  <si>
    <t>111 年尼莎颱風-新北汐止-002</t>
  </si>
  <si>
    <r>
      <rPr>
        <sz val="12"/>
        <rFont val="標楷體"/>
        <family val="4"/>
        <charset val="136"/>
      </rPr>
      <t>鵠鵠崙大規模崩塌潛勢區</t>
    </r>
  </si>
  <si>
    <r>
      <rPr>
        <sz val="12"/>
        <rFont val="標楷體"/>
        <family val="4"/>
        <charset val="136"/>
      </rPr>
      <t>東山里</t>
    </r>
    <phoneticPr fontId="5" type="noConversion"/>
  </si>
  <si>
    <r>
      <rPr>
        <sz val="12"/>
        <rFont val="標楷體"/>
        <family val="4"/>
        <charset val="136"/>
      </rPr>
      <t>新北</t>
    </r>
    <r>
      <rPr>
        <sz val="12"/>
        <rFont val="Times New Roman"/>
        <family val="1"/>
      </rPr>
      <t>DF197</t>
    </r>
    <phoneticPr fontId="5" type="noConversion"/>
  </si>
  <si>
    <r>
      <rPr>
        <sz val="12"/>
        <rFont val="標楷體"/>
        <family val="4"/>
        <charset val="136"/>
      </rPr>
      <t>本災例發生於鵠鵠崙大規模崩塌潛勢區</t>
    </r>
    <r>
      <rPr>
        <sz val="12"/>
        <rFont val="Times New Roman"/>
        <family val="1"/>
      </rPr>
      <t>(</t>
    </r>
    <r>
      <rPr>
        <sz val="12"/>
        <rFont val="標楷體"/>
        <family val="4"/>
        <charset val="136"/>
      </rPr>
      <t>新北市</t>
    </r>
    <r>
      <rPr>
        <sz val="12"/>
        <rFont val="Times New Roman"/>
        <family val="1"/>
      </rPr>
      <t>-</t>
    </r>
    <r>
      <rPr>
        <sz val="12"/>
        <rFont val="標楷體"/>
        <family val="4"/>
        <charset val="136"/>
      </rPr>
      <t>汐止區</t>
    </r>
    <r>
      <rPr>
        <sz val="12"/>
        <rFont val="Times New Roman"/>
        <family val="1"/>
      </rPr>
      <t>-D003)</t>
    </r>
    <r>
      <rPr>
        <sz val="12"/>
        <rFont val="標楷體"/>
        <family val="4"/>
        <charset val="136"/>
      </rPr>
      <t>之坡趾，本次因東北季風及尼莎颱風之共伴效應，挾帶之連日豪雨使邊坡土壤因含水量增加而產生</t>
    </r>
    <r>
      <rPr>
        <sz val="12"/>
        <rFont val="Times New Roman"/>
        <family val="1"/>
      </rPr>
      <t xml:space="preserve"> 2 </t>
    </r>
    <r>
      <rPr>
        <sz val="12"/>
        <rFont val="標楷體"/>
        <family val="4"/>
        <charset val="136"/>
      </rPr>
      <t>處崩塌，當中</t>
    </r>
    <r>
      <rPr>
        <sz val="12"/>
        <rFont val="Times New Roman"/>
        <family val="1"/>
      </rPr>
      <t xml:space="preserve">1 </t>
    </r>
    <r>
      <rPr>
        <sz val="12"/>
        <rFont val="標楷體"/>
        <family val="4"/>
        <charset val="136"/>
      </rPr>
      <t>號崩塌地之崩崖造成受災民房之農路地基流失，其土砂堆積於新北</t>
    </r>
    <r>
      <rPr>
        <sz val="12"/>
        <rFont val="Times New Roman"/>
        <family val="1"/>
      </rPr>
      <t xml:space="preserve"> DF197</t>
    </r>
    <r>
      <rPr>
        <sz val="12"/>
        <rFont val="標楷體"/>
        <family val="4"/>
        <charset val="136"/>
      </rPr>
      <t>，使通洪斷面變小，造成上游有蓄水現象，</t>
    </r>
    <r>
      <rPr>
        <sz val="12"/>
        <rFont val="Times New Roman"/>
        <family val="1"/>
      </rPr>
      <t xml:space="preserve">2 </t>
    </r>
    <r>
      <rPr>
        <sz val="12"/>
        <rFont val="標楷體"/>
        <family val="4"/>
        <charset val="136"/>
      </rPr>
      <t>號崩塌地則規模較小，土砂尚停留於邊坡。</t>
    </r>
    <phoneticPr fontId="5" type="noConversion"/>
  </si>
  <si>
    <t>111 年尼莎颱風-宜蘭大同-002</t>
  </si>
  <si>
    <r>
      <rPr>
        <sz val="12"/>
        <rFont val="標楷體"/>
        <family val="4"/>
        <charset val="136"/>
      </rPr>
      <t>台七線</t>
    </r>
    <r>
      <rPr>
        <sz val="12"/>
        <rFont val="Times New Roman"/>
        <family val="1"/>
      </rPr>
      <t xml:space="preserve"> 84K</t>
    </r>
  </si>
  <si>
    <r>
      <rPr>
        <sz val="12"/>
        <rFont val="標楷體"/>
        <family val="4"/>
        <charset val="136"/>
      </rPr>
      <t>英士村</t>
    </r>
    <phoneticPr fontId="5" type="noConversion"/>
  </si>
  <si>
    <r>
      <rPr>
        <sz val="12"/>
        <rFont val="標楷體"/>
        <family val="4"/>
        <charset val="136"/>
      </rPr>
      <t>本災例發生於台七線</t>
    </r>
    <r>
      <rPr>
        <sz val="12"/>
        <rFont val="Times New Roman"/>
        <family val="1"/>
      </rPr>
      <t xml:space="preserve"> 84K</t>
    </r>
    <r>
      <rPr>
        <sz val="12"/>
        <rFont val="標楷體"/>
        <family val="4"/>
        <charset val="136"/>
      </rPr>
      <t>，本案因東北季風及尼莎颱風之共伴效應，挾帶之豪雨使道路上、下邊坡造成嚴重崩塌，使道路路基流失，其土砂堆積於河道且延伸至右岸，因豪雨後排骨溪流量較大，已將堆積土砂輸送至下游，另台七線</t>
    </r>
    <r>
      <rPr>
        <sz val="12"/>
        <rFont val="Times New Roman"/>
        <family val="1"/>
      </rPr>
      <t xml:space="preserve"> 84K </t>
    </r>
    <r>
      <rPr>
        <sz val="12"/>
        <rFont val="標楷體"/>
        <family val="4"/>
        <charset val="136"/>
      </rPr>
      <t>排骨溪右岸亦發生崩塌，惟未影響鄰近保全對象。</t>
    </r>
    <phoneticPr fontId="5" type="noConversion"/>
  </si>
  <si>
    <t>01U060</t>
    <phoneticPr fontId="5" type="noConversion"/>
  </si>
  <si>
    <r>
      <rPr>
        <sz val="12"/>
        <rFont val="標楷體"/>
        <family val="4"/>
        <charset val="136"/>
      </rPr>
      <t>梵梵</t>
    </r>
    <r>
      <rPr>
        <sz val="12"/>
        <rFont val="Times New Roman"/>
        <family val="1"/>
      </rPr>
      <t>(2)</t>
    </r>
    <phoneticPr fontId="5" type="noConversion"/>
  </si>
  <si>
    <t>111 年尼莎颱風-基隆暖暖-001</t>
  </si>
  <si>
    <r>
      <rPr>
        <sz val="12"/>
        <rFont val="標楷體"/>
        <family val="4"/>
        <charset val="136"/>
      </rPr>
      <t>暖暖街</t>
    </r>
    <r>
      <rPr>
        <sz val="12"/>
        <rFont val="Times New Roman"/>
        <family val="1"/>
      </rPr>
      <t xml:space="preserve"> 281 </t>
    </r>
    <r>
      <rPr>
        <sz val="12"/>
        <rFont val="標楷體"/>
        <family val="4"/>
        <charset val="136"/>
      </rPr>
      <t>巷</t>
    </r>
    <phoneticPr fontId="5" type="noConversion"/>
  </si>
  <si>
    <r>
      <rPr>
        <sz val="12"/>
        <rFont val="標楷體"/>
        <family val="4"/>
        <charset val="136"/>
      </rPr>
      <t>暖暖區</t>
    </r>
    <phoneticPr fontId="5" type="noConversion"/>
  </si>
  <si>
    <r>
      <rPr>
        <sz val="12"/>
        <rFont val="標楷體"/>
        <family val="4"/>
        <charset val="136"/>
      </rPr>
      <t>暖暖里</t>
    </r>
    <phoneticPr fontId="5" type="noConversion"/>
  </si>
  <si>
    <r>
      <rPr>
        <sz val="12"/>
        <rFont val="標楷體"/>
        <family val="4"/>
        <charset val="136"/>
      </rPr>
      <t>本災例發生於暖暖街</t>
    </r>
    <r>
      <rPr>
        <sz val="12"/>
        <rFont val="Times New Roman"/>
        <family val="1"/>
      </rPr>
      <t xml:space="preserve"> 281 </t>
    </r>
    <r>
      <rPr>
        <sz val="12"/>
        <rFont val="標楷體"/>
        <family val="4"/>
        <charset val="136"/>
      </rPr>
      <t>巷</t>
    </r>
    <r>
      <rPr>
        <sz val="12"/>
        <rFont val="Times New Roman"/>
        <family val="1"/>
      </rPr>
      <t xml:space="preserve"> 76 </t>
    </r>
    <r>
      <rPr>
        <sz val="12"/>
        <rFont val="標楷體"/>
        <family val="4"/>
        <charset val="136"/>
      </rPr>
      <t>號至</t>
    </r>
    <r>
      <rPr>
        <sz val="12"/>
        <rFont val="Times New Roman"/>
        <family val="1"/>
      </rPr>
      <t xml:space="preserve"> 70 </t>
    </r>
    <r>
      <rPr>
        <sz val="12"/>
        <rFont val="標楷體"/>
        <family val="4"/>
        <charset val="136"/>
      </rPr>
      <t>號住戶後方邊坡，本次因東北季風及尼莎颱風之共伴效應，挾帶之豪雨使雨水入滲邊坡，於岩層形成滑動面造成楔型崩塌，崩崖區位已為岩盤裸露，堆積土砂則因大樓建物阻擋，停留於坡趾且淤埋排水溝，部分土砂則沿</t>
    </r>
    <r>
      <rPr>
        <sz val="12"/>
        <rFont val="Times New Roman"/>
        <family val="1"/>
      </rPr>
      <t xml:space="preserve"> 72 </t>
    </r>
    <r>
      <rPr>
        <sz val="12"/>
        <rFont val="標楷體"/>
        <family val="4"/>
        <charset val="136"/>
      </rPr>
      <t>號及</t>
    </r>
    <r>
      <rPr>
        <sz val="12"/>
        <rFont val="Times New Roman"/>
        <family val="1"/>
      </rPr>
      <t xml:space="preserve"> 70</t>
    </r>
    <r>
      <rPr>
        <sz val="12"/>
        <rFont val="標楷體"/>
        <family val="4"/>
        <charset val="136"/>
      </rPr>
      <t>號民房之防火巷流至暖暖街</t>
    </r>
    <r>
      <rPr>
        <sz val="12"/>
        <rFont val="Times New Roman"/>
        <family val="1"/>
      </rPr>
      <t xml:space="preserve"> 281 </t>
    </r>
    <r>
      <rPr>
        <sz val="12"/>
        <rFont val="標楷體"/>
        <family val="4"/>
        <charset val="136"/>
      </rPr>
      <t>巷。</t>
    </r>
    <phoneticPr fontId="5" type="noConversion"/>
  </si>
  <si>
    <t>111 年尼莎颱風-新北汐止-001</t>
  </si>
  <si>
    <r>
      <rPr>
        <sz val="12"/>
        <rFont val="標楷體"/>
        <family val="4"/>
        <charset val="136"/>
      </rPr>
      <t>伯爵山莊之伯爵街</t>
    </r>
    <r>
      <rPr>
        <sz val="12"/>
        <rFont val="Times New Roman"/>
        <family val="1"/>
      </rPr>
      <t xml:space="preserve"> 3 </t>
    </r>
    <r>
      <rPr>
        <sz val="12"/>
        <rFont val="標楷體"/>
        <family val="4"/>
        <charset val="136"/>
      </rPr>
      <t>巷及</t>
    </r>
    <r>
      <rPr>
        <sz val="12"/>
        <rFont val="Times New Roman"/>
        <family val="1"/>
      </rPr>
      <t xml:space="preserve"> 6 </t>
    </r>
    <r>
      <rPr>
        <sz val="12"/>
        <rFont val="標楷體"/>
        <family val="4"/>
        <charset val="136"/>
      </rPr>
      <t>巷</t>
    </r>
    <phoneticPr fontId="5" type="noConversion"/>
  </si>
  <si>
    <r>
      <rPr>
        <sz val="12"/>
        <rFont val="標楷體"/>
        <family val="4"/>
        <charset val="136"/>
      </rPr>
      <t>湖光里</t>
    </r>
    <phoneticPr fontId="5" type="noConversion"/>
  </si>
  <si>
    <r>
      <rPr>
        <sz val="12"/>
        <rFont val="標楷體"/>
        <family val="4"/>
        <charset val="136"/>
      </rPr>
      <t>本災例發生於伯爵山莊之伯爵街</t>
    </r>
    <r>
      <rPr>
        <sz val="12"/>
        <rFont val="Times New Roman"/>
        <family val="1"/>
      </rPr>
      <t xml:space="preserve"> 3 </t>
    </r>
    <r>
      <rPr>
        <sz val="12"/>
        <rFont val="標楷體"/>
        <family val="4"/>
        <charset val="136"/>
      </rPr>
      <t>巷及</t>
    </r>
    <r>
      <rPr>
        <sz val="12"/>
        <rFont val="Times New Roman"/>
        <family val="1"/>
      </rPr>
      <t xml:space="preserve"> 6 </t>
    </r>
    <r>
      <rPr>
        <sz val="12"/>
        <rFont val="標楷體"/>
        <family val="4"/>
        <charset val="136"/>
      </rPr>
      <t>巷等兩處，本次因東北季風及尼莎颱風之共伴效應，挾帶之豪雨使邊坡土砂因含水量增加而崩塌，兩處崩塌區位皆位於高壓電塔之基礎，土砂皆堆積於道路且部分流入民房，目前崩塌區位皆初步以帆布覆蓋，防止降雨持續沖刷坡面土壤。</t>
    </r>
    <phoneticPr fontId="5" type="noConversion"/>
  </si>
  <si>
    <t>111 年尼莎颱風-宜蘭大同-003</t>
  </si>
  <si>
    <r>
      <rPr>
        <sz val="12"/>
        <rFont val="標楷體"/>
        <family val="4"/>
        <charset val="136"/>
      </rPr>
      <t>台七甲線</t>
    </r>
    <r>
      <rPr>
        <sz val="12"/>
        <rFont val="Times New Roman"/>
        <family val="1"/>
      </rPr>
      <t xml:space="preserve"> 0.5K</t>
    </r>
  </si>
  <si>
    <r>
      <rPr>
        <sz val="12"/>
        <rFont val="標楷體"/>
        <family val="4"/>
        <charset val="136"/>
      </rPr>
      <t>太平村</t>
    </r>
    <phoneticPr fontId="5" type="noConversion"/>
  </si>
  <si>
    <r>
      <rPr>
        <sz val="12"/>
        <rFont val="標楷體"/>
        <family val="4"/>
        <charset val="136"/>
      </rPr>
      <t>本災例發生於台七甲線</t>
    </r>
    <r>
      <rPr>
        <sz val="12"/>
        <rFont val="Times New Roman"/>
        <family val="1"/>
      </rPr>
      <t xml:space="preserve"> 0.5K</t>
    </r>
    <r>
      <rPr>
        <sz val="12"/>
        <rFont val="標楷體"/>
        <family val="4"/>
        <charset val="136"/>
      </rPr>
      <t>，本案為舊有崩塌地因東北季風及尼莎颱風之共伴效應，挾帶之連日豪雨使邊坡土壤含水量增加，進而造成舊有崩塌地擴大，大量土砂堆積於道路及蘭陽溪河道上，淤埋台</t>
    </r>
    <r>
      <rPr>
        <sz val="12"/>
        <rFont val="Times New Roman"/>
        <family val="1"/>
      </rPr>
      <t xml:space="preserve"> 7 </t>
    </r>
    <r>
      <rPr>
        <sz val="12"/>
        <rFont val="標楷體"/>
        <family val="4"/>
        <charset val="136"/>
      </rPr>
      <t>甲線。</t>
    </r>
    <phoneticPr fontId="5" type="noConversion"/>
  </si>
  <si>
    <t>111 年尼莎颱風-宜蘭大同-001</t>
  </si>
  <si>
    <r>
      <rPr>
        <sz val="12"/>
        <rFont val="標楷體"/>
        <family val="4"/>
        <charset val="136"/>
      </rPr>
      <t>台</t>
    </r>
    <r>
      <rPr>
        <sz val="12"/>
        <rFont val="Times New Roman"/>
        <family val="1"/>
      </rPr>
      <t xml:space="preserve"> 7 </t>
    </r>
    <r>
      <rPr>
        <sz val="12"/>
        <rFont val="標楷體"/>
        <family val="4"/>
        <charset val="136"/>
      </rPr>
      <t>線</t>
    </r>
    <r>
      <rPr>
        <sz val="12"/>
        <rFont val="Times New Roman"/>
        <family val="1"/>
      </rPr>
      <t xml:space="preserve"> 86.5K</t>
    </r>
  </si>
  <si>
    <r>
      <rPr>
        <sz val="12"/>
        <rFont val="標楷體"/>
        <family val="4"/>
        <charset val="136"/>
      </rPr>
      <t>本災例發生於台</t>
    </r>
    <r>
      <rPr>
        <sz val="12"/>
        <rFont val="Times New Roman"/>
        <family val="1"/>
      </rPr>
      <t xml:space="preserve"> 7 </t>
    </r>
    <r>
      <rPr>
        <sz val="12"/>
        <rFont val="標楷體"/>
        <family val="4"/>
        <charset val="136"/>
      </rPr>
      <t>線</t>
    </r>
    <r>
      <rPr>
        <sz val="12"/>
        <rFont val="Times New Roman"/>
        <family val="1"/>
      </rPr>
      <t xml:space="preserve"> 86.5K </t>
    </r>
    <r>
      <rPr>
        <sz val="12"/>
        <rFont val="標楷體"/>
        <family val="4"/>
        <charset val="136"/>
      </rPr>
      <t>英士路段，本次因東北季風及尼莎颱風之共伴效應，使邊坡含水量上升，土體荷重增加造成</t>
    </r>
    <r>
      <rPr>
        <sz val="12"/>
        <rFont val="Times New Roman"/>
        <family val="1"/>
      </rPr>
      <t xml:space="preserve"> 2 </t>
    </r>
    <r>
      <rPr>
        <sz val="12"/>
        <rFont val="標楷體"/>
        <family val="4"/>
        <charset val="136"/>
      </rPr>
      <t>處崩塌，其中</t>
    </r>
    <r>
      <rPr>
        <sz val="12"/>
        <rFont val="Times New Roman"/>
        <family val="1"/>
      </rPr>
      <t xml:space="preserve"> 1 </t>
    </r>
    <r>
      <rPr>
        <sz val="12"/>
        <rFont val="標楷體"/>
        <family val="4"/>
        <charset val="136"/>
      </rPr>
      <t>號崩塌地為舊崩塌地發生二次崩塌，其大量土砂堆積於台</t>
    </r>
    <r>
      <rPr>
        <sz val="12"/>
        <rFont val="Times New Roman"/>
        <family val="1"/>
      </rPr>
      <t xml:space="preserve"> 7 </t>
    </r>
    <r>
      <rPr>
        <sz val="12"/>
        <rFont val="標楷體"/>
        <family val="4"/>
        <charset val="136"/>
      </rPr>
      <t>線，除掩埋道路、沖毀護欄外，其堆積土砂更延伸至蘭陽溪河道約</t>
    </r>
    <r>
      <rPr>
        <sz val="12"/>
        <rFont val="Times New Roman"/>
        <family val="1"/>
      </rPr>
      <t xml:space="preserve"> 200 </t>
    </r>
    <r>
      <rPr>
        <sz val="12"/>
        <rFont val="標楷體"/>
        <family val="4"/>
        <charset val="136"/>
      </rPr>
      <t>公尺。</t>
    </r>
    <phoneticPr fontId="5" type="noConversion"/>
  </si>
  <si>
    <t>111 年尼莎颱風-台北北投-001</t>
  </si>
  <si>
    <r>
      <rPr>
        <sz val="12"/>
        <rFont val="標楷體"/>
        <family val="4"/>
        <charset val="136"/>
      </rPr>
      <t>台</t>
    </r>
    <r>
      <rPr>
        <sz val="12"/>
        <rFont val="Times New Roman"/>
        <family val="1"/>
      </rPr>
      <t xml:space="preserve"> 2 </t>
    </r>
    <r>
      <rPr>
        <sz val="12"/>
        <rFont val="標楷體"/>
        <family val="4"/>
        <charset val="136"/>
      </rPr>
      <t>甲</t>
    </r>
    <r>
      <rPr>
        <sz val="12"/>
        <rFont val="Times New Roman"/>
        <family val="1"/>
      </rPr>
      <t>(</t>
    </r>
    <r>
      <rPr>
        <sz val="12"/>
        <rFont val="標楷體"/>
        <family val="4"/>
        <charset val="136"/>
      </rPr>
      <t>陽金公路中興路口</t>
    </r>
    <r>
      <rPr>
        <sz val="12"/>
        <rFont val="Times New Roman"/>
        <family val="1"/>
      </rPr>
      <t>)</t>
    </r>
  </si>
  <si>
    <r>
      <rPr>
        <sz val="12"/>
        <rFont val="標楷體"/>
        <family val="4"/>
        <charset val="136"/>
      </rPr>
      <t>北投區</t>
    </r>
    <phoneticPr fontId="5" type="noConversion"/>
  </si>
  <si>
    <r>
      <rPr>
        <sz val="12"/>
        <rFont val="標楷體"/>
        <family val="4"/>
        <charset val="136"/>
      </rPr>
      <t>湖田里</t>
    </r>
    <phoneticPr fontId="5" type="noConversion"/>
  </si>
  <si>
    <r>
      <rPr>
        <sz val="12"/>
        <rFont val="標楷體"/>
        <family val="4"/>
        <charset val="136"/>
      </rPr>
      <t>本災例發生於台</t>
    </r>
    <r>
      <rPr>
        <sz val="12"/>
        <rFont val="Times New Roman"/>
        <family val="1"/>
      </rPr>
      <t xml:space="preserve"> 2 </t>
    </r>
    <r>
      <rPr>
        <sz val="12"/>
        <rFont val="標楷體"/>
        <family val="4"/>
        <charset val="136"/>
      </rPr>
      <t>甲線陽金公路中興路口，本次因東北季風及尼莎颱風之共伴效應，使逕流刷深河道後將土砂帶出，並堆積於台</t>
    </r>
    <r>
      <rPr>
        <sz val="12"/>
        <rFont val="Times New Roman"/>
        <family val="1"/>
      </rPr>
      <t xml:space="preserve"> 2 </t>
    </r>
    <r>
      <rPr>
        <sz val="12"/>
        <rFont val="標楷體"/>
        <family val="4"/>
        <charset val="136"/>
      </rPr>
      <t>甲線及中興路上，且至</t>
    </r>
    <r>
      <rPr>
        <sz val="12"/>
        <rFont val="Times New Roman"/>
        <family val="1"/>
      </rPr>
      <t xml:space="preserve"> 10 </t>
    </r>
    <r>
      <rPr>
        <sz val="12"/>
        <rFont val="標楷體"/>
        <family val="4"/>
        <charset val="136"/>
      </rPr>
      <t>月</t>
    </r>
    <r>
      <rPr>
        <sz val="12"/>
        <rFont val="Times New Roman"/>
        <family val="1"/>
      </rPr>
      <t xml:space="preserve"> 17 </t>
    </r>
    <r>
      <rPr>
        <sz val="12"/>
        <rFont val="標楷體"/>
        <family val="4"/>
        <charset val="136"/>
      </rPr>
      <t>日中午間共發生</t>
    </r>
    <r>
      <rPr>
        <sz val="12"/>
        <rFont val="Times New Roman"/>
        <family val="1"/>
      </rPr>
      <t xml:space="preserve"> 3 </t>
    </r>
    <r>
      <rPr>
        <sz val="12"/>
        <rFont val="標楷體"/>
        <family val="4"/>
        <charset val="136"/>
      </rPr>
      <t>波土石流動，從空拍結果顯示，坑溝集水區並無明顯崩塌發生，因此推測土砂來源可能為河道刷深。</t>
    </r>
    <phoneticPr fontId="5" type="noConversion"/>
  </si>
  <si>
    <r>
      <rPr>
        <sz val="12"/>
        <rFont val="標楷體"/>
        <family val="4"/>
        <charset val="136"/>
      </rPr>
      <t>竹子湖</t>
    </r>
  </si>
  <si>
    <t>111 年 1007 豪雨-宜蘭南澳-001</t>
  </si>
  <si>
    <r>
      <rPr>
        <sz val="12"/>
        <rFont val="標楷體"/>
        <family val="4"/>
        <charset val="136"/>
      </rPr>
      <t>台</t>
    </r>
    <r>
      <rPr>
        <sz val="12"/>
        <rFont val="Times New Roman"/>
        <family val="1"/>
      </rPr>
      <t xml:space="preserve"> 9 </t>
    </r>
    <r>
      <rPr>
        <sz val="12"/>
        <rFont val="標楷體"/>
        <family val="4"/>
        <charset val="136"/>
      </rPr>
      <t>丁線</t>
    </r>
    <r>
      <rPr>
        <sz val="12"/>
        <rFont val="Times New Roman"/>
        <family val="1"/>
      </rPr>
      <t xml:space="preserve"> 39.8K</t>
    </r>
  </si>
  <si>
    <r>
      <rPr>
        <sz val="12"/>
        <rFont val="標楷體"/>
        <family val="4"/>
        <charset val="136"/>
      </rPr>
      <t>武塔村</t>
    </r>
    <phoneticPr fontId="5" type="noConversion"/>
  </si>
  <si>
    <r>
      <t>1007</t>
    </r>
    <r>
      <rPr>
        <sz val="12"/>
        <rFont val="標楷體"/>
        <family val="4"/>
        <charset val="136"/>
      </rPr>
      <t>豪雨</t>
    </r>
    <phoneticPr fontId="5" type="noConversion"/>
  </si>
  <si>
    <r>
      <rPr>
        <sz val="12"/>
        <rFont val="標楷體"/>
        <family val="4"/>
        <charset val="136"/>
      </rPr>
      <t>本災例發生於台</t>
    </r>
    <r>
      <rPr>
        <sz val="12"/>
        <rFont val="Times New Roman"/>
        <family val="1"/>
      </rPr>
      <t xml:space="preserve"> 9 </t>
    </r>
    <r>
      <rPr>
        <sz val="12"/>
        <rFont val="標楷體"/>
        <family val="4"/>
        <charset val="136"/>
      </rPr>
      <t>丁線</t>
    </r>
    <r>
      <rPr>
        <sz val="12"/>
        <rFont val="Times New Roman"/>
        <family val="1"/>
      </rPr>
      <t xml:space="preserve"> 39.8K </t>
    </r>
    <r>
      <rPr>
        <sz val="12"/>
        <rFont val="標楷體"/>
        <family val="4"/>
        <charset val="136"/>
      </rPr>
      <t>武塔至漢本路段，本次因東北季風帶來之地形雨，使邊坡土壤因沖刷後，被帶至下邊坡之道路堆積，道路下邊坡陡峭，並無其他保全對象，本次災害造成道路淤埋約</t>
    </r>
    <r>
      <rPr>
        <sz val="12"/>
        <rFont val="Times New Roman"/>
        <family val="1"/>
      </rPr>
      <t xml:space="preserve"> 50 </t>
    </r>
    <r>
      <rPr>
        <sz val="12"/>
        <rFont val="標楷體"/>
        <family val="4"/>
        <charset val="136"/>
      </rPr>
      <t>公尺；</t>
    </r>
    <r>
      <rPr>
        <sz val="12"/>
        <rFont val="Times New Roman"/>
        <family val="1"/>
      </rPr>
      <t xml:space="preserve">39.9K </t>
    </r>
    <r>
      <rPr>
        <sz val="12"/>
        <rFont val="標楷體"/>
        <family val="4"/>
        <charset val="136"/>
      </rPr>
      <t>則有落石掉落損毀道路護欄約</t>
    </r>
    <r>
      <rPr>
        <sz val="12"/>
        <rFont val="Times New Roman"/>
        <family val="1"/>
      </rPr>
      <t xml:space="preserve"> 5 </t>
    </r>
    <r>
      <rPr>
        <sz val="12"/>
        <rFont val="標楷體"/>
        <family val="4"/>
        <charset val="136"/>
      </rPr>
      <t>公尺。</t>
    </r>
    <phoneticPr fontId="5" type="noConversion"/>
  </si>
  <si>
    <t>111 年 1007 豪雨-花蓮玉里-001</t>
  </si>
  <si>
    <r>
      <rPr>
        <sz val="12"/>
        <rFont val="標楷體"/>
        <family val="4"/>
        <charset val="136"/>
      </rPr>
      <t>赤柯山產業道路</t>
    </r>
    <r>
      <rPr>
        <sz val="12"/>
        <rFont val="Times New Roman"/>
        <family val="1"/>
      </rPr>
      <t xml:space="preserve"> 10.5K</t>
    </r>
  </si>
  <si>
    <r>
      <rPr>
        <sz val="12"/>
        <rFont val="標楷體"/>
        <family val="4"/>
        <charset val="136"/>
      </rPr>
      <t>觀音里</t>
    </r>
    <phoneticPr fontId="5" type="noConversion"/>
  </si>
  <si>
    <r>
      <rPr>
        <sz val="12"/>
        <rFont val="標楷體"/>
        <family val="4"/>
        <charset val="136"/>
      </rPr>
      <t>本災例發生於赤柯山產業道路，因</t>
    </r>
    <r>
      <rPr>
        <sz val="12"/>
        <rFont val="Times New Roman"/>
        <family val="1"/>
      </rPr>
      <t xml:space="preserve"> 0918 </t>
    </r>
    <r>
      <rPr>
        <sz val="12"/>
        <rFont val="標楷體"/>
        <family val="4"/>
        <charset val="136"/>
      </rPr>
      <t>地震，使</t>
    </r>
    <r>
      <rPr>
        <sz val="12"/>
        <rFont val="Times New Roman"/>
        <family val="1"/>
      </rPr>
      <t xml:space="preserve"> 4 </t>
    </r>
    <r>
      <rPr>
        <sz val="12"/>
        <rFont val="標楷體"/>
        <family val="4"/>
        <charset val="136"/>
      </rPr>
      <t>處邊坡土壤因地震力崩落至道路堆積，然</t>
    </r>
    <r>
      <rPr>
        <sz val="12"/>
        <rFont val="Times New Roman"/>
        <family val="1"/>
      </rPr>
      <t xml:space="preserve"> 9/24 </t>
    </r>
    <r>
      <rPr>
        <sz val="12"/>
        <rFont val="標楷體"/>
        <family val="4"/>
        <charset val="136"/>
      </rPr>
      <t>至</t>
    </r>
    <r>
      <rPr>
        <sz val="12"/>
        <rFont val="Times New Roman"/>
        <family val="1"/>
      </rPr>
      <t xml:space="preserve"> 9/26 </t>
    </r>
    <r>
      <rPr>
        <sz val="12"/>
        <rFont val="標楷體"/>
        <family val="4"/>
        <charset val="136"/>
      </rPr>
      <t>連日降雨，造成土體含水量增加進而崩塌，除原崩塌點外，又新增</t>
    </r>
    <r>
      <rPr>
        <sz val="12"/>
        <rFont val="Times New Roman"/>
        <family val="1"/>
      </rPr>
      <t xml:space="preserve"> 7 </t>
    </r>
    <r>
      <rPr>
        <sz val="12"/>
        <rFont val="標楷體"/>
        <family val="4"/>
        <charset val="136"/>
      </rPr>
      <t>處災阻點，而</t>
    </r>
    <r>
      <rPr>
        <sz val="12"/>
        <rFont val="Times New Roman"/>
        <family val="1"/>
      </rPr>
      <t xml:space="preserve"> 1007 </t>
    </r>
    <r>
      <rPr>
        <sz val="12"/>
        <rFont val="標楷體"/>
        <family val="4"/>
        <charset val="136"/>
      </rPr>
      <t>豪雨及尼莎颱風事件，造成部分崩塌點因坡面土壤沖蝕，將不穩定土石沖刷至道路堆積，最終共有</t>
    </r>
    <r>
      <rPr>
        <sz val="12"/>
        <rFont val="Times New Roman"/>
        <family val="1"/>
      </rPr>
      <t xml:space="preserve"> 13 </t>
    </r>
    <r>
      <rPr>
        <sz val="12"/>
        <rFont val="標楷體"/>
        <family val="4"/>
        <charset val="136"/>
      </rPr>
      <t>處災阻點。</t>
    </r>
    <phoneticPr fontId="5" type="noConversion"/>
  </si>
  <si>
    <t>C0Z290</t>
  </si>
  <si>
    <r>
      <rPr>
        <sz val="12"/>
        <rFont val="標楷體"/>
        <family val="4"/>
        <charset val="136"/>
      </rPr>
      <t>赤柯山</t>
    </r>
  </si>
  <si>
    <t>111 年 0801 其他-台中和平-001</t>
  </si>
  <si>
    <r>
      <rPr>
        <sz val="12"/>
        <rFont val="標楷體"/>
        <family val="4"/>
        <charset val="136"/>
      </rPr>
      <t>台</t>
    </r>
    <r>
      <rPr>
        <sz val="12"/>
        <rFont val="Times New Roman"/>
        <family val="1"/>
      </rPr>
      <t xml:space="preserve"> 8 </t>
    </r>
    <r>
      <rPr>
        <sz val="12"/>
        <rFont val="標楷體"/>
        <family val="4"/>
        <charset val="136"/>
      </rPr>
      <t>線</t>
    </r>
    <r>
      <rPr>
        <sz val="12"/>
        <rFont val="Times New Roman"/>
        <family val="1"/>
      </rPr>
      <t xml:space="preserve"> 77K </t>
    </r>
    <r>
      <rPr>
        <sz val="12"/>
        <rFont val="標楷體"/>
        <family val="4"/>
        <charset val="136"/>
      </rPr>
      <t>靈甫橋路段</t>
    </r>
  </si>
  <si>
    <r>
      <rPr>
        <sz val="12"/>
        <rFont val="標楷體"/>
        <family val="4"/>
        <charset val="136"/>
      </rPr>
      <t>和平區</t>
    </r>
    <r>
      <rPr>
        <sz val="12"/>
        <rFont val="Times New Roman"/>
        <family val="1"/>
      </rPr>
      <t xml:space="preserve"> </t>
    </r>
    <phoneticPr fontId="5" type="noConversion"/>
  </si>
  <si>
    <r>
      <rPr>
        <sz val="12"/>
        <color indexed="53"/>
        <rFont val="標楷體"/>
        <family val="4"/>
        <charset val="136"/>
      </rPr>
      <t>梨山里</t>
    </r>
  </si>
  <si>
    <r>
      <rPr>
        <sz val="12"/>
        <rFont val="標楷體"/>
        <family val="4"/>
        <charset val="136"/>
      </rPr>
      <t>本災例發生於台</t>
    </r>
    <r>
      <rPr>
        <sz val="12"/>
        <rFont val="Times New Roman"/>
        <family val="1"/>
      </rPr>
      <t xml:space="preserve"> 8 </t>
    </r>
    <r>
      <rPr>
        <sz val="12"/>
        <rFont val="標楷體"/>
        <family val="4"/>
        <charset val="136"/>
      </rPr>
      <t>線</t>
    </r>
    <r>
      <rPr>
        <sz val="12"/>
        <rFont val="Times New Roman"/>
        <family val="1"/>
      </rPr>
      <t xml:space="preserve"> 77K </t>
    </r>
    <r>
      <rPr>
        <sz val="12"/>
        <rFont val="標楷體"/>
        <family val="4"/>
        <charset val="136"/>
      </rPr>
      <t>靈甫橋路段，邊坡存在明顯坑溝，且曾於</t>
    </r>
    <r>
      <rPr>
        <sz val="12"/>
        <rFont val="Times New Roman"/>
        <family val="1"/>
      </rPr>
      <t xml:space="preserve"> 109 </t>
    </r>
    <r>
      <rPr>
        <sz val="12"/>
        <rFont val="標楷體"/>
        <family val="4"/>
        <charset val="136"/>
      </rPr>
      <t>年</t>
    </r>
    <r>
      <rPr>
        <sz val="12"/>
        <rFont val="Times New Roman"/>
        <family val="1"/>
      </rPr>
      <t xml:space="preserve"> 6 </t>
    </r>
    <r>
      <rPr>
        <sz val="12"/>
        <rFont val="標楷體"/>
        <family val="4"/>
        <charset val="136"/>
      </rPr>
      <t>月</t>
    </r>
    <r>
      <rPr>
        <sz val="12"/>
        <rFont val="Times New Roman"/>
        <family val="1"/>
      </rPr>
      <t xml:space="preserve"> 2</t>
    </r>
    <r>
      <rPr>
        <sz val="12"/>
        <rFont val="標楷體"/>
        <family val="4"/>
        <charset val="136"/>
      </rPr>
      <t>日、</t>
    </r>
    <r>
      <rPr>
        <sz val="12"/>
        <rFont val="Times New Roman"/>
        <family val="1"/>
      </rPr>
      <t xml:space="preserve">110 </t>
    </r>
    <r>
      <rPr>
        <sz val="12"/>
        <rFont val="標楷體"/>
        <family val="4"/>
        <charset val="136"/>
      </rPr>
      <t>年</t>
    </r>
    <r>
      <rPr>
        <sz val="12"/>
        <rFont val="Times New Roman"/>
        <family val="1"/>
      </rPr>
      <t xml:space="preserve"> 8 </t>
    </r>
    <r>
      <rPr>
        <sz val="12"/>
        <rFont val="標楷體"/>
        <family val="4"/>
        <charset val="136"/>
      </rPr>
      <t>月</t>
    </r>
    <r>
      <rPr>
        <sz val="12"/>
        <rFont val="Times New Roman"/>
        <family val="1"/>
      </rPr>
      <t xml:space="preserve"> 6 </t>
    </r>
    <r>
      <rPr>
        <sz val="12"/>
        <rFont val="標楷體"/>
        <family val="4"/>
        <charset val="136"/>
      </rPr>
      <t>日盧碧颱風皆發生崩塌，本次因颱風外圍環流帶來之對流雨，使邊坡土體荷重增加，並造成淺層之土體滑動，崩塌土砂堆積於台八線及靈甫橋，鄰近保全對象除道路及橋樑外，下邊坡約</t>
    </r>
    <r>
      <rPr>
        <sz val="12"/>
        <rFont val="Times New Roman"/>
        <family val="1"/>
      </rPr>
      <t xml:space="preserve"> 150 </t>
    </r>
    <r>
      <rPr>
        <sz val="12"/>
        <rFont val="標楷體"/>
        <family val="4"/>
        <charset val="136"/>
      </rPr>
      <t>公尺有農地存在。</t>
    </r>
    <phoneticPr fontId="5" type="noConversion"/>
  </si>
  <si>
    <t>C0F861</t>
    <phoneticPr fontId="5" type="noConversion"/>
  </si>
  <si>
    <t>111 年 0611 其他-苗栗造橋-001</t>
  </si>
  <si>
    <r>
      <rPr>
        <sz val="12"/>
        <rFont val="標楷體"/>
        <family val="4"/>
        <charset val="136"/>
      </rPr>
      <t>平興村苗</t>
    </r>
    <r>
      <rPr>
        <sz val="12"/>
        <rFont val="Times New Roman"/>
        <family val="1"/>
      </rPr>
      <t xml:space="preserve"> 12 </t>
    </r>
    <r>
      <rPr>
        <sz val="12"/>
        <rFont val="標楷體"/>
        <family val="4"/>
        <charset val="136"/>
      </rPr>
      <t>線</t>
    </r>
    <phoneticPr fontId="5" type="noConversion"/>
  </si>
  <si>
    <r>
      <rPr>
        <sz val="12"/>
        <rFont val="標楷體"/>
        <family val="4"/>
        <charset val="136"/>
      </rPr>
      <t>造橋鄉</t>
    </r>
    <phoneticPr fontId="5" type="noConversion"/>
  </si>
  <si>
    <r>
      <rPr>
        <sz val="12"/>
        <rFont val="標楷體"/>
        <family val="4"/>
        <charset val="136"/>
      </rPr>
      <t>平興村</t>
    </r>
    <phoneticPr fontId="5" type="noConversion"/>
  </si>
  <si>
    <r>
      <rPr>
        <sz val="12"/>
        <rFont val="標楷體"/>
        <family val="4"/>
        <charset val="136"/>
      </rPr>
      <t>本災例發生於平興村苗</t>
    </r>
    <r>
      <rPr>
        <sz val="12"/>
        <rFont val="Times New Roman"/>
        <family val="1"/>
      </rPr>
      <t xml:space="preserve"> 12 </t>
    </r>
    <r>
      <rPr>
        <sz val="12"/>
        <rFont val="標楷體"/>
        <family val="4"/>
        <charset val="136"/>
      </rPr>
      <t>線之道路邊坡，因連日降雨使逕流入滲邊坡，造成土壤含水量上升，土體荷重增加，最終使邊坡產生滑動，而崩塌土體擠壓坡趾之擋土牆，造成擋土牆及道路破壞約</t>
    </r>
    <r>
      <rPr>
        <sz val="12"/>
        <rFont val="Times New Roman"/>
        <family val="1"/>
      </rPr>
      <t xml:space="preserve"> 50 </t>
    </r>
    <r>
      <rPr>
        <sz val="12"/>
        <rFont val="標楷體"/>
        <family val="4"/>
        <charset val="136"/>
      </rPr>
      <t>公尺。</t>
    </r>
    <phoneticPr fontId="5" type="noConversion"/>
  </si>
  <si>
    <t>C0E740</t>
  </si>
  <si>
    <r>
      <rPr>
        <sz val="12"/>
        <rFont val="標楷體"/>
        <family val="4"/>
        <charset val="136"/>
      </rPr>
      <t>造橋</t>
    </r>
  </si>
  <si>
    <t>111 年 0609 其他-新竹寶山鄉-001</t>
  </si>
  <si>
    <r>
      <rPr>
        <sz val="12"/>
        <rFont val="標楷體"/>
        <family val="4"/>
        <charset val="136"/>
      </rPr>
      <t>科環路</t>
    </r>
    <r>
      <rPr>
        <sz val="12"/>
        <rFont val="Times New Roman"/>
        <family val="1"/>
      </rPr>
      <t xml:space="preserve"> 106 </t>
    </r>
    <r>
      <rPr>
        <sz val="12"/>
        <rFont val="標楷體"/>
        <family val="4"/>
        <charset val="136"/>
      </rPr>
      <t>巷之紫軾書院</t>
    </r>
    <phoneticPr fontId="5" type="noConversion"/>
  </si>
  <si>
    <r>
      <rPr>
        <sz val="12"/>
        <color indexed="10"/>
        <rFont val="標楷體"/>
        <family val="4"/>
        <charset val="136"/>
      </rPr>
      <t>新竹縣</t>
    </r>
    <phoneticPr fontId="5" type="noConversion"/>
  </si>
  <si>
    <r>
      <rPr>
        <sz val="12"/>
        <color indexed="10"/>
        <rFont val="標楷體"/>
        <family val="4"/>
        <charset val="136"/>
      </rPr>
      <t>寶山鄉</t>
    </r>
    <phoneticPr fontId="5" type="noConversion"/>
  </si>
  <si>
    <r>
      <rPr>
        <sz val="12"/>
        <rFont val="標楷體"/>
        <family val="4"/>
        <charset val="136"/>
      </rPr>
      <t>大崎村</t>
    </r>
    <phoneticPr fontId="5" type="noConversion"/>
  </si>
  <si>
    <r>
      <rPr>
        <sz val="12"/>
        <color indexed="10"/>
        <rFont val="標楷體"/>
        <family val="4"/>
        <charset val="136"/>
      </rPr>
      <t>其他</t>
    </r>
    <phoneticPr fontId="5" type="noConversion"/>
  </si>
  <si>
    <r>
      <rPr>
        <sz val="12"/>
        <rFont val="標楷體"/>
        <family val="4"/>
        <charset val="136"/>
      </rPr>
      <t>本災例發生於科環路</t>
    </r>
    <r>
      <rPr>
        <sz val="12"/>
        <rFont val="Times New Roman"/>
        <family val="1"/>
      </rPr>
      <t xml:space="preserve"> 106 </t>
    </r>
    <r>
      <rPr>
        <sz val="12"/>
        <rFont val="標楷體"/>
        <family val="4"/>
        <charset val="136"/>
      </rPr>
      <t>巷之紫軾書院下邊坡，因</t>
    </r>
    <r>
      <rPr>
        <sz val="12"/>
        <rFont val="Times New Roman"/>
        <family val="1"/>
      </rPr>
      <t xml:space="preserve"> 5 </t>
    </r>
    <r>
      <rPr>
        <sz val="12"/>
        <rFont val="標楷體"/>
        <family val="4"/>
        <charset val="136"/>
      </rPr>
      <t>月三波梅雨使邊坡含水量上升，土體荷重增加，並造成三次邊坡滑動，第一波梅雨造成道路下邊坡崩塌，第二波致使道路破壞，第三波終造成道路上邊坡滑動，並產生約</t>
    </r>
    <r>
      <rPr>
        <sz val="12"/>
        <rFont val="Times New Roman"/>
        <family val="1"/>
      </rPr>
      <t xml:space="preserve"> 2 </t>
    </r>
    <r>
      <rPr>
        <sz val="12"/>
        <rFont val="標楷體"/>
        <family val="4"/>
        <charset val="136"/>
      </rPr>
      <t>公尺之崩崖，且崩崖距保全對象僅</t>
    </r>
    <r>
      <rPr>
        <sz val="12"/>
        <rFont val="Times New Roman"/>
        <family val="1"/>
      </rPr>
      <t xml:space="preserve"> 10 </t>
    </r>
    <r>
      <rPr>
        <sz val="12"/>
        <rFont val="標楷體"/>
        <family val="4"/>
        <charset val="136"/>
      </rPr>
      <t>公尺，影響周遭</t>
    </r>
    <r>
      <rPr>
        <sz val="12"/>
        <rFont val="Times New Roman"/>
        <family val="1"/>
      </rPr>
      <t xml:space="preserve"> 4 </t>
    </r>
    <r>
      <rPr>
        <sz val="12"/>
        <rFont val="標楷體"/>
        <family val="4"/>
        <charset val="136"/>
      </rPr>
      <t>戶民宅之進出。</t>
    </r>
    <phoneticPr fontId="5" type="noConversion"/>
  </si>
  <si>
    <t>C0D580</t>
    <phoneticPr fontId="5" type="noConversion"/>
  </si>
  <si>
    <t>111 年 0426 其他-花蓮秀林-001</t>
  </si>
  <si>
    <r>
      <rPr>
        <sz val="12"/>
        <rFont val="標楷體"/>
        <family val="4"/>
        <charset val="136"/>
      </rPr>
      <t>台</t>
    </r>
    <r>
      <rPr>
        <sz val="12"/>
        <rFont val="Times New Roman"/>
        <family val="1"/>
      </rPr>
      <t xml:space="preserve"> 8 </t>
    </r>
    <r>
      <rPr>
        <sz val="12"/>
        <rFont val="標楷體"/>
        <family val="4"/>
        <charset val="136"/>
      </rPr>
      <t>線</t>
    </r>
    <r>
      <rPr>
        <sz val="12"/>
        <rFont val="Times New Roman"/>
        <family val="1"/>
      </rPr>
      <t xml:space="preserve"> 117.4K</t>
    </r>
  </si>
  <si>
    <r>
      <rPr>
        <sz val="12"/>
        <rFont val="標楷體"/>
        <family val="4"/>
        <charset val="136"/>
      </rPr>
      <t>富世村</t>
    </r>
    <phoneticPr fontId="5" type="noConversion"/>
  </si>
  <si>
    <r>
      <rPr>
        <sz val="12"/>
        <rFont val="標楷體"/>
        <family val="4"/>
        <charset val="136"/>
      </rPr>
      <t>本災例發生於台</t>
    </r>
    <r>
      <rPr>
        <sz val="12"/>
        <rFont val="Times New Roman"/>
        <family val="1"/>
      </rPr>
      <t xml:space="preserve"> 8 </t>
    </r>
    <r>
      <rPr>
        <sz val="12"/>
        <rFont val="標楷體"/>
        <family val="4"/>
        <charset val="136"/>
      </rPr>
      <t>線</t>
    </r>
    <r>
      <rPr>
        <sz val="12"/>
        <rFont val="Times New Roman"/>
        <family val="1"/>
      </rPr>
      <t xml:space="preserve"> 117.4K</t>
    </r>
    <r>
      <rPr>
        <sz val="12"/>
        <rFont val="標楷體"/>
        <family val="4"/>
        <charset val="136"/>
      </rPr>
      <t>，該路段因地震及降雨事件，已接連於</t>
    </r>
    <r>
      <rPr>
        <sz val="12"/>
        <rFont val="Times New Roman"/>
        <family val="1"/>
      </rPr>
      <t xml:space="preserve"> 2022/3/7</t>
    </r>
    <r>
      <rPr>
        <sz val="12"/>
        <rFont val="標楷體"/>
        <family val="4"/>
        <charset val="136"/>
      </rPr>
      <t>、</t>
    </r>
    <r>
      <rPr>
        <sz val="12"/>
        <rFont val="Times New Roman"/>
        <family val="1"/>
      </rPr>
      <t>2022/3/22</t>
    </r>
    <r>
      <rPr>
        <sz val="12"/>
        <rFont val="標楷體"/>
        <family val="4"/>
        <charset val="136"/>
      </rPr>
      <t>、</t>
    </r>
    <r>
      <rPr>
        <sz val="12"/>
        <rFont val="Times New Roman"/>
        <family val="1"/>
      </rPr>
      <t>2022/4/3</t>
    </r>
    <r>
      <rPr>
        <sz val="12"/>
        <rFont val="標楷體"/>
        <family val="4"/>
        <charset val="136"/>
      </rPr>
      <t>、</t>
    </r>
    <r>
      <rPr>
        <sz val="12"/>
        <rFont val="Times New Roman"/>
        <family val="1"/>
      </rPr>
      <t>2022/4/6</t>
    </r>
    <r>
      <rPr>
        <sz val="12"/>
        <rFont val="標楷體"/>
        <family val="4"/>
        <charset val="136"/>
      </rPr>
      <t>、</t>
    </r>
    <r>
      <rPr>
        <sz val="12"/>
        <rFont val="Times New Roman"/>
        <family val="1"/>
      </rPr>
      <t xml:space="preserve">2022/4/21 </t>
    </r>
    <r>
      <rPr>
        <sz val="12"/>
        <rFont val="標楷體"/>
        <family val="4"/>
        <charset val="136"/>
      </rPr>
      <t>發生多次小型崩塌，最終於</t>
    </r>
    <r>
      <rPr>
        <sz val="12"/>
        <rFont val="Times New Roman"/>
        <family val="1"/>
      </rPr>
      <t xml:space="preserve"> 4 </t>
    </r>
    <r>
      <rPr>
        <sz val="12"/>
        <rFont val="標楷體"/>
        <family val="4"/>
        <charset val="136"/>
      </rPr>
      <t>月</t>
    </r>
    <r>
      <rPr>
        <sz val="12"/>
        <rFont val="Times New Roman"/>
        <family val="1"/>
      </rPr>
      <t xml:space="preserve"> 26 </t>
    </r>
    <r>
      <rPr>
        <sz val="12"/>
        <rFont val="標楷體"/>
        <family val="4"/>
        <charset val="136"/>
      </rPr>
      <t>日凌晨發生大規模崩塌，大量土砂崩落掩埋既有道路及明隧道，道路上邊坡仍有危木及土砂堆積，須持續觀察其滑動情形；崩塌後未發生強降雨，土砂仍堆積於邊坡及立霧溪河道上，目前無堰塞湖產生。</t>
    </r>
    <phoneticPr fontId="5" type="noConversion"/>
  </si>
  <si>
    <r>
      <rPr>
        <sz val="12"/>
        <rFont val="標楷體"/>
        <family val="4"/>
        <charset val="136"/>
      </rPr>
      <t>崩塌</t>
    </r>
    <r>
      <rPr>
        <sz val="12"/>
        <rFont val="Times New Roman"/>
        <family val="1"/>
      </rPr>
      <t>(</t>
    </r>
    <r>
      <rPr>
        <sz val="12"/>
        <rFont val="標楷體"/>
        <family val="4"/>
        <charset val="136"/>
      </rPr>
      <t>山崩、土石流</t>
    </r>
    <r>
      <rPr>
        <sz val="12"/>
        <rFont val="Times New Roman"/>
        <family val="1"/>
      </rPr>
      <t>)</t>
    </r>
    <phoneticPr fontId="5" type="noConversion"/>
  </si>
  <si>
    <t>111 年 0423 其他-台東太麻里-001</t>
  </si>
  <si>
    <r>
      <rPr>
        <sz val="12"/>
        <rFont val="標楷體"/>
        <family val="4"/>
        <charset val="136"/>
      </rPr>
      <t>台</t>
    </r>
    <r>
      <rPr>
        <sz val="12"/>
        <rFont val="Times New Roman"/>
        <family val="1"/>
      </rPr>
      <t xml:space="preserve"> 9 </t>
    </r>
    <r>
      <rPr>
        <sz val="12"/>
        <rFont val="標楷體"/>
        <family val="4"/>
        <charset val="136"/>
      </rPr>
      <t>線</t>
    </r>
    <r>
      <rPr>
        <sz val="12"/>
        <rFont val="Times New Roman"/>
        <family val="1"/>
      </rPr>
      <t xml:space="preserve"> 400K+500</t>
    </r>
    <phoneticPr fontId="5" type="noConversion"/>
  </si>
  <si>
    <r>
      <rPr>
        <sz val="12"/>
        <rFont val="標楷體"/>
        <family val="4"/>
        <charset val="136"/>
      </rPr>
      <t>多良村</t>
    </r>
    <phoneticPr fontId="5" type="noConversion"/>
  </si>
  <si>
    <r>
      <rPr>
        <sz val="12"/>
        <rFont val="標楷體"/>
        <family val="4"/>
        <charset val="136"/>
      </rPr>
      <t>本災例發生於台</t>
    </r>
    <r>
      <rPr>
        <sz val="12"/>
        <rFont val="Times New Roman"/>
        <family val="1"/>
      </rPr>
      <t xml:space="preserve"> 9 </t>
    </r>
    <r>
      <rPr>
        <sz val="12"/>
        <rFont val="標楷體"/>
        <family val="4"/>
        <charset val="136"/>
      </rPr>
      <t>線</t>
    </r>
    <r>
      <rPr>
        <sz val="12"/>
        <rFont val="Times New Roman"/>
        <family val="1"/>
      </rPr>
      <t xml:space="preserve"> 400K+500 </t>
    </r>
    <r>
      <rPr>
        <sz val="12"/>
        <rFont val="標楷體"/>
        <family val="4"/>
        <charset val="136"/>
      </rPr>
      <t>之多良車站旁，因熱對流雨帶來之短延時強降雨，造成大量逕流集中沖刷道路下邊坡導致崩塌，土砂從野溪流出至多良產業道路，並順流而下堆積於多良產業道路及台九線，阻塞沿線道路之排水溝。</t>
    </r>
    <phoneticPr fontId="5" type="noConversion"/>
  </si>
  <si>
    <t>C0S790</t>
    <phoneticPr fontId="5" type="noConversion"/>
  </si>
  <si>
    <r>
      <rPr>
        <sz val="12"/>
        <rFont val="標楷體"/>
        <family val="4"/>
        <charset val="136"/>
      </rPr>
      <t>金崙</t>
    </r>
    <phoneticPr fontId="5" type="noConversion"/>
  </si>
  <si>
    <t>111 年 0328 其他-苗栗頭屋-001</t>
  </si>
  <si>
    <r>
      <rPr>
        <sz val="12"/>
        <rFont val="標楷體"/>
        <family val="4"/>
        <charset val="136"/>
      </rPr>
      <t>苗</t>
    </r>
    <r>
      <rPr>
        <sz val="12"/>
        <rFont val="Times New Roman"/>
        <family val="1"/>
      </rPr>
      <t xml:space="preserve"> 126 </t>
    </r>
    <r>
      <rPr>
        <sz val="12"/>
        <rFont val="標楷體"/>
        <family val="4"/>
        <charset val="136"/>
      </rPr>
      <t>線</t>
    </r>
    <r>
      <rPr>
        <sz val="12"/>
        <rFont val="Times New Roman"/>
        <family val="1"/>
      </rPr>
      <t xml:space="preserve"> 26.1K</t>
    </r>
    <phoneticPr fontId="5" type="noConversion"/>
  </si>
  <si>
    <r>
      <rPr>
        <sz val="12"/>
        <rFont val="標楷體"/>
        <family val="4"/>
        <charset val="136"/>
      </rPr>
      <t>苗</t>
    </r>
    <r>
      <rPr>
        <sz val="12"/>
        <rFont val="Times New Roman"/>
        <family val="1"/>
      </rPr>
      <t xml:space="preserve"> 126 </t>
    </r>
    <r>
      <rPr>
        <sz val="12"/>
        <rFont val="標楷體"/>
        <family val="4"/>
        <charset val="136"/>
      </rPr>
      <t>線</t>
    </r>
    <r>
      <rPr>
        <sz val="12"/>
        <rFont val="Times New Roman"/>
        <family val="1"/>
      </rPr>
      <t xml:space="preserve"> 26.1K </t>
    </r>
    <r>
      <rPr>
        <sz val="12"/>
        <rFont val="標楷體"/>
        <family val="4"/>
        <charset val="136"/>
      </rPr>
      <t>崩塌處因連日豪雨沖刷坡面，導致邊坡土石滑落，並使土砂堆積於道路。</t>
    </r>
    <phoneticPr fontId="5" type="noConversion"/>
  </si>
  <si>
    <t>C0E550</t>
    <phoneticPr fontId="5" type="noConversion"/>
  </si>
  <si>
    <t>111 年 0323 其他-基隆信義-001</t>
  </si>
  <si>
    <r>
      <rPr>
        <sz val="12"/>
        <rFont val="標楷體"/>
        <family val="4"/>
        <charset val="136"/>
      </rPr>
      <t>槓子寮路資源回收場</t>
    </r>
  </si>
  <si>
    <r>
      <rPr>
        <sz val="12"/>
        <rFont val="標楷體"/>
        <family val="4"/>
        <charset val="136"/>
      </rPr>
      <t>孝忠里</t>
    </r>
    <phoneticPr fontId="5" type="noConversion"/>
  </si>
  <si>
    <r>
      <rPr>
        <sz val="12"/>
        <rFont val="標楷體"/>
        <family val="4"/>
        <charset val="136"/>
      </rPr>
      <t>本災例發生於槓子寮路之資源回收場，因基隆地區連續約</t>
    </r>
    <r>
      <rPr>
        <sz val="12"/>
        <rFont val="Times New Roman"/>
        <family val="1"/>
      </rPr>
      <t xml:space="preserve"> 20 </t>
    </r>
    <r>
      <rPr>
        <sz val="12"/>
        <rFont val="標楷體"/>
        <family val="4"/>
        <charset val="136"/>
      </rPr>
      <t>日降雨，大量雨水入滲邊坡，土壤含水量上升使土體荷重增加，終造成大量土砂崩落，土砂沿地形坑溝而下，最終堆積於坑溝及下方之教忠公園。</t>
    </r>
    <phoneticPr fontId="5" type="noConversion"/>
  </si>
  <si>
    <r>
      <rPr>
        <sz val="12"/>
        <rFont val="標楷體"/>
        <family val="4"/>
        <charset val="136"/>
      </rPr>
      <t>土石流</t>
    </r>
    <r>
      <rPr>
        <sz val="12"/>
        <rFont val="Times New Roman"/>
        <family val="1"/>
      </rPr>
      <t xml:space="preserve"> </t>
    </r>
    <r>
      <rPr>
        <sz val="12"/>
        <rFont val="標楷體"/>
        <family val="4"/>
        <charset val="136"/>
      </rPr>
      <t>、崩塌</t>
    </r>
    <r>
      <rPr>
        <sz val="12"/>
        <rFont val="Times New Roman"/>
        <family val="1"/>
      </rPr>
      <t xml:space="preserve"> (</t>
    </r>
    <r>
      <rPr>
        <sz val="12"/>
        <rFont val="標楷體"/>
        <family val="4"/>
        <charset val="136"/>
      </rPr>
      <t>沖蝕</t>
    </r>
    <r>
      <rPr>
        <sz val="12"/>
        <rFont val="Times New Roman"/>
        <family val="1"/>
      </rPr>
      <t xml:space="preserve"> )</t>
    </r>
  </si>
  <si>
    <t>112 年卡努颱風-南投仁愛-001</t>
  </si>
  <si>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 xml:space="preserve"> 49K</t>
    </r>
  </si>
  <si>
    <r>
      <rPr>
        <sz val="12"/>
        <rFont val="標楷體"/>
        <family val="4"/>
        <charset val="136"/>
      </rPr>
      <t>卡努颱風</t>
    </r>
    <phoneticPr fontId="5" type="noConversion"/>
  </si>
  <si>
    <r>
      <rPr>
        <sz val="12"/>
        <rFont val="標楷體"/>
        <family val="4"/>
        <charset val="136"/>
      </rPr>
      <t>投</t>
    </r>
    <r>
      <rPr>
        <sz val="12"/>
        <rFont val="Times New Roman"/>
        <family val="1"/>
      </rPr>
      <t xml:space="preserve"> 89 </t>
    </r>
    <r>
      <rPr>
        <sz val="12"/>
        <rFont val="標楷體"/>
        <family val="4"/>
        <charset val="136"/>
      </rPr>
      <t>線</t>
    </r>
    <r>
      <rPr>
        <sz val="12"/>
        <rFont val="Times New Roman"/>
        <family val="1"/>
      </rPr>
      <t xml:space="preserve"> 49K 49K 49K </t>
    </r>
    <r>
      <rPr>
        <sz val="12"/>
        <rFont val="標楷體"/>
        <family val="4"/>
        <charset val="136"/>
      </rPr>
      <t>因卡努颱風</t>
    </r>
    <r>
      <rPr>
        <sz val="12"/>
        <rFont val="Times New Roman"/>
        <family val="1"/>
      </rPr>
      <t xml:space="preserve"> </t>
    </r>
    <r>
      <rPr>
        <sz val="12"/>
        <rFont val="標楷體"/>
        <family val="4"/>
        <charset val="136"/>
      </rPr>
      <t>卡努颱風</t>
    </r>
    <r>
      <rPr>
        <sz val="12"/>
        <rFont val="Times New Roman"/>
        <family val="1"/>
      </rPr>
      <t xml:space="preserve"> </t>
    </r>
    <r>
      <rPr>
        <sz val="12"/>
        <rFont val="標楷體"/>
        <family val="4"/>
        <charset val="136"/>
      </rPr>
      <t>引進</t>
    </r>
    <r>
      <rPr>
        <sz val="12"/>
        <rFont val="Times New Roman"/>
        <family val="1"/>
      </rPr>
      <t xml:space="preserve"> </t>
    </r>
    <r>
      <rPr>
        <sz val="12"/>
        <rFont val="標楷體"/>
        <family val="4"/>
        <charset val="136"/>
      </rPr>
      <t>之西南</t>
    </r>
    <r>
      <rPr>
        <sz val="12"/>
        <rFont val="Times New Roman"/>
        <family val="1"/>
      </rPr>
      <t xml:space="preserve"> </t>
    </r>
    <r>
      <rPr>
        <sz val="12"/>
        <rFont val="標楷體"/>
        <family val="4"/>
        <charset val="136"/>
      </rPr>
      <t>風帶來</t>
    </r>
    <r>
      <rPr>
        <sz val="12"/>
        <rFont val="Times New Roman"/>
        <family val="1"/>
      </rPr>
      <t xml:space="preserve"> </t>
    </r>
    <r>
      <rPr>
        <sz val="12"/>
        <rFont val="標楷體"/>
        <family val="4"/>
        <charset val="136"/>
      </rPr>
      <t>強降雨，致使</t>
    </r>
    <r>
      <rPr>
        <sz val="12"/>
        <rFont val="Times New Roman"/>
        <family val="1"/>
      </rPr>
      <t xml:space="preserve"> </t>
    </r>
    <r>
      <rPr>
        <sz val="12"/>
        <rFont val="標楷體"/>
        <family val="4"/>
        <charset val="136"/>
      </rPr>
      <t>強降雨，致使</t>
    </r>
    <r>
      <rPr>
        <sz val="12"/>
        <rFont val="Times New Roman"/>
        <family val="1"/>
      </rPr>
      <t xml:space="preserve"> </t>
    </r>
    <r>
      <rPr>
        <sz val="12"/>
        <rFont val="標楷體"/>
        <family val="4"/>
        <charset val="136"/>
      </rPr>
      <t>強降雨，致使</t>
    </r>
    <r>
      <rPr>
        <sz val="12"/>
        <rFont val="Times New Roman"/>
        <family val="1"/>
      </rPr>
      <t xml:space="preserve"> </t>
    </r>
    <r>
      <rPr>
        <sz val="12"/>
        <rFont val="標楷體"/>
        <family val="4"/>
        <charset val="136"/>
      </rPr>
      <t>土石流</t>
    </r>
    <r>
      <rPr>
        <sz val="12"/>
        <rFont val="Times New Roman"/>
        <family val="1"/>
      </rPr>
      <t xml:space="preserve"> </t>
    </r>
    <r>
      <rPr>
        <sz val="12"/>
        <rFont val="標楷體"/>
        <family val="4"/>
        <charset val="136"/>
      </rPr>
      <t>發生，大量土砂</t>
    </r>
    <r>
      <rPr>
        <sz val="12"/>
        <rFont val="Times New Roman"/>
        <family val="1"/>
      </rPr>
      <t xml:space="preserve"> </t>
    </r>
    <r>
      <rPr>
        <sz val="12"/>
        <rFont val="標楷體"/>
        <family val="4"/>
        <charset val="136"/>
      </rPr>
      <t>發生，大量土砂</t>
    </r>
    <r>
      <rPr>
        <sz val="12"/>
        <rFont val="Times New Roman"/>
        <family val="1"/>
      </rPr>
      <t xml:space="preserve"> </t>
    </r>
    <r>
      <rPr>
        <sz val="12"/>
        <rFont val="標楷體"/>
        <family val="4"/>
        <charset val="136"/>
      </rPr>
      <t>發生，大量土砂</t>
    </r>
    <r>
      <rPr>
        <sz val="12"/>
        <rFont val="Times New Roman"/>
        <family val="1"/>
      </rPr>
      <t xml:space="preserve"> </t>
    </r>
    <r>
      <rPr>
        <sz val="12"/>
        <rFont val="標楷體"/>
        <family val="4"/>
        <charset val="136"/>
      </rPr>
      <t>堆</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積於道路阻礙車輛通行，坑溝逕流漫面</t>
    </r>
    <r>
      <rPr>
        <sz val="12"/>
        <rFont val="Times New Roman"/>
        <family val="1"/>
      </rPr>
      <t xml:space="preserve"> </t>
    </r>
    <r>
      <rPr>
        <sz val="12"/>
        <rFont val="標楷體"/>
        <family val="4"/>
        <charset val="136"/>
      </rPr>
      <t>，而道路基礎受逕流淘刷並產生</t>
    </r>
    <r>
      <rPr>
        <sz val="12"/>
        <rFont val="Times New Roman"/>
        <family val="1"/>
      </rPr>
      <t xml:space="preserve"> </t>
    </r>
    <r>
      <rPr>
        <sz val="12"/>
        <rFont val="標楷體"/>
        <family val="4"/>
        <charset val="136"/>
      </rPr>
      <t>，而道路基礎受逕流淘刷並產生</t>
    </r>
    <r>
      <rPr>
        <sz val="12"/>
        <rFont val="Times New Roman"/>
        <family val="1"/>
      </rPr>
      <t xml:space="preserve"> </t>
    </r>
    <r>
      <rPr>
        <sz val="12"/>
        <rFont val="標楷體"/>
        <family val="4"/>
        <charset val="136"/>
      </rPr>
      <t>，而道路基礎受逕流淘刷並產生</t>
    </r>
    <r>
      <rPr>
        <sz val="12"/>
        <rFont val="Times New Roman"/>
        <family val="1"/>
      </rPr>
      <t xml:space="preserve"> </t>
    </r>
    <r>
      <rPr>
        <sz val="12"/>
        <rFont val="標楷體"/>
        <family val="4"/>
        <charset val="136"/>
      </rPr>
      <t>，而道路基礎受逕流淘刷並產生</t>
    </r>
    <r>
      <rPr>
        <sz val="12"/>
        <rFont val="Times New Roman"/>
        <family val="1"/>
      </rPr>
      <t xml:space="preserve"> </t>
    </r>
    <r>
      <rPr>
        <sz val="12"/>
        <rFont val="標楷體"/>
        <family val="4"/>
        <charset val="136"/>
      </rPr>
      <t>，而道路基礎受逕流淘刷並產生</t>
    </r>
    <r>
      <rPr>
        <sz val="12"/>
        <rFont val="Times New Roman"/>
        <family val="1"/>
      </rPr>
      <t xml:space="preserve"> </t>
    </r>
    <r>
      <rPr>
        <sz val="12"/>
        <rFont val="標楷體"/>
        <family val="4"/>
        <charset val="136"/>
      </rPr>
      <t>，而道路基礎受逕流淘刷並產生崩塌</t>
    </r>
    <r>
      <rPr>
        <sz val="12"/>
        <rFont val="Times New Roman"/>
        <family val="1"/>
      </rPr>
      <t xml:space="preserve"> </t>
    </r>
    <r>
      <rPr>
        <sz val="12"/>
        <rFont val="標楷體"/>
        <family val="4"/>
        <charset val="136"/>
      </rPr>
      <t>。</t>
    </r>
    <phoneticPr fontId="5" type="noConversion"/>
  </si>
  <si>
    <t>C1I430</t>
    <phoneticPr fontId="5" type="noConversion"/>
  </si>
  <si>
    <r>
      <rPr>
        <sz val="12"/>
        <rFont val="標楷體"/>
        <family val="4"/>
        <charset val="136"/>
      </rPr>
      <t>梅峰</t>
    </r>
    <phoneticPr fontId="5" type="noConversion"/>
  </si>
  <si>
    <t>112 年卡努颱風-南投仁愛-002</t>
  </si>
  <si>
    <r>
      <rPr>
        <sz val="12"/>
        <rFont val="標楷體"/>
        <family val="4"/>
        <charset val="136"/>
      </rPr>
      <t>廬山麗來飯店</t>
    </r>
    <r>
      <rPr>
        <sz val="12"/>
        <rFont val="細明體"/>
        <family val="3"/>
        <charset val="136"/>
      </rPr>
      <t/>
    </r>
    <phoneticPr fontId="5" type="noConversion"/>
  </si>
  <si>
    <r>
      <rPr>
        <sz val="12"/>
        <rFont val="標楷體"/>
        <family val="4"/>
        <charset val="136"/>
      </rPr>
      <t>因卡努颱風引進</t>
    </r>
    <r>
      <rPr>
        <sz val="12"/>
        <rFont val="Times New Roman"/>
        <family val="1"/>
      </rPr>
      <t xml:space="preserve"> </t>
    </r>
    <r>
      <rPr>
        <sz val="12"/>
        <rFont val="標楷體"/>
        <family val="4"/>
        <charset val="136"/>
      </rPr>
      <t>之西南風帶來強降雨，造成廬山麗來飯店後方地基流失，崩塌土砂沿排水溝</t>
    </r>
    <r>
      <rPr>
        <sz val="12"/>
        <rFont val="Times New Roman"/>
        <family val="1"/>
      </rPr>
      <t xml:space="preserve"> </t>
    </r>
    <r>
      <rPr>
        <sz val="12"/>
        <rFont val="標楷體"/>
        <family val="4"/>
        <charset val="136"/>
      </rPr>
      <t>流下，並堆積於流下塔羅灣溪右岸，目前既有構造物</t>
    </r>
    <r>
      <rPr>
        <sz val="12"/>
        <rFont val="Times New Roman"/>
        <family val="1"/>
      </rPr>
      <t>(</t>
    </r>
    <r>
      <rPr>
        <sz val="12"/>
        <rFont val="標楷體"/>
        <family val="4"/>
        <charset val="136"/>
      </rPr>
      <t>排水溝</t>
    </r>
    <r>
      <rPr>
        <sz val="12"/>
        <rFont val="Times New Roman"/>
        <family val="1"/>
      </rPr>
      <t xml:space="preserve"> </t>
    </r>
    <r>
      <rPr>
        <sz val="12"/>
        <rFont val="標楷體"/>
        <family val="4"/>
        <charset val="136"/>
      </rPr>
      <t>排水溝</t>
    </r>
    <r>
      <rPr>
        <sz val="12"/>
        <rFont val="Times New Roman"/>
        <family val="1"/>
      </rPr>
      <t xml:space="preserve"> )</t>
    </r>
    <r>
      <rPr>
        <sz val="12"/>
        <rFont val="標楷體"/>
        <family val="4"/>
        <charset val="136"/>
      </rPr>
      <t>並未破壞，</t>
    </r>
    <r>
      <rPr>
        <sz val="12"/>
        <rFont val="Times New Roman"/>
        <family val="1"/>
      </rPr>
      <t xml:space="preserve"> </t>
    </r>
    <r>
      <rPr>
        <sz val="12"/>
        <rFont val="標楷體"/>
        <family val="4"/>
        <charset val="136"/>
      </rPr>
      <t>崩塌地坡頂初步以帆布覆蓋，防止坡面沖刷致使地基持續流失。</t>
    </r>
    <phoneticPr fontId="5" type="noConversion"/>
  </si>
  <si>
    <t>112 年卡努颱風-南投仁愛-003</t>
  </si>
  <si>
    <r>
      <rPr>
        <sz val="12"/>
        <rFont val="標楷體"/>
        <family val="4"/>
        <charset val="136"/>
      </rPr>
      <t>臺</t>
    </r>
    <r>
      <rPr>
        <sz val="12"/>
        <rFont val="Times New Roman"/>
        <family val="1"/>
      </rPr>
      <t>14</t>
    </r>
    <r>
      <rPr>
        <sz val="12"/>
        <rFont val="標楷體"/>
        <family val="4"/>
        <charset val="136"/>
      </rPr>
      <t>線</t>
    </r>
    <r>
      <rPr>
        <sz val="12"/>
        <rFont val="Times New Roman"/>
        <family val="1"/>
      </rPr>
      <t>69.4K</t>
    </r>
    <phoneticPr fontId="5" type="noConversion"/>
  </si>
  <si>
    <r>
      <rPr>
        <sz val="12"/>
        <rFont val="標楷體"/>
        <family val="4"/>
        <charset val="136"/>
      </rPr>
      <t>投縣</t>
    </r>
    <r>
      <rPr>
        <sz val="12"/>
        <rFont val="Times New Roman"/>
        <family val="1"/>
      </rPr>
      <t>DF018</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</si>
  <si>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69.4K </t>
    </r>
    <r>
      <rPr>
        <sz val="12"/>
        <rFont val="標楷體"/>
        <family val="4"/>
        <charset val="136"/>
      </rPr>
      <t>因卡努颱風引進之西南風帶來強降雨，造成投縣</t>
    </r>
    <r>
      <rPr>
        <sz val="12"/>
        <rFont val="Times New Roman"/>
        <family val="1"/>
      </rPr>
      <t xml:space="preserve"> DF018 </t>
    </r>
    <r>
      <rPr>
        <sz val="12"/>
        <rFont val="標楷體"/>
        <family val="4"/>
        <charset val="136"/>
      </rPr>
      <t>及相鄰坑溝發生土石流，堆積區共兩處，包含左側農地之坑溝溢流點</t>
    </r>
    <r>
      <rPr>
        <sz val="12"/>
        <rFont val="Times New Roman"/>
        <family val="1"/>
      </rPr>
      <t xml:space="preserve">(1 </t>
    </r>
    <r>
      <rPr>
        <sz val="12"/>
        <rFont val="標楷體"/>
        <family val="4"/>
        <charset val="136"/>
      </rPr>
      <t>號堆積區</t>
    </r>
    <r>
      <rPr>
        <sz val="12"/>
        <rFont val="Times New Roman"/>
        <family val="1"/>
      </rPr>
      <t>)</t>
    </r>
    <r>
      <rPr>
        <sz val="12"/>
        <rFont val="標楷體"/>
        <family val="4"/>
        <charset val="136"/>
      </rPr>
      <t>，及投縣</t>
    </r>
    <r>
      <rPr>
        <sz val="12"/>
        <rFont val="Times New Roman"/>
        <family val="1"/>
      </rPr>
      <t xml:space="preserve"> DF018 </t>
    </r>
    <r>
      <rPr>
        <sz val="12"/>
        <rFont val="標楷體"/>
        <family val="4"/>
        <charset val="136"/>
      </rPr>
      <t>與臺</t>
    </r>
    <r>
      <rPr>
        <sz val="12"/>
        <rFont val="Times New Roman"/>
        <family val="1"/>
      </rPr>
      <t xml:space="preserve"> 14 </t>
    </r>
    <r>
      <rPr>
        <sz val="12"/>
        <rFont val="標楷體"/>
        <family val="4"/>
        <charset val="136"/>
      </rPr>
      <t>線相交處</t>
    </r>
    <r>
      <rPr>
        <sz val="12"/>
        <rFont val="Times New Roman"/>
        <family val="1"/>
      </rPr>
      <t xml:space="preserve">(2 </t>
    </r>
    <r>
      <rPr>
        <sz val="12"/>
        <rFont val="標楷體"/>
        <family val="4"/>
        <charset val="136"/>
      </rPr>
      <t>號堆積區</t>
    </r>
    <r>
      <rPr>
        <sz val="12"/>
        <rFont val="Times New Roman"/>
        <family val="1"/>
      </rPr>
      <t>)</t>
    </r>
    <r>
      <rPr>
        <sz val="12"/>
        <rFont val="標楷體"/>
        <family val="4"/>
        <charset val="136"/>
      </rPr>
      <t>；</t>
    </r>
    <r>
      <rPr>
        <sz val="12"/>
        <rFont val="Times New Roman"/>
        <family val="1"/>
      </rPr>
      <t xml:space="preserve">1 </t>
    </r>
    <r>
      <rPr>
        <sz val="12"/>
        <rFont val="標楷體"/>
        <family val="4"/>
        <charset val="136"/>
      </rPr>
      <t>號堆積區造成農地沖蝕坑溝寬度約</t>
    </r>
    <r>
      <rPr>
        <sz val="12"/>
        <rFont val="Times New Roman"/>
        <family val="1"/>
      </rPr>
      <t xml:space="preserve"> 2 </t>
    </r>
    <r>
      <rPr>
        <sz val="12"/>
        <rFont val="標楷體"/>
        <family val="4"/>
        <charset val="136"/>
      </rPr>
      <t>公尺，</t>
    </r>
    <r>
      <rPr>
        <sz val="12"/>
        <rFont val="Times New Roman"/>
        <family val="1"/>
      </rPr>
      <t xml:space="preserve">2 </t>
    </r>
    <r>
      <rPr>
        <sz val="12"/>
        <rFont val="標楷體"/>
        <family val="4"/>
        <charset val="136"/>
      </rPr>
      <t>號堆積區則造成投縣</t>
    </r>
    <r>
      <rPr>
        <sz val="12"/>
        <rFont val="Times New Roman"/>
        <family val="1"/>
      </rPr>
      <t xml:space="preserve"> DF018 </t>
    </r>
    <r>
      <rPr>
        <sz val="12"/>
        <rFont val="標楷體"/>
        <family val="4"/>
        <charset val="136"/>
      </rPr>
      <t>出口之河道淤積，空拍上游無明顯崩塌發生，其土砂來源初判為河道沖刷，目前道路尚可通行，土砂堆積於道路兩側及路邊溝，逕流漫流路面。</t>
    </r>
    <phoneticPr fontId="5" type="noConversion"/>
  </si>
  <si>
    <t>88H890</t>
    <phoneticPr fontId="5" type="noConversion"/>
  </si>
  <si>
    <r>
      <rPr>
        <sz val="12"/>
        <rFont val="標楷體"/>
        <family val="4"/>
        <charset val="136"/>
      </rPr>
      <t>南豐</t>
    </r>
    <phoneticPr fontId="5" type="noConversion"/>
  </si>
  <si>
    <r>
      <rPr>
        <sz val="12"/>
        <rFont val="標楷體"/>
        <family val="4"/>
        <charset val="136"/>
      </rPr>
      <t>楓樹林站故障</t>
    </r>
    <phoneticPr fontId="5" type="noConversion"/>
  </si>
  <si>
    <t>112 年卡努颱風-南投仁愛-004</t>
  </si>
  <si>
    <r>
      <rPr>
        <sz val="12"/>
        <rFont val="標楷體"/>
        <family val="4"/>
        <charset val="136"/>
      </rPr>
      <t>臺</t>
    </r>
    <r>
      <rPr>
        <sz val="12"/>
        <rFont val="Times New Roman"/>
        <family val="1"/>
      </rPr>
      <t>14</t>
    </r>
    <r>
      <rPr>
        <sz val="12"/>
        <rFont val="標楷體"/>
        <family val="4"/>
        <charset val="136"/>
      </rPr>
      <t>線</t>
    </r>
    <r>
      <rPr>
        <sz val="12"/>
        <rFont val="Times New Roman"/>
        <family val="1"/>
      </rPr>
      <t>71K</t>
    </r>
    <r>
      <rPr>
        <sz val="12"/>
        <rFont val="標楷體"/>
        <family val="4"/>
        <charset val="136"/>
      </rPr>
      <t>聖本篤加油站</t>
    </r>
    <phoneticPr fontId="5" type="noConversion"/>
  </si>
  <si>
    <r>
      <rPr>
        <sz val="12"/>
        <rFont val="標楷體"/>
        <family val="4"/>
        <charset val="136"/>
      </rPr>
      <t>投縣</t>
    </r>
    <r>
      <rPr>
        <sz val="12"/>
        <rFont val="Times New Roman"/>
        <family val="1"/>
      </rPr>
      <t>DF013</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</si>
  <si>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71K </t>
    </r>
    <r>
      <rPr>
        <sz val="12"/>
        <rFont val="標楷體"/>
        <family val="4"/>
        <charset val="136"/>
      </rPr>
      <t>之聖本篤加油站，因卡努颱風引進之西南風帶來強降雨，造成投縣</t>
    </r>
    <r>
      <rPr>
        <sz val="12"/>
        <rFont val="Times New Roman"/>
        <family val="1"/>
      </rPr>
      <t xml:space="preserve"> DF013</t>
    </r>
    <r>
      <rPr>
        <sz val="12"/>
        <rFont val="標楷體"/>
        <family val="4"/>
        <charset val="136"/>
      </rPr>
      <t>發生土石流，加油站後方野溪遭土石流沖刷兩岸，土砂掩埋加油站及部分便利商店，並往臺</t>
    </r>
    <r>
      <rPr>
        <sz val="12"/>
        <rFont val="Times New Roman"/>
        <family val="1"/>
      </rPr>
      <t xml:space="preserve"> 14 </t>
    </r>
    <r>
      <rPr>
        <sz val="12"/>
        <rFont val="標楷體"/>
        <family val="4"/>
        <charset val="136"/>
      </rPr>
      <t>線往兩側漫延堆積，空拍上游無明顯崩塌發生，土砂來源初判為河道刷深所致，河道既有橫向構造物未遭嚴重破壞，但河床淤積嚴重。</t>
    </r>
    <phoneticPr fontId="5" type="noConversion"/>
  </si>
  <si>
    <r>
      <rPr>
        <sz val="12"/>
        <rFont val="標楷體"/>
        <family val="4"/>
        <charset val="136"/>
      </rPr>
      <t>崩塌</t>
    </r>
    <r>
      <rPr>
        <sz val="12"/>
        <rFont val="Times New Roman"/>
        <family val="1"/>
      </rPr>
      <t>(</t>
    </r>
    <r>
      <rPr>
        <sz val="12"/>
        <rFont val="標楷體"/>
        <family val="4"/>
        <charset val="136"/>
      </rPr>
      <t>山崩、沖蝕</t>
    </r>
    <r>
      <rPr>
        <sz val="12"/>
        <rFont val="Times New Roman"/>
        <family val="1"/>
      </rPr>
      <t>)</t>
    </r>
    <phoneticPr fontId="5" type="noConversion"/>
  </si>
  <si>
    <t>112 年卡努颱風-南投仁愛-005</t>
  </si>
  <si>
    <r>
      <rPr>
        <sz val="12"/>
        <rFont val="標楷體"/>
        <family val="4"/>
        <charset val="136"/>
      </rPr>
      <t>臺</t>
    </r>
    <r>
      <rPr>
        <sz val="12"/>
        <rFont val="Times New Roman"/>
        <family val="1"/>
      </rPr>
      <t>14</t>
    </r>
    <r>
      <rPr>
        <sz val="12"/>
        <rFont val="標楷體"/>
        <family val="4"/>
        <charset val="136"/>
      </rPr>
      <t>線</t>
    </r>
    <r>
      <rPr>
        <sz val="12"/>
        <rFont val="Times New Roman"/>
        <family val="1"/>
      </rPr>
      <t>74.5K(</t>
    </r>
    <r>
      <rPr>
        <sz val="12"/>
        <rFont val="標楷體"/>
        <family val="4"/>
        <charset val="136"/>
      </rPr>
      <t>仁愛橋</t>
    </r>
    <r>
      <rPr>
        <sz val="12"/>
        <rFont val="Times New Roman"/>
        <family val="1"/>
      </rPr>
      <t>)</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</si>
  <si>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74.5K(</t>
    </r>
    <r>
      <rPr>
        <sz val="12"/>
        <rFont val="標楷體"/>
        <family val="4"/>
        <charset val="136"/>
      </rPr>
      <t>仁愛橋旁</t>
    </r>
    <r>
      <rPr>
        <sz val="12"/>
        <rFont val="Times New Roman"/>
        <family val="1"/>
      </rPr>
      <t>)</t>
    </r>
    <r>
      <rPr>
        <sz val="12"/>
        <rFont val="標楷體"/>
        <family val="4"/>
        <charset val="136"/>
      </rPr>
      <t>，因卡努颱風引進之西南風帶來強降雨，造成上游坑溝崩塌及農地沖刷，土砂沿園內道流出，並堆積於臺</t>
    </r>
    <r>
      <rPr>
        <sz val="12"/>
        <rFont val="Times New Roman"/>
        <family val="1"/>
      </rPr>
      <t xml:space="preserve"> 14 </t>
    </r>
    <r>
      <rPr>
        <sz val="12"/>
        <rFont val="標楷體"/>
        <family val="4"/>
        <charset val="136"/>
      </rPr>
      <t>線</t>
    </r>
    <r>
      <rPr>
        <sz val="12"/>
        <rFont val="Times New Roman"/>
        <family val="1"/>
      </rPr>
      <t xml:space="preserve"> 74.5K </t>
    </r>
    <r>
      <rPr>
        <sz val="12"/>
        <rFont val="標楷體"/>
        <family val="4"/>
        <charset val="136"/>
      </rPr>
      <t>處及仁愛橋下之眉溪左岸，農地受降雨沖刷，造成農地裸露及土砂流失，臺</t>
    </r>
    <r>
      <rPr>
        <sz val="12"/>
        <rFont val="Times New Roman"/>
        <family val="1"/>
      </rPr>
      <t xml:space="preserve"> 14 </t>
    </r>
    <r>
      <rPr>
        <sz val="12"/>
        <rFont val="標楷體"/>
        <family val="4"/>
        <charset val="136"/>
      </rPr>
      <t>線部份道路則遭土石掩埋。</t>
    </r>
    <phoneticPr fontId="5" type="noConversion"/>
  </si>
  <si>
    <t>C0I390</t>
    <phoneticPr fontId="5" type="noConversion"/>
  </si>
  <si>
    <t>112 年卡努颱風-南投仁愛-006</t>
  </si>
  <si>
    <r>
      <rPr>
        <sz val="12"/>
        <rFont val="標楷體"/>
        <family val="4"/>
        <charset val="136"/>
      </rPr>
      <t>臺</t>
    </r>
    <r>
      <rPr>
        <sz val="12"/>
        <rFont val="Times New Roman"/>
        <family val="1"/>
      </rPr>
      <t>14</t>
    </r>
    <r>
      <rPr>
        <sz val="12"/>
        <rFont val="標楷體"/>
        <family val="4"/>
        <charset val="136"/>
      </rPr>
      <t>線</t>
    </r>
    <r>
      <rPr>
        <sz val="12"/>
        <rFont val="Times New Roman"/>
        <family val="1"/>
      </rPr>
      <t>82.7K</t>
    </r>
    <phoneticPr fontId="5" type="noConversion"/>
  </si>
  <si>
    <r>
      <rPr>
        <sz val="12"/>
        <rFont val="標楷體"/>
        <family val="4"/>
        <charset val="136"/>
      </rPr>
      <t>春陽村</t>
    </r>
    <phoneticPr fontId="5" type="noConversion"/>
  </si>
  <si>
    <r>
      <rPr>
        <sz val="12"/>
        <rFont val="標楷體"/>
        <family val="4"/>
        <charset val="136"/>
      </rPr>
      <t>投縣</t>
    </r>
    <r>
      <rPr>
        <sz val="12"/>
        <rFont val="Times New Roman"/>
        <family val="1"/>
      </rPr>
      <t>DF263</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</si>
  <si>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82.7K</t>
    </r>
    <r>
      <rPr>
        <sz val="12"/>
        <rFont val="標楷體"/>
        <family val="4"/>
        <charset val="136"/>
      </rPr>
      <t>，因卡努颱風挾帶之西南風造成強降雨引發土石流，該野溪集水區稜線為臺</t>
    </r>
    <r>
      <rPr>
        <sz val="12"/>
        <rFont val="Times New Roman"/>
        <family val="1"/>
      </rPr>
      <t xml:space="preserve"> 14 </t>
    </r>
    <r>
      <rPr>
        <sz val="12"/>
        <rFont val="標楷體"/>
        <family val="4"/>
        <charset val="136"/>
      </rPr>
      <t>甲線通過，大量道路逕流沿野溪流下，於集水區源頭及輸送段皆無發現崩塌，初判土砂來源應為河床沖刷造成，土砂於拾一茶坊旁溢出河道沿路面下移，損毀道路護欄，堆積於下游河道、兩岸路面及臺</t>
    </r>
    <r>
      <rPr>
        <sz val="12"/>
        <rFont val="Times New Roman"/>
        <family val="1"/>
      </rPr>
      <t xml:space="preserve"> 14 </t>
    </r>
    <r>
      <rPr>
        <sz val="12"/>
        <rFont val="標楷體"/>
        <family val="4"/>
        <charset val="136"/>
      </rPr>
      <t>線路面。</t>
    </r>
    <phoneticPr fontId="5" type="noConversion"/>
  </si>
  <si>
    <r>
      <rPr>
        <sz val="12"/>
        <rFont val="標楷體"/>
        <family val="4"/>
        <charset val="136"/>
      </rPr>
      <t>土石流</t>
    </r>
    <r>
      <rPr>
        <sz val="12"/>
        <rFont val="Times New Roman"/>
        <family val="1"/>
      </rPr>
      <t xml:space="preserve"> </t>
    </r>
    <r>
      <rPr>
        <sz val="12"/>
        <rFont val="標楷體"/>
        <family val="4"/>
        <charset val="136"/>
      </rPr>
      <t>、崩塌</t>
    </r>
    <r>
      <rPr>
        <sz val="12"/>
        <rFont val="Times New Roman"/>
        <family val="1"/>
      </rPr>
      <t xml:space="preserve"> (</t>
    </r>
    <r>
      <rPr>
        <sz val="12"/>
        <rFont val="標楷體"/>
        <family val="4"/>
        <charset val="136"/>
      </rPr>
      <t>山崩</t>
    </r>
    <r>
      <rPr>
        <sz val="12"/>
        <rFont val="Times New Roman"/>
        <family val="1"/>
      </rPr>
      <t xml:space="preserve"> )</t>
    </r>
    <phoneticPr fontId="5" type="noConversion"/>
  </si>
  <si>
    <t>112 年卡努颱風-南投仁愛-007</t>
  </si>
  <si>
    <r>
      <rPr>
        <sz val="12"/>
        <rFont val="標楷體"/>
        <family val="4"/>
        <charset val="136"/>
      </rPr>
      <t>臺</t>
    </r>
    <r>
      <rPr>
        <sz val="12"/>
        <rFont val="Times New Roman"/>
        <family val="1"/>
      </rPr>
      <t>14</t>
    </r>
    <r>
      <rPr>
        <sz val="12"/>
        <rFont val="標楷體"/>
        <family val="4"/>
        <charset val="136"/>
      </rPr>
      <t>線</t>
    </r>
    <r>
      <rPr>
        <sz val="12"/>
        <rFont val="Times New Roman"/>
        <family val="1"/>
      </rPr>
      <t>84.3K</t>
    </r>
    <phoneticPr fontId="5" type="noConversion"/>
  </si>
  <si>
    <r>
      <rPr>
        <sz val="12"/>
        <rFont val="標楷體"/>
        <family val="4"/>
        <charset val="136"/>
      </rPr>
      <t>投縣</t>
    </r>
    <r>
      <rPr>
        <sz val="12"/>
        <rFont val="Times New Roman"/>
        <family val="1"/>
      </rPr>
      <t>DF030</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</si>
  <si>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84.3K</t>
    </r>
    <r>
      <rPr>
        <sz val="12"/>
        <rFont val="標楷體"/>
        <family val="4"/>
        <charset val="136"/>
      </rPr>
      <t>，因卡努颱風引進西南風帶來強降雨，造成投縣</t>
    </r>
    <r>
      <rPr>
        <sz val="12"/>
        <rFont val="Times New Roman"/>
        <family val="1"/>
      </rPr>
      <t xml:space="preserve"> DF030 </t>
    </r>
    <r>
      <rPr>
        <sz val="12"/>
        <rFont val="標楷體"/>
        <family val="4"/>
        <charset val="136"/>
      </rPr>
      <t>土砂流出，堆積於臺</t>
    </r>
    <r>
      <rPr>
        <sz val="12"/>
        <rFont val="Times New Roman"/>
        <family val="1"/>
      </rPr>
      <t xml:space="preserve"> 14 </t>
    </r>
    <r>
      <rPr>
        <sz val="12"/>
        <rFont val="標楷體"/>
        <family val="4"/>
        <charset val="136"/>
      </rPr>
      <t>線及路邊坡面，空拍集水區未發現明顯崩塌，初判土砂來源應為河床沖刷造成；逕流及土砂持續淘刷道路基礎產生崩塌，造成擋土牆損毀，崩塌土砂被逕流輸送至下游，故崩塌下游無明顯堆積區。</t>
    </r>
    <phoneticPr fontId="5" type="noConversion"/>
  </si>
  <si>
    <t>112 年卡努颱風-南投仁愛-008</t>
  </si>
  <si>
    <r>
      <rPr>
        <sz val="12"/>
        <rFont val="標楷體"/>
        <family val="4"/>
        <charset val="136"/>
      </rPr>
      <t>臺</t>
    </r>
    <r>
      <rPr>
        <sz val="12"/>
        <rFont val="Times New Roman"/>
        <family val="1"/>
      </rPr>
      <t>14</t>
    </r>
    <r>
      <rPr>
        <sz val="12"/>
        <rFont val="標楷體"/>
        <family val="4"/>
        <charset val="136"/>
      </rPr>
      <t>線</t>
    </r>
    <r>
      <rPr>
        <sz val="12"/>
        <rFont val="Times New Roman"/>
        <family val="1"/>
      </rPr>
      <t>70K</t>
    </r>
    <phoneticPr fontId="5" type="noConversion"/>
  </si>
  <si>
    <r>
      <rPr>
        <sz val="12"/>
        <rFont val="標楷體"/>
        <family val="4"/>
        <charset val="136"/>
      </rPr>
      <t>投縣</t>
    </r>
    <r>
      <rPr>
        <sz val="12"/>
        <rFont val="Times New Roman"/>
        <family val="1"/>
      </rPr>
      <t>DF017</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</si>
  <si>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70K </t>
    </r>
    <r>
      <rPr>
        <sz val="12"/>
        <rFont val="標楷體"/>
        <family val="4"/>
        <charset val="136"/>
      </rPr>
      <t>因卡努颱風引進西南風帶來強降雨，造成投縣</t>
    </r>
    <r>
      <rPr>
        <sz val="12"/>
        <rFont val="Times New Roman"/>
        <family val="1"/>
      </rPr>
      <t xml:space="preserve"> DF017 </t>
    </r>
    <r>
      <rPr>
        <sz val="12"/>
        <rFont val="標楷體"/>
        <family val="4"/>
        <charset val="136"/>
      </rPr>
      <t>發生土石流，土砂堵塞過路箱涵而向臺</t>
    </r>
    <r>
      <rPr>
        <sz val="12"/>
        <rFont val="Times New Roman"/>
        <family val="1"/>
      </rPr>
      <t xml:space="preserve"> 14 </t>
    </r>
    <r>
      <rPr>
        <sz val="12"/>
        <rFont val="標楷體"/>
        <family val="4"/>
        <charset val="136"/>
      </rPr>
      <t>線及下邊坡農地堆積，空拍上游無明顯崩塌發生，土砂來源初判為河道沖刷，目前道路尚可通行，土砂堆積於兩側，惟路邊溝土砂未清淤，路面逕流漫流。</t>
    </r>
    <phoneticPr fontId="5" type="noConversion"/>
  </si>
  <si>
    <t>112 年卡努颱風-南投仁愛-009</t>
  </si>
  <si>
    <r>
      <rPr>
        <sz val="12"/>
        <rFont val="標楷體"/>
        <family val="4"/>
        <charset val="136"/>
      </rPr>
      <t>臺</t>
    </r>
    <r>
      <rPr>
        <sz val="12"/>
        <rFont val="Times New Roman"/>
        <family val="1"/>
      </rPr>
      <t>14</t>
    </r>
    <r>
      <rPr>
        <sz val="12"/>
        <rFont val="標楷體"/>
        <family val="4"/>
        <charset val="136"/>
      </rPr>
      <t>線</t>
    </r>
    <r>
      <rPr>
        <sz val="12"/>
        <rFont val="Times New Roman"/>
        <family val="1"/>
      </rPr>
      <t>72.1K</t>
    </r>
    <phoneticPr fontId="5" type="noConversion"/>
  </si>
  <si>
    <r>
      <rPr>
        <sz val="12"/>
        <rFont val="標楷體"/>
        <family val="4"/>
        <charset val="136"/>
      </rPr>
      <t>投縣</t>
    </r>
    <r>
      <rPr>
        <sz val="12"/>
        <rFont val="Times New Roman"/>
        <family val="1"/>
      </rPr>
      <t>DF011</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</si>
  <si>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72.1K </t>
    </r>
    <r>
      <rPr>
        <sz val="12"/>
        <rFont val="標楷體"/>
        <family val="4"/>
        <charset val="136"/>
      </rPr>
      <t>因卡努颱風引進之西南風帶來強降雨，造成投縣</t>
    </r>
    <r>
      <rPr>
        <sz val="12"/>
        <rFont val="Times New Roman"/>
        <family val="1"/>
      </rPr>
      <t xml:space="preserve"> DF011 </t>
    </r>
    <r>
      <rPr>
        <sz val="12"/>
        <rFont val="標楷體"/>
        <family val="4"/>
        <charset val="136"/>
      </rPr>
      <t>發生崩塌及土石流，並堆積部落道路、臺</t>
    </r>
    <r>
      <rPr>
        <sz val="12"/>
        <rFont val="Times New Roman"/>
        <family val="1"/>
      </rPr>
      <t xml:space="preserve"> 14 </t>
    </r>
    <r>
      <rPr>
        <sz val="12"/>
        <rFont val="標楷體"/>
        <family val="4"/>
        <charset val="136"/>
      </rPr>
      <t>線、既有河道及建物，投縣</t>
    </r>
    <r>
      <rPr>
        <sz val="12"/>
        <rFont val="Times New Roman"/>
        <family val="1"/>
      </rPr>
      <t xml:space="preserve"> DF011 </t>
    </r>
    <r>
      <rPr>
        <sz val="12"/>
        <rFont val="標楷體"/>
        <family val="4"/>
        <charset val="136"/>
      </rPr>
      <t>左岸因地勢較低，遭土石影響範圍較大，右岸因地勢高且有植生緩衝，影響較小，目前道路尚可通行，土砂堆積於兩側，惟路邊溝土砂尚未清除，路面逕流漫流。</t>
    </r>
    <phoneticPr fontId="5" type="noConversion"/>
  </si>
  <si>
    <r>
      <rPr>
        <sz val="12"/>
        <rFont val="標楷體"/>
        <family val="4"/>
        <charset val="136"/>
      </rPr>
      <t>崩塌</t>
    </r>
    <r>
      <rPr>
        <sz val="12"/>
        <rFont val="Times New Roman"/>
        <family val="1"/>
      </rPr>
      <t>(</t>
    </r>
    <r>
      <rPr>
        <sz val="12"/>
        <rFont val="標楷體"/>
        <family val="4"/>
        <charset val="136"/>
      </rPr>
      <t>沖蝕</t>
    </r>
    <r>
      <rPr>
        <sz val="12"/>
        <rFont val="Times New Roman"/>
        <family val="1"/>
      </rPr>
      <t>)</t>
    </r>
    <phoneticPr fontId="5" type="noConversion"/>
  </si>
  <si>
    <t>112 年卡努颱風-南投仁愛-010</t>
  </si>
  <si>
    <r>
      <rPr>
        <sz val="12"/>
        <rFont val="標楷體"/>
        <family val="4"/>
        <charset val="136"/>
      </rPr>
      <t>臺</t>
    </r>
    <r>
      <rPr>
        <sz val="12"/>
        <rFont val="Times New Roman"/>
        <family val="1"/>
      </rPr>
      <t>14</t>
    </r>
    <r>
      <rPr>
        <sz val="12"/>
        <rFont val="標楷體"/>
        <family val="4"/>
        <charset val="136"/>
      </rPr>
      <t>線</t>
    </r>
    <r>
      <rPr>
        <sz val="12"/>
        <rFont val="Times New Roman"/>
        <family val="1"/>
      </rPr>
      <t>85.4K</t>
    </r>
    <phoneticPr fontId="5" type="noConversion"/>
  </si>
  <si>
    <r>
      <rPr>
        <sz val="12"/>
        <rFont val="標楷體"/>
        <family val="4"/>
        <charset val="136"/>
      </rPr>
      <t>臺</t>
    </r>
    <r>
      <rPr>
        <sz val="12"/>
        <rFont val="Times New Roman"/>
        <family val="1"/>
      </rPr>
      <t xml:space="preserve"> 14 </t>
    </r>
    <r>
      <rPr>
        <sz val="12"/>
        <rFont val="標楷體"/>
        <family val="4"/>
        <charset val="136"/>
      </rPr>
      <t>線</t>
    </r>
    <r>
      <rPr>
        <sz val="12"/>
        <rFont val="Times New Roman"/>
        <family val="1"/>
      </rPr>
      <t xml:space="preserve"> 85.4K </t>
    </r>
    <r>
      <rPr>
        <sz val="12"/>
        <rFont val="標楷體"/>
        <family val="4"/>
        <charset val="136"/>
      </rPr>
      <t>因卡努颱風引進之西南風，造成道路上邊坡農地發生嚴重土壤沖蝕，加上農地植生覆蓋不佳，大量土砂堆積臺</t>
    </r>
    <r>
      <rPr>
        <sz val="12"/>
        <rFont val="Times New Roman"/>
        <family val="1"/>
      </rPr>
      <t xml:space="preserve"> 14 </t>
    </r>
    <r>
      <rPr>
        <sz val="12"/>
        <rFont val="標楷體"/>
        <family val="4"/>
        <charset val="136"/>
      </rPr>
      <t>線，目前道路尚可通行，道路下邊坡無明顯崩塌，惟路邊溝土砂尚未清除，路面逕流漫流。</t>
    </r>
    <phoneticPr fontId="5" type="noConversion"/>
  </si>
  <si>
    <t>112 年卡努颱風-南投仁愛-011</t>
  </si>
  <si>
    <r>
      <rPr>
        <sz val="12"/>
        <rFont val="標楷體"/>
        <family val="4"/>
        <charset val="136"/>
      </rPr>
      <t>奧萬大森林遊樂園</t>
    </r>
  </si>
  <si>
    <r>
      <rPr>
        <sz val="12"/>
        <rFont val="標楷體"/>
        <family val="4"/>
        <charset val="136"/>
      </rPr>
      <t>親愛村</t>
    </r>
    <phoneticPr fontId="5" type="noConversion"/>
  </si>
  <si>
    <r>
      <rPr>
        <sz val="12"/>
        <rFont val="標楷體"/>
        <family val="4"/>
        <charset val="136"/>
      </rPr>
      <t>奧萬大森林遊樂園因卡努颱風引進西南風帶來強降雨，造成石灰坑、大安路</t>
    </r>
    <r>
      <rPr>
        <sz val="12"/>
        <rFont val="Times New Roman"/>
        <family val="1"/>
      </rPr>
      <t xml:space="preserve"> 8.4K</t>
    </r>
    <r>
      <rPr>
        <sz val="12"/>
        <rFont val="標楷體"/>
        <family val="4"/>
        <charset val="136"/>
      </rPr>
      <t>、腦寮溪、清水溪等處發生崩塌，清水溪河段由於崩塌土石下移致使河床大幅抬升，清水橋因此損毀，腦寮溪橋則因河岸沖刷而沖毀，此外大量土砂流入奧萬大森林遊樂園，造成多處設施遭土砂掩埋。</t>
    </r>
    <phoneticPr fontId="5" type="noConversion"/>
  </si>
  <si>
    <t>C1I320</t>
    <phoneticPr fontId="5" type="noConversion"/>
  </si>
  <si>
    <r>
      <rPr>
        <sz val="12"/>
        <rFont val="標楷體"/>
        <family val="4"/>
        <charset val="136"/>
      </rPr>
      <t>奧萬大</t>
    </r>
    <phoneticPr fontId="5" type="noConversion"/>
  </si>
  <si>
    <t>112 年卡努颱風-南投仁愛-012</t>
  </si>
  <si>
    <r>
      <rPr>
        <sz val="12"/>
        <rFont val="標楷體"/>
        <family val="4"/>
        <charset val="136"/>
      </rPr>
      <t>親愛村教堂</t>
    </r>
    <phoneticPr fontId="5" type="noConversion"/>
  </si>
  <si>
    <r>
      <rPr>
        <sz val="12"/>
        <rFont val="標楷體"/>
        <family val="4"/>
        <charset val="136"/>
      </rPr>
      <t>投縣</t>
    </r>
    <r>
      <rPr>
        <sz val="12"/>
        <rFont val="Times New Roman"/>
        <family val="1"/>
      </rPr>
      <t>DF021</t>
    </r>
    <phoneticPr fontId="5" type="noConversion"/>
  </si>
  <si>
    <r>
      <rPr>
        <sz val="12"/>
        <rFont val="標楷體"/>
        <family val="4"/>
        <charset val="136"/>
      </rPr>
      <t>親愛村投</t>
    </r>
    <r>
      <rPr>
        <sz val="12"/>
        <rFont val="Times New Roman"/>
        <family val="1"/>
      </rPr>
      <t xml:space="preserve"> 83 </t>
    </r>
    <r>
      <rPr>
        <sz val="12"/>
        <rFont val="標楷體"/>
        <family val="4"/>
        <charset val="136"/>
      </rPr>
      <t>線因卡努颱風引進西南風帶來強降雨，造成教堂上邊坡發生崩塌，崩塌土砂堆積於下邊坡及教堂，造成教堂及其廣場遭土砂淤埋約</t>
    </r>
    <r>
      <rPr>
        <sz val="12"/>
        <rFont val="Times New Roman"/>
        <family val="1"/>
      </rPr>
      <t xml:space="preserve"> 1 </t>
    </r>
    <r>
      <rPr>
        <sz val="12"/>
        <rFont val="標楷體"/>
        <family val="4"/>
        <charset val="136"/>
      </rPr>
      <t>公尺</t>
    </r>
    <r>
      <rPr>
        <sz val="12"/>
        <rFont val="Times New Roman"/>
        <family val="1"/>
      </rPr>
      <t xml:space="preserve">(2 </t>
    </r>
    <r>
      <rPr>
        <sz val="12"/>
        <rFont val="標楷體"/>
        <family val="4"/>
        <charset val="136"/>
      </rPr>
      <t>號堆積區</t>
    </r>
    <r>
      <rPr>
        <sz val="12"/>
        <rFont val="Times New Roman"/>
        <family val="1"/>
      </rPr>
      <t>)</t>
    </r>
    <r>
      <rPr>
        <sz val="12"/>
        <rFont val="標楷體"/>
        <family val="4"/>
        <charset val="136"/>
      </rPr>
      <t>；鄰近之投縣</t>
    </r>
    <r>
      <rPr>
        <sz val="12"/>
        <rFont val="Times New Roman"/>
        <family val="1"/>
      </rPr>
      <t xml:space="preserve"> DF021 </t>
    </r>
    <r>
      <rPr>
        <sz val="12"/>
        <rFont val="標楷體"/>
        <family val="4"/>
        <charset val="136"/>
      </rPr>
      <t>則發生土石流，影響部分建物</t>
    </r>
    <r>
      <rPr>
        <sz val="12"/>
        <rFont val="Times New Roman"/>
        <family val="1"/>
      </rPr>
      <t xml:space="preserve">(1 </t>
    </r>
    <r>
      <rPr>
        <sz val="12"/>
        <rFont val="標楷體"/>
        <family val="4"/>
        <charset val="136"/>
      </rPr>
      <t>號堆積區</t>
    </r>
    <r>
      <rPr>
        <sz val="12"/>
        <rFont val="Times New Roman"/>
        <family val="1"/>
      </rPr>
      <t>)</t>
    </r>
    <r>
      <rPr>
        <sz val="12"/>
        <rFont val="標楷體"/>
        <family val="4"/>
        <charset val="136"/>
      </rPr>
      <t>，初判土砂來源主要為河道刷深；投縣</t>
    </r>
    <r>
      <rPr>
        <sz val="12"/>
        <rFont val="Times New Roman"/>
        <family val="1"/>
      </rPr>
      <t xml:space="preserve"> DF022 </t>
    </r>
    <r>
      <rPr>
        <sz val="12"/>
        <rFont val="標楷體"/>
        <family val="4"/>
        <charset val="136"/>
      </rPr>
      <t>集水區有零星邊坡沖刷，但未溢流影響聚落。目前影響教堂及建物之土砂多已清除，並暫時堆積於教堂旁、崩塌地坡趾或道路兩側。</t>
    </r>
    <phoneticPr fontId="5" type="noConversion"/>
  </si>
  <si>
    <t>C1I020</t>
    <phoneticPr fontId="5" type="noConversion"/>
  </si>
  <si>
    <r>
      <rPr>
        <sz val="12"/>
        <rFont val="標楷體"/>
        <family val="4"/>
        <charset val="136"/>
      </rPr>
      <t>萬大</t>
    </r>
    <phoneticPr fontId="5" type="noConversion"/>
  </si>
  <si>
    <r>
      <rPr>
        <sz val="12"/>
        <rFont val="標楷體"/>
        <family val="4"/>
        <charset val="136"/>
      </rPr>
      <t>崩塌</t>
    </r>
    <r>
      <rPr>
        <sz val="12"/>
        <rFont val="Times New Roman"/>
        <family val="1"/>
      </rPr>
      <t>(</t>
    </r>
    <r>
      <rPr>
        <sz val="12"/>
        <rFont val="標楷體"/>
        <family val="4"/>
        <charset val="136"/>
      </rPr>
      <t>沖蝕</t>
    </r>
    <r>
      <rPr>
        <sz val="12"/>
        <rFont val="Times New Roman"/>
        <family val="1"/>
      </rPr>
      <t>)</t>
    </r>
    <r>
      <rPr>
        <sz val="12"/>
        <rFont val="標楷體"/>
        <family val="4"/>
        <charset val="136"/>
      </rPr>
      <t>、土石流</t>
    </r>
  </si>
  <si>
    <t>112 年海葵颱風-花蓮壽豐-001</t>
  </si>
  <si>
    <r>
      <rPr>
        <sz val="12"/>
        <rFont val="標楷體"/>
        <family val="4"/>
        <charset val="136"/>
      </rPr>
      <t>山邊路二段</t>
    </r>
    <r>
      <rPr>
        <sz val="12"/>
        <rFont val="Times New Roman"/>
        <family val="1"/>
      </rPr>
      <t xml:space="preserve"> 131 </t>
    </r>
    <r>
      <rPr>
        <sz val="12"/>
        <rFont val="標楷體"/>
        <family val="4"/>
        <charset val="136"/>
      </rPr>
      <t>號、</t>
    </r>
    <r>
      <rPr>
        <sz val="12"/>
        <rFont val="Times New Roman"/>
        <family val="1"/>
      </rPr>
      <t xml:space="preserve">121 </t>
    </r>
    <r>
      <rPr>
        <sz val="12"/>
        <rFont val="標楷體"/>
        <family val="4"/>
        <charset val="136"/>
      </rPr>
      <t>號、</t>
    </r>
    <r>
      <rPr>
        <sz val="12"/>
        <rFont val="Times New Roman"/>
        <family val="1"/>
      </rPr>
      <t xml:space="preserve">117 </t>
    </r>
    <r>
      <rPr>
        <sz val="12"/>
        <rFont val="標楷體"/>
        <family val="4"/>
        <charset val="136"/>
      </rPr>
      <t>號、</t>
    </r>
    <r>
      <rPr>
        <sz val="12"/>
        <rFont val="Times New Roman"/>
        <family val="1"/>
      </rPr>
      <t xml:space="preserve">115 </t>
    </r>
    <r>
      <rPr>
        <sz val="12"/>
        <rFont val="標楷體"/>
        <family val="4"/>
        <charset val="136"/>
      </rPr>
      <t>號</t>
    </r>
    <phoneticPr fontId="5" type="noConversion"/>
  </si>
  <si>
    <r>
      <rPr>
        <sz val="12"/>
        <rFont val="標楷體"/>
        <family val="4"/>
        <charset val="136"/>
      </rPr>
      <t>壽豐鄉</t>
    </r>
    <phoneticPr fontId="5" type="noConversion"/>
  </si>
  <si>
    <r>
      <rPr>
        <sz val="12"/>
        <rFont val="標楷體"/>
        <family val="4"/>
        <charset val="136"/>
      </rPr>
      <t>海葵颱風</t>
    </r>
    <phoneticPr fontId="5" type="noConversion"/>
  </si>
  <si>
    <r>
      <rPr>
        <sz val="12"/>
        <rFont val="標楷體"/>
        <family val="4"/>
        <charset val="136"/>
      </rPr>
      <t>壽豐鄉山邊路二段</t>
    </r>
    <r>
      <rPr>
        <sz val="12"/>
        <rFont val="Times New Roman"/>
        <family val="1"/>
      </rPr>
      <t xml:space="preserve"> 131 </t>
    </r>
    <r>
      <rPr>
        <sz val="12"/>
        <rFont val="標楷體"/>
        <family val="4"/>
        <charset val="136"/>
      </rPr>
      <t>號、</t>
    </r>
    <r>
      <rPr>
        <sz val="12"/>
        <rFont val="Times New Roman"/>
        <family val="1"/>
      </rPr>
      <t xml:space="preserve">121 </t>
    </r>
    <r>
      <rPr>
        <sz val="12"/>
        <rFont val="標楷體"/>
        <family val="4"/>
        <charset val="136"/>
      </rPr>
      <t>號、</t>
    </r>
    <r>
      <rPr>
        <sz val="12"/>
        <rFont val="Times New Roman"/>
        <family val="1"/>
      </rPr>
      <t xml:space="preserve">117 </t>
    </r>
    <r>
      <rPr>
        <sz val="12"/>
        <rFont val="標楷體"/>
        <family val="4"/>
        <charset val="136"/>
      </rPr>
      <t>號、</t>
    </r>
    <r>
      <rPr>
        <sz val="12"/>
        <rFont val="Times New Roman"/>
        <family val="1"/>
      </rPr>
      <t xml:space="preserve">115 </t>
    </r>
    <r>
      <rPr>
        <sz val="12"/>
        <rFont val="標楷體"/>
        <family val="4"/>
        <charset val="136"/>
      </rPr>
      <t>號等處，因海葵颱風帶來之強降雨，造成保全住戶鄰近坑溝及邊坡發生土石流，大量土砂淤埋坑溝河道，阻塞出口過路箱涵，造成溢淹至路面及農地，計有</t>
    </r>
    <r>
      <rPr>
        <sz val="12"/>
        <rFont val="Times New Roman"/>
        <family val="1"/>
      </rPr>
      <t xml:space="preserve"> 4 </t>
    </r>
    <r>
      <rPr>
        <sz val="12"/>
        <rFont val="標楷體"/>
        <family val="4"/>
        <charset val="136"/>
      </rPr>
      <t>棟民房遭土砂沖入，初判土砂來源為山邊路二段</t>
    </r>
    <r>
      <rPr>
        <sz val="12"/>
        <rFont val="Times New Roman"/>
        <family val="1"/>
      </rPr>
      <t xml:space="preserve"> 83 </t>
    </r>
    <r>
      <rPr>
        <sz val="12"/>
        <rFont val="標楷體"/>
        <family val="4"/>
        <charset val="136"/>
      </rPr>
      <t>巷之道路邊坡沖蝕，及南、北側坑溝之河道沖刷。</t>
    </r>
    <phoneticPr fontId="5" type="noConversion"/>
  </si>
  <si>
    <t>81T850</t>
    <phoneticPr fontId="5" type="noConversion"/>
  </si>
  <si>
    <r>
      <rPr>
        <sz val="12"/>
        <rFont val="標楷體"/>
        <family val="4"/>
        <charset val="136"/>
      </rPr>
      <t>溪口國小</t>
    </r>
    <phoneticPr fontId="5" type="noConversion"/>
  </si>
  <si>
    <t>112 年海葵颱風-宜蘭南澳-001</t>
  </si>
  <si>
    <r>
      <rPr>
        <sz val="12"/>
        <rFont val="標楷體"/>
        <family val="4"/>
        <charset val="136"/>
      </rPr>
      <t>碧候溫泉聯外道路</t>
    </r>
  </si>
  <si>
    <r>
      <rPr>
        <sz val="12"/>
        <rFont val="標楷體"/>
        <family val="4"/>
        <charset val="136"/>
      </rPr>
      <t>碧侯村</t>
    </r>
    <phoneticPr fontId="5" type="noConversion"/>
  </si>
  <si>
    <r>
      <rPr>
        <sz val="12"/>
        <rFont val="標楷體"/>
        <family val="4"/>
        <charset val="136"/>
      </rPr>
      <t>碧候溫泉聯外道路因海葵颱風帶來之強降雨，造成野溪源頭崩塌，大量土石下移淤積野溪河道，阻塞野溪南側及北側出口之道路下方箱涵，導致土石及地表逕流溢流至碧候溫泉聯外道路，造成道路中斷。</t>
    </r>
    <phoneticPr fontId="5" type="noConversion"/>
  </si>
  <si>
    <t>81U860</t>
    <phoneticPr fontId="5" type="noConversion"/>
  </si>
  <si>
    <r>
      <rPr>
        <sz val="12"/>
        <rFont val="標楷體"/>
        <family val="4"/>
        <charset val="136"/>
      </rPr>
      <t>金岳國小</t>
    </r>
    <phoneticPr fontId="5" type="noConversion"/>
  </si>
  <si>
    <t>112 年杜蘇芮颱風-臺東海端-001</t>
  </si>
  <si>
    <r>
      <rPr>
        <sz val="12"/>
        <rFont val="標楷體"/>
        <family val="4"/>
        <charset val="136"/>
      </rPr>
      <t>臺</t>
    </r>
    <r>
      <rPr>
        <sz val="12"/>
        <rFont val="Times New Roman"/>
        <family val="1"/>
      </rPr>
      <t xml:space="preserve"> 20 </t>
    </r>
    <r>
      <rPr>
        <sz val="12"/>
        <rFont val="標楷體"/>
        <family val="4"/>
        <charset val="136"/>
      </rPr>
      <t>臨</t>
    </r>
    <r>
      <rPr>
        <sz val="12"/>
        <rFont val="Times New Roman"/>
        <family val="1"/>
      </rPr>
      <t xml:space="preserve"> 105 </t>
    </r>
    <r>
      <rPr>
        <sz val="12"/>
        <rFont val="標楷體"/>
        <family val="4"/>
        <charset val="136"/>
      </rPr>
      <t>線</t>
    </r>
    <r>
      <rPr>
        <sz val="12"/>
        <rFont val="Times New Roman"/>
        <family val="1"/>
      </rPr>
      <t xml:space="preserve"> 39.1K</t>
    </r>
    <phoneticPr fontId="5" type="noConversion"/>
  </si>
  <si>
    <r>
      <rPr>
        <sz val="12"/>
        <color indexed="63"/>
        <rFont val="標楷體"/>
        <family val="4"/>
        <charset val="136"/>
      </rPr>
      <t>臺東縣</t>
    </r>
  </si>
  <si>
    <r>
      <rPr>
        <sz val="12"/>
        <rFont val="標楷體"/>
        <family val="4"/>
        <charset val="136"/>
      </rPr>
      <t>海端鄉</t>
    </r>
    <phoneticPr fontId="5" type="noConversion"/>
  </si>
  <si>
    <r>
      <rPr>
        <sz val="12"/>
        <rFont val="標楷體"/>
        <family val="4"/>
        <charset val="136"/>
      </rPr>
      <t>利稻村</t>
    </r>
    <phoneticPr fontId="5" type="noConversion"/>
  </si>
  <si>
    <r>
      <rPr>
        <sz val="12"/>
        <rFont val="標楷體"/>
        <family val="4"/>
        <charset val="136"/>
      </rPr>
      <t>杜蘇芮颱風</t>
    </r>
    <phoneticPr fontId="5" type="noConversion"/>
  </si>
  <si>
    <r>
      <rPr>
        <sz val="12"/>
        <rFont val="標楷體"/>
        <family val="4"/>
        <charset val="136"/>
      </rPr>
      <t>臺</t>
    </r>
    <r>
      <rPr>
        <sz val="12"/>
        <rFont val="Times New Roman"/>
        <family val="1"/>
      </rPr>
      <t xml:space="preserve"> 20 </t>
    </r>
    <r>
      <rPr>
        <sz val="12"/>
        <rFont val="標楷體"/>
        <family val="4"/>
        <charset val="136"/>
      </rPr>
      <t>臨</t>
    </r>
    <r>
      <rPr>
        <sz val="12"/>
        <rFont val="Times New Roman"/>
        <family val="1"/>
      </rPr>
      <t xml:space="preserve"> 105 </t>
    </r>
    <r>
      <rPr>
        <sz val="12"/>
        <rFont val="標楷體"/>
        <family val="4"/>
        <charset val="136"/>
      </rPr>
      <t>線</t>
    </r>
    <r>
      <rPr>
        <sz val="12"/>
        <rFont val="Times New Roman"/>
        <family val="1"/>
      </rPr>
      <t xml:space="preserve"> 39.1K </t>
    </r>
    <r>
      <rPr>
        <sz val="12"/>
        <rFont val="標楷體"/>
        <family val="4"/>
        <charset val="136"/>
      </rPr>
      <t>為舊有崩塌地，因杜蘇芮颱風帶來之持續降雨，致使降雨沖刷造成</t>
    </r>
    <r>
      <rPr>
        <sz val="12"/>
        <rFont val="Times New Roman"/>
        <family val="1"/>
      </rPr>
      <t xml:space="preserve">2 </t>
    </r>
    <r>
      <rPr>
        <sz val="12"/>
        <rFont val="標楷體"/>
        <family val="4"/>
        <charset val="136"/>
      </rPr>
      <t>處崩塌，</t>
    </r>
    <r>
      <rPr>
        <sz val="12"/>
        <rFont val="Times New Roman"/>
        <family val="1"/>
      </rPr>
      <t xml:space="preserve">1 </t>
    </r>
    <r>
      <rPr>
        <sz val="12"/>
        <rFont val="標楷體"/>
        <family val="4"/>
        <charset val="136"/>
      </rPr>
      <t>號崩塌地除下方路基掏刷外，上邊坡箱籠擋土設施亦損毀；</t>
    </r>
    <r>
      <rPr>
        <sz val="12"/>
        <rFont val="Times New Roman"/>
        <family val="1"/>
      </rPr>
      <t xml:space="preserve">2 </t>
    </r>
    <r>
      <rPr>
        <sz val="12"/>
        <rFont val="標楷體"/>
        <family val="4"/>
        <charset val="136"/>
      </rPr>
      <t>號崩塌地為哈里柏松溪刷深造成道路及路基毀損，高雄往台東之臺</t>
    </r>
    <r>
      <rPr>
        <sz val="12"/>
        <rFont val="Times New Roman"/>
        <family val="1"/>
      </rPr>
      <t xml:space="preserve"> 20 </t>
    </r>
    <r>
      <rPr>
        <sz val="12"/>
        <rFont val="標楷體"/>
        <family val="4"/>
        <charset val="136"/>
      </rPr>
      <t>臨</t>
    </r>
    <r>
      <rPr>
        <sz val="12"/>
        <rFont val="Times New Roman"/>
        <family val="1"/>
      </rPr>
      <t xml:space="preserve"> 105 </t>
    </r>
    <r>
      <rPr>
        <sz val="12"/>
        <rFont val="標楷體"/>
        <family val="4"/>
        <charset val="136"/>
      </rPr>
      <t>線道路中斷。</t>
    </r>
    <phoneticPr fontId="5" type="noConversion"/>
  </si>
  <si>
    <t>C0S750</t>
  </si>
  <si>
    <r>
      <rPr>
        <sz val="12"/>
        <rFont val="標楷體"/>
        <family val="4"/>
        <charset val="136"/>
      </rPr>
      <t>向陽</t>
    </r>
  </si>
  <si>
    <t>112 年杜蘇芮颱風-花蓮秀林-001</t>
  </si>
  <si>
    <r>
      <rPr>
        <sz val="12"/>
        <rFont val="標楷體"/>
        <family val="4"/>
        <charset val="136"/>
      </rPr>
      <t>台</t>
    </r>
    <r>
      <rPr>
        <sz val="12"/>
        <rFont val="Times New Roman"/>
        <family val="1"/>
      </rPr>
      <t xml:space="preserve"> 8 </t>
    </r>
    <r>
      <rPr>
        <sz val="12"/>
        <rFont val="標楷體"/>
        <family val="4"/>
        <charset val="136"/>
      </rPr>
      <t>線</t>
    </r>
    <r>
      <rPr>
        <sz val="12"/>
        <rFont val="Times New Roman"/>
        <family val="1"/>
      </rPr>
      <t xml:space="preserve"> 179.5K</t>
    </r>
  </si>
  <si>
    <r>
      <rPr>
        <sz val="12"/>
        <rFont val="標楷體"/>
        <family val="4"/>
        <charset val="136"/>
      </rPr>
      <t>台</t>
    </r>
    <r>
      <rPr>
        <sz val="12"/>
        <rFont val="Times New Roman"/>
        <family val="1"/>
      </rPr>
      <t xml:space="preserve"> 8 </t>
    </r>
    <r>
      <rPr>
        <sz val="12"/>
        <rFont val="標楷體"/>
        <family val="4"/>
        <charset val="136"/>
      </rPr>
      <t>線</t>
    </r>
    <r>
      <rPr>
        <sz val="12"/>
        <rFont val="Times New Roman"/>
        <family val="1"/>
      </rPr>
      <t xml:space="preserve"> 179.5K</t>
    </r>
    <r>
      <rPr>
        <sz val="12"/>
        <rFont val="標楷體"/>
        <family val="4"/>
        <charset val="136"/>
      </rPr>
      <t>，因杜蘇芮颱風帶來之持續降雨，降雨入滲節理明顯之岩層產生滑動，崩塌坡面尚有植生停留，可作為後續植生復育之樹島，崩崖尚未達稜線。本次崩塌土砂堆積臺</t>
    </r>
    <r>
      <rPr>
        <sz val="12"/>
        <rFont val="Times New Roman"/>
        <family val="1"/>
      </rPr>
      <t xml:space="preserve"> 8 </t>
    </r>
    <r>
      <rPr>
        <sz val="12"/>
        <rFont val="標楷體"/>
        <family val="4"/>
        <charset val="136"/>
      </rPr>
      <t>線及其下邊坡，幸未影響水流通行，但造成道路護欄損毀，公路總局已初步清除路面土砂。</t>
    </r>
    <phoneticPr fontId="5" type="noConversion"/>
  </si>
  <si>
    <t>C1T830</t>
    <phoneticPr fontId="5" type="noConversion"/>
  </si>
  <si>
    <r>
      <rPr>
        <sz val="12"/>
        <rFont val="標楷體"/>
        <family val="4"/>
        <charset val="136"/>
      </rPr>
      <t>布拉灣</t>
    </r>
    <phoneticPr fontId="5" type="noConversion"/>
  </si>
  <si>
    <r>
      <rPr>
        <sz val="12"/>
        <rFont val="標楷體"/>
        <family val="4"/>
        <charset val="136"/>
      </rPr>
      <t>崩塌</t>
    </r>
    <r>
      <rPr>
        <sz val="12"/>
        <rFont val="Times New Roman"/>
        <family val="1"/>
      </rPr>
      <t>(</t>
    </r>
    <r>
      <rPr>
        <sz val="12"/>
        <rFont val="標楷體"/>
        <family val="4"/>
        <charset val="136"/>
      </rPr>
      <t>山崩</t>
    </r>
    <r>
      <rPr>
        <sz val="12"/>
        <rFont val="Times New Roman"/>
        <family val="1"/>
      </rPr>
      <t>)</t>
    </r>
    <r>
      <rPr>
        <sz val="12"/>
        <rFont val="標楷體"/>
        <family val="4"/>
        <charset val="136"/>
      </rPr>
      <t>、土石流</t>
    </r>
  </si>
  <si>
    <t>112 年 0911 其他-嘉義中埔-001 (第一次)</t>
  </si>
  <si>
    <r>
      <rPr>
        <sz val="12"/>
        <rFont val="標楷體"/>
        <family val="4"/>
        <charset val="136"/>
      </rPr>
      <t>臺</t>
    </r>
    <r>
      <rPr>
        <sz val="12"/>
        <rFont val="Times New Roman"/>
        <family val="1"/>
      </rPr>
      <t xml:space="preserve"> 3 </t>
    </r>
    <r>
      <rPr>
        <sz val="12"/>
        <rFont val="標楷體"/>
        <family val="4"/>
        <charset val="136"/>
      </rPr>
      <t>線</t>
    </r>
    <r>
      <rPr>
        <sz val="12"/>
        <rFont val="Times New Roman"/>
        <family val="1"/>
      </rPr>
      <t xml:space="preserve"> 300.9K </t>
    </r>
    <r>
      <rPr>
        <sz val="12"/>
        <rFont val="標楷體"/>
        <family val="4"/>
        <charset val="136"/>
      </rPr>
      <t>中崙四號橋</t>
    </r>
  </si>
  <si>
    <t>小犬颱風</t>
    <phoneticPr fontId="5" type="noConversion"/>
  </si>
  <si>
    <r>
      <rPr>
        <sz val="12"/>
        <rFont val="標楷體"/>
        <family val="4"/>
        <charset val="136"/>
      </rPr>
      <t>臺</t>
    </r>
    <r>
      <rPr>
        <sz val="12"/>
        <rFont val="Times New Roman"/>
        <family val="1"/>
      </rPr>
      <t xml:space="preserve"> 3 </t>
    </r>
    <r>
      <rPr>
        <sz val="12"/>
        <rFont val="標楷體"/>
        <family val="4"/>
        <charset val="136"/>
      </rPr>
      <t>線</t>
    </r>
    <r>
      <rPr>
        <sz val="12"/>
        <rFont val="Times New Roman"/>
        <family val="1"/>
      </rPr>
      <t xml:space="preserve"> 300.9K </t>
    </r>
    <r>
      <rPr>
        <sz val="12"/>
        <rFont val="標楷體"/>
        <family val="4"/>
        <charset val="136"/>
      </rPr>
      <t>中崙四號橋</t>
    </r>
    <r>
      <rPr>
        <sz val="12"/>
        <rFont val="Times New Roman"/>
        <family val="1"/>
      </rPr>
      <t>(</t>
    </r>
    <r>
      <rPr>
        <sz val="12"/>
        <rFont val="標楷體"/>
        <family val="4"/>
        <charset val="136"/>
      </rPr>
      <t>嘉縣</t>
    </r>
    <r>
      <rPr>
        <sz val="12"/>
        <rFont val="Times New Roman"/>
        <family val="1"/>
      </rPr>
      <t xml:space="preserve"> DF051)</t>
    </r>
    <r>
      <rPr>
        <sz val="12"/>
        <rFont val="標楷體"/>
        <family val="4"/>
        <charset val="136"/>
      </rPr>
      <t>因</t>
    </r>
    <r>
      <rPr>
        <sz val="12"/>
        <rFont val="Times New Roman"/>
        <family val="1"/>
      </rPr>
      <t xml:space="preserve"> 9 </t>
    </r>
    <r>
      <rPr>
        <sz val="12"/>
        <rFont val="標楷體"/>
        <family val="4"/>
        <charset val="136"/>
      </rPr>
      <t>月</t>
    </r>
    <r>
      <rPr>
        <sz val="12"/>
        <rFont val="Times New Roman"/>
        <family val="1"/>
      </rPr>
      <t xml:space="preserve"> 10 </t>
    </r>
    <r>
      <rPr>
        <sz val="12"/>
        <rFont val="標楷體"/>
        <family val="4"/>
        <charset val="136"/>
      </rPr>
      <t>日午後之短延時強降雨，造成嘉縣</t>
    </r>
    <r>
      <rPr>
        <sz val="12"/>
        <rFont val="Times New Roman"/>
        <family val="1"/>
      </rPr>
      <t xml:space="preserve">DF051 </t>
    </r>
    <r>
      <rPr>
        <sz val="12"/>
        <rFont val="標楷體"/>
        <family val="4"/>
        <charset val="136"/>
      </rPr>
      <t>源頭崩塌，土砂下移淤滿大湖底溪主、支流河道及巷道，造成中崙四號橋通水斷面縮小；</t>
    </r>
    <r>
      <rPr>
        <sz val="12"/>
        <rFont val="Times New Roman"/>
        <family val="1"/>
      </rPr>
      <t xml:space="preserve">9 </t>
    </r>
    <r>
      <rPr>
        <sz val="12"/>
        <rFont val="標楷體"/>
        <family val="4"/>
        <charset val="136"/>
      </rPr>
      <t>月</t>
    </r>
    <r>
      <rPr>
        <sz val="12"/>
        <rFont val="Times New Roman"/>
        <family val="1"/>
      </rPr>
      <t xml:space="preserve"> 11 </t>
    </r>
    <r>
      <rPr>
        <sz val="12"/>
        <rFont val="標楷體"/>
        <family val="4"/>
        <charset val="136"/>
      </rPr>
      <t>日發生二次災害，土石流沖進民房，並堆積於嘉</t>
    </r>
    <r>
      <rPr>
        <sz val="12"/>
        <rFont val="Times New Roman"/>
        <family val="1"/>
      </rPr>
      <t xml:space="preserve"> 141 </t>
    </r>
    <r>
      <rPr>
        <sz val="12"/>
        <rFont val="標楷體"/>
        <family val="4"/>
        <charset val="136"/>
      </rPr>
      <t>線，阻斷道路通行</t>
    </r>
    <phoneticPr fontId="5" type="noConversion"/>
  </si>
  <si>
    <t>81M690</t>
    <phoneticPr fontId="5" type="noConversion"/>
  </si>
  <si>
    <t>112 年 0911 其他-嘉義中埔-001 (第二次)</t>
  </si>
  <si>
    <t>112 年 0911 其他-嘉義竹崎-001 (第一次)</t>
  </si>
  <si>
    <r>
      <rPr>
        <sz val="12"/>
        <rFont val="標楷體"/>
        <family val="4"/>
        <charset val="136"/>
      </rPr>
      <t>竹崎鄉樟樹坪段</t>
    </r>
    <r>
      <rPr>
        <sz val="12"/>
        <rFont val="Times New Roman"/>
        <family val="1"/>
      </rPr>
      <t xml:space="preserve"> 5-2</t>
    </r>
    <r>
      <rPr>
        <sz val="12"/>
        <rFont val="標楷體"/>
        <family val="4"/>
        <charset val="136"/>
      </rPr>
      <t>、</t>
    </r>
    <r>
      <rPr>
        <sz val="12"/>
        <rFont val="Times New Roman"/>
        <family val="1"/>
      </rPr>
      <t>5-3</t>
    </r>
    <r>
      <rPr>
        <sz val="12"/>
        <rFont val="標楷體"/>
        <family val="4"/>
        <charset val="136"/>
      </rPr>
      <t>地號</t>
    </r>
    <phoneticPr fontId="5" type="noConversion"/>
  </si>
  <si>
    <r>
      <rPr>
        <sz val="12"/>
        <rFont val="標楷體"/>
        <family val="4"/>
        <charset val="136"/>
      </rPr>
      <t>文峰村</t>
    </r>
    <phoneticPr fontId="5" type="noConversion"/>
  </si>
  <si>
    <r>
      <rPr>
        <sz val="12"/>
        <rFont val="標楷體"/>
        <family val="4"/>
        <charset val="136"/>
      </rPr>
      <t>竹崎鄉樟樹坪段</t>
    </r>
    <r>
      <rPr>
        <sz val="12"/>
        <rFont val="Times New Roman"/>
        <family val="1"/>
      </rPr>
      <t xml:space="preserve"> 5-2</t>
    </r>
    <r>
      <rPr>
        <sz val="12"/>
        <rFont val="標楷體"/>
        <family val="4"/>
        <charset val="136"/>
      </rPr>
      <t>、</t>
    </r>
    <r>
      <rPr>
        <sz val="12"/>
        <rFont val="Times New Roman"/>
        <family val="1"/>
      </rPr>
      <t xml:space="preserve">5-3 </t>
    </r>
    <r>
      <rPr>
        <sz val="12"/>
        <rFont val="標楷體"/>
        <family val="4"/>
        <charset val="136"/>
      </rPr>
      <t>地號因午後之短沿時強降雨，上邊坡道路之逕流集中，於橫向排水出口處向下邊坡淘刷，並產生兩處崩塌，崩塌土砂向下移動並堆積於樟樹坪段</t>
    </r>
    <r>
      <rPr>
        <sz val="12"/>
        <rFont val="Times New Roman"/>
        <family val="1"/>
      </rPr>
      <t xml:space="preserve"> 5-2</t>
    </r>
    <r>
      <rPr>
        <sz val="12"/>
        <rFont val="標楷體"/>
        <family val="4"/>
        <charset val="136"/>
      </rPr>
      <t>、</t>
    </r>
    <r>
      <rPr>
        <sz val="12"/>
        <rFont val="Times New Roman"/>
        <family val="1"/>
      </rPr>
      <t>5-3</t>
    </r>
    <r>
      <rPr>
        <sz val="12"/>
        <rFont val="標楷體"/>
        <family val="4"/>
        <charset val="136"/>
      </rPr>
      <t>地號，造成建物損毀及農地淤埋。</t>
    </r>
    <phoneticPr fontId="5" type="noConversion"/>
  </si>
  <si>
    <t>112 年 0824 其他-南投信義-001 (第一次)</t>
  </si>
  <si>
    <r>
      <rPr>
        <sz val="12"/>
        <rFont val="標楷體"/>
        <family val="4"/>
        <charset val="136"/>
      </rPr>
      <t>投</t>
    </r>
    <r>
      <rPr>
        <sz val="12"/>
        <rFont val="Times New Roman"/>
        <family val="1"/>
      </rPr>
      <t xml:space="preserve"> 95 </t>
    </r>
    <r>
      <rPr>
        <sz val="12"/>
        <rFont val="標楷體"/>
        <family val="4"/>
        <charset val="136"/>
      </rPr>
      <t>線</t>
    </r>
    <r>
      <rPr>
        <sz val="12"/>
        <rFont val="Times New Roman"/>
        <family val="1"/>
      </rPr>
      <t xml:space="preserve"> 4.3K </t>
    </r>
    <r>
      <rPr>
        <sz val="12"/>
        <rFont val="標楷體"/>
        <family val="4"/>
        <charset val="136"/>
      </rPr>
      <t>投縣</t>
    </r>
    <r>
      <rPr>
        <sz val="12"/>
        <rFont val="Times New Roman"/>
        <family val="1"/>
      </rPr>
      <t xml:space="preserve"> DF206</t>
    </r>
    <phoneticPr fontId="5" type="noConversion"/>
  </si>
  <si>
    <r>
      <rPr>
        <sz val="12"/>
        <rFont val="標楷體"/>
        <family val="4"/>
        <charset val="136"/>
      </rPr>
      <t>東埔村</t>
    </r>
    <phoneticPr fontId="5" type="noConversion"/>
  </si>
  <si>
    <r>
      <rPr>
        <sz val="12"/>
        <rFont val="標楷體"/>
        <family val="4"/>
        <charset val="136"/>
      </rPr>
      <t>投縣</t>
    </r>
    <r>
      <rPr>
        <sz val="12"/>
        <rFont val="Times New Roman"/>
        <family val="1"/>
      </rPr>
      <t>DF206</t>
    </r>
    <phoneticPr fontId="5" type="noConversion"/>
  </si>
  <si>
    <r>
      <rPr>
        <sz val="12"/>
        <rFont val="標楷體"/>
        <family val="4"/>
        <charset val="136"/>
      </rPr>
      <t>投</t>
    </r>
    <r>
      <rPr>
        <sz val="12"/>
        <rFont val="Times New Roman"/>
        <family val="1"/>
      </rPr>
      <t xml:space="preserve"> 95 </t>
    </r>
    <r>
      <rPr>
        <sz val="12"/>
        <rFont val="標楷體"/>
        <family val="4"/>
        <charset val="136"/>
      </rPr>
      <t>線</t>
    </r>
    <r>
      <rPr>
        <sz val="12"/>
        <rFont val="Times New Roman"/>
        <family val="1"/>
      </rPr>
      <t xml:space="preserve"> 4.3K(</t>
    </r>
    <r>
      <rPr>
        <sz val="12"/>
        <rFont val="標楷體"/>
        <family val="4"/>
        <charset val="136"/>
      </rPr>
      <t>土石流潛勢溪流投縣</t>
    </r>
    <r>
      <rPr>
        <sz val="12"/>
        <rFont val="Times New Roman"/>
        <family val="1"/>
      </rPr>
      <t xml:space="preserve"> DF206)</t>
    </r>
    <r>
      <rPr>
        <sz val="12"/>
        <rFont val="標楷體"/>
        <family val="4"/>
        <charset val="136"/>
      </rPr>
      <t>因</t>
    </r>
    <r>
      <rPr>
        <sz val="12"/>
        <rFont val="Times New Roman"/>
        <family val="1"/>
      </rPr>
      <t xml:space="preserve"> 8 </t>
    </r>
    <r>
      <rPr>
        <sz val="12"/>
        <rFont val="標楷體"/>
        <family val="4"/>
        <charset val="136"/>
      </rPr>
      <t>月</t>
    </r>
    <r>
      <rPr>
        <sz val="12"/>
        <rFont val="Times New Roman"/>
        <family val="1"/>
      </rPr>
      <t xml:space="preserve"> 23 </t>
    </r>
    <r>
      <rPr>
        <sz val="12"/>
        <rFont val="標楷體"/>
        <family val="4"/>
        <charset val="136"/>
      </rPr>
      <t>日及</t>
    </r>
    <r>
      <rPr>
        <sz val="12"/>
        <rFont val="Times New Roman"/>
        <family val="1"/>
      </rPr>
      <t xml:space="preserve"> 8 </t>
    </r>
    <r>
      <rPr>
        <sz val="12"/>
        <rFont val="標楷體"/>
        <family val="4"/>
        <charset val="136"/>
      </rPr>
      <t>月</t>
    </r>
    <r>
      <rPr>
        <sz val="12"/>
        <rFont val="Times New Roman"/>
        <family val="1"/>
      </rPr>
      <t xml:space="preserve"> 24 </t>
    </r>
    <r>
      <rPr>
        <sz val="12"/>
        <rFont val="標楷體"/>
        <family val="4"/>
        <charset val="136"/>
      </rPr>
      <t>日山區降雨造成土砂下移淤積河道及道路下方箱涵，導致土砂溢流至投</t>
    </r>
    <r>
      <rPr>
        <sz val="12"/>
        <rFont val="Times New Roman"/>
        <family val="1"/>
      </rPr>
      <t xml:space="preserve"> 95 </t>
    </r>
    <r>
      <rPr>
        <sz val="12"/>
        <rFont val="標楷體"/>
        <family val="4"/>
        <charset val="136"/>
      </rPr>
      <t>線及兩岸農地，致道路中斷及民房遭土砂沖入。初判土砂來源為卡努颱風及午後雷陣雨造成集水區既有崩塌地沖蝕及坑溝刷深所致。</t>
    </r>
    <phoneticPr fontId="5" type="noConversion"/>
  </si>
  <si>
    <t>C1I350</t>
  </si>
  <si>
    <r>
      <rPr>
        <sz val="12"/>
        <rFont val="標楷體"/>
        <family val="4"/>
        <charset val="136"/>
      </rPr>
      <t>東埔</t>
    </r>
    <phoneticPr fontId="5" type="noConversion"/>
  </si>
  <si>
    <t>112 年 0824 其他-南投信義-001 (第二次)</t>
  </si>
  <si>
    <t>112 年 0823 其他-高雄桃源-001 (第一次)</t>
  </si>
  <si>
    <r>
      <rPr>
        <sz val="12"/>
        <rFont val="標楷體"/>
        <family val="4"/>
        <charset val="136"/>
      </rPr>
      <t>臺</t>
    </r>
    <r>
      <rPr>
        <sz val="12"/>
        <rFont val="Times New Roman"/>
        <family val="1"/>
      </rPr>
      <t xml:space="preserve"> 20 </t>
    </r>
    <r>
      <rPr>
        <sz val="12"/>
        <rFont val="標楷體"/>
        <family val="4"/>
        <charset val="136"/>
      </rPr>
      <t>線明霸克露橋</t>
    </r>
    <r>
      <rPr>
        <sz val="12"/>
        <rFont val="Times New Roman"/>
        <family val="1"/>
      </rPr>
      <t>(</t>
    </r>
    <r>
      <rPr>
        <sz val="12"/>
        <rFont val="標楷體"/>
        <family val="4"/>
        <charset val="136"/>
      </rPr>
      <t>玉穗溪</t>
    </r>
    <r>
      <rPr>
        <sz val="12"/>
        <rFont val="Times New Roman"/>
        <family val="1"/>
      </rPr>
      <t>)</t>
    </r>
    <phoneticPr fontId="5" type="noConversion"/>
  </si>
  <si>
    <r>
      <rPr>
        <sz val="12"/>
        <rFont val="標楷體"/>
        <family val="4"/>
        <charset val="136"/>
      </rPr>
      <t>勤和里</t>
    </r>
    <phoneticPr fontId="5" type="noConversion"/>
  </si>
  <si>
    <r>
      <rPr>
        <sz val="12"/>
        <rFont val="標楷體"/>
        <family val="4"/>
        <charset val="136"/>
      </rPr>
      <t>臺</t>
    </r>
    <r>
      <rPr>
        <sz val="12"/>
        <rFont val="Times New Roman"/>
        <family val="1"/>
      </rPr>
      <t xml:space="preserve"> 20 </t>
    </r>
    <r>
      <rPr>
        <sz val="12"/>
        <rFont val="標楷體"/>
        <family val="4"/>
        <charset val="136"/>
      </rPr>
      <t>線明霸克露橋因</t>
    </r>
    <r>
      <rPr>
        <sz val="12"/>
        <rFont val="Times New Roman"/>
        <family val="1"/>
      </rPr>
      <t xml:space="preserve"> 8 </t>
    </r>
    <r>
      <rPr>
        <sz val="12"/>
        <rFont val="標楷體"/>
        <family val="4"/>
        <charset val="136"/>
      </rPr>
      <t>月下旬連日午後雷陣雨，土砂含水量高，玉穗溪滯留河道不安定土砂下移至與荖濃溪匯流口淤積，鋼便橋上方原滯洪沈砂池現己淤滿，鋼便橋處土石壅高</t>
    </r>
    <r>
      <rPr>
        <sz val="12"/>
        <rFont val="Times New Roman"/>
        <family val="1"/>
      </rPr>
      <t xml:space="preserve"> 7 </t>
    </r>
    <r>
      <rPr>
        <sz val="12"/>
        <rFont val="標楷體"/>
        <family val="4"/>
        <charset val="136"/>
      </rPr>
      <t>公尺，原通行人車臨時道路遭土石淹沒，淹沒深度約</t>
    </r>
    <r>
      <rPr>
        <sz val="12"/>
        <rFont val="Times New Roman"/>
        <family val="1"/>
      </rPr>
      <t xml:space="preserve"> 4 </t>
    </r>
    <r>
      <rPr>
        <sz val="12"/>
        <rFont val="標楷體"/>
        <family val="4"/>
        <charset val="136"/>
      </rPr>
      <t>公尺高。</t>
    </r>
    <phoneticPr fontId="5" type="noConversion"/>
  </si>
  <si>
    <t>112 年 0823 其他-高雄桃源-001(第二次)</t>
  </si>
  <si>
    <t>112 年 0704 其他-南投仁愛-001</t>
  </si>
  <si>
    <r>
      <rPr>
        <sz val="12"/>
        <rFont val="標楷體"/>
        <family val="4"/>
        <charset val="136"/>
      </rPr>
      <t>台</t>
    </r>
    <r>
      <rPr>
        <sz val="12"/>
        <rFont val="Times New Roman"/>
        <family val="1"/>
      </rPr>
      <t xml:space="preserve"> 14 </t>
    </r>
    <r>
      <rPr>
        <sz val="12"/>
        <rFont val="標楷體"/>
        <family val="4"/>
        <charset val="136"/>
      </rPr>
      <t>甲線</t>
    </r>
    <r>
      <rPr>
        <sz val="12"/>
        <rFont val="Times New Roman"/>
        <family val="1"/>
      </rPr>
      <t xml:space="preserve"> 18.7K</t>
    </r>
    <phoneticPr fontId="5" type="noConversion"/>
  </si>
  <si>
    <r>
      <rPr>
        <sz val="12"/>
        <rFont val="標楷體"/>
        <family val="4"/>
        <charset val="136"/>
      </rPr>
      <t>台</t>
    </r>
    <r>
      <rPr>
        <sz val="12"/>
        <rFont val="Times New Roman"/>
        <family val="1"/>
      </rPr>
      <t xml:space="preserve"> 14 </t>
    </r>
    <r>
      <rPr>
        <sz val="12"/>
        <rFont val="標楷體"/>
        <family val="4"/>
        <charset val="136"/>
      </rPr>
      <t>甲線</t>
    </r>
    <r>
      <rPr>
        <sz val="12"/>
        <rFont val="Times New Roman"/>
        <family val="1"/>
      </rPr>
      <t xml:space="preserve"> 18.7K </t>
    </r>
    <r>
      <rPr>
        <sz val="12"/>
        <rFont val="標楷體"/>
        <family val="4"/>
        <charset val="136"/>
      </rPr>
      <t>於分別</t>
    </r>
    <r>
      <rPr>
        <sz val="12"/>
        <rFont val="Times New Roman"/>
        <family val="1"/>
      </rPr>
      <t xml:space="preserve"> 7/2 </t>
    </r>
    <r>
      <rPr>
        <sz val="12"/>
        <rFont val="標楷體"/>
        <family val="4"/>
        <charset val="136"/>
      </rPr>
      <t>及</t>
    </r>
    <r>
      <rPr>
        <sz val="12"/>
        <rFont val="Times New Roman"/>
        <family val="1"/>
      </rPr>
      <t xml:space="preserve"> 7/3 </t>
    </r>
    <r>
      <rPr>
        <sz val="12"/>
        <rFont val="標楷體"/>
        <family val="4"/>
        <charset val="136"/>
      </rPr>
      <t>發生崩塌，雖兩次崩塌時間點皆未有降雨發生，初判因多日午後雷陣雨不斷，使雨水入滲邊坡，增加土壤含水量，終造成道路邊坡崩塌；第</t>
    </r>
    <r>
      <rPr>
        <sz val="12"/>
        <rFont val="Times New Roman"/>
        <family val="1"/>
      </rPr>
      <t xml:space="preserve"> 1 </t>
    </r>
    <r>
      <rPr>
        <sz val="12"/>
        <rFont val="標楷體"/>
        <family val="4"/>
        <charset val="136"/>
      </rPr>
      <t>次崩塌造成大量巨石堆積於下方路段，第</t>
    </r>
    <r>
      <rPr>
        <sz val="12"/>
        <rFont val="Times New Roman"/>
        <family val="1"/>
      </rPr>
      <t xml:space="preserve"> 2 </t>
    </r>
    <r>
      <rPr>
        <sz val="12"/>
        <rFont val="標楷體"/>
        <family val="4"/>
        <charset val="136"/>
      </rPr>
      <t>次崩塌則為土石堆積於上方路段，但皆未造成道路路基破壞，屬於淺層崩塌，目前公路總局已於崩塌地坡腳施打鋼軌樁以穩定邊坡。</t>
    </r>
    <phoneticPr fontId="5" type="noConversion"/>
  </si>
  <si>
    <t>C1H000</t>
    <phoneticPr fontId="5" type="noConversion"/>
  </si>
  <si>
    <r>
      <rPr>
        <sz val="12"/>
        <rFont val="標楷體"/>
        <family val="4"/>
        <charset val="136"/>
      </rPr>
      <t>翠峰</t>
    </r>
    <phoneticPr fontId="5" type="noConversion"/>
  </si>
  <si>
    <t>112 年 0206 其他-新北金山-001</t>
  </si>
  <si>
    <r>
      <rPr>
        <sz val="12"/>
        <rFont val="標楷體"/>
        <family val="4"/>
        <charset val="136"/>
      </rPr>
      <t>台</t>
    </r>
    <r>
      <rPr>
        <sz val="12"/>
        <rFont val="Times New Roman"/>
        <family val="1"/>
      </rPr>
      <t xml:space="preserve"> 2 </t>
    </r>
    <r>
      <rPr>
        <sz val="12"/>
        <rFont val="標楷體"/>
        <family val="4"/>
        <charset val="136"/>
      </rPr>
      <t>甲線</t>
    </r>
    <r>
      <rPr>
        <sz val="12"/>
        <rFont val="Times New Roman"/>
        <family val="1"/>
      </rPr>
      <t xml:space="preserve"> 4K(</t>
    </r>
    <r>
      <rPr>
        <sz val="12"/>
        <rFont val="標楷體"/>
        <family val="4"/>
        <charset val="136"/>
      </rPr>
      <t>林莊淨水廠</t>
    </r>
    <r>
      <rPr>
        <sz val="12"/>
        <rFont val="Times New Roman"/>
        <family val="1"/>
      </rPr>
      <t>)</t>
    </r>
    <phoneticPr fontId="5" type="noConversion"/>
  </si>
  <si>
    <r>
      <rPr>
        <sz val="12"/>
        <rFont val="標楷體"/>
        <family val="4"/>
        <charset val="136"/>
      </rPr>
      <t>金山區</t>
    </r>
    <phoneticPr fontId="5" type="noConversion"/>
  </si>
  <si>
    <r>
      <rPr>
        <sz val="12"/>
        <rFont val="標楷體"/>
        <family val="4"/>
        <charset val="136"/>
      </rPr>
      <t>重和里</t>
    </r>
    <phoneticPr fontId="5" type="noConversion"/>
  </si>
  <si>
    <r>
      <rPr>
        <sz val="12"/>
        <rFont val="標楷體"/>
        <family val="4"/>
        <charset val="136"/>
      </rPr>
      <t>本災例發生於台</t>
    </r>
    <r>
      <rPr>
        <sz val="12"/>
        <rFont val="Times New Roman"/>
        <family val="1"/>
      </rPr>
      <t xml:space="preserve"> 2 </t>
    </r>
    <r>
      <rPr>
        <sz val="12"/>
        <rFont val="標楷體"/>
        <family val="4"/>
        <charset val="136"/>
      </rPr>
      <t>甲線</t>
    </r>
    <r>
      <rPr>
        <sz val="12"/>
        <rFont val="Times New Roman"/>
        <family val="1"/>
      </rPr>
      <t xml:space="preserve"> 4K(</t>
    </r>
    <r>
      <rPr>
        <sz val="12"/>
        <rFont val="標楷體"/>
        <family val="4"/>
        <charset val="136"/>
      </rPr>
      <t>林莊淨水廠</t>
    </r>
    <r>
      <rPr>
        <sz val="12"/>
        <rFont val="Times New Roman"/>
        <family val="1"/>
      </rPr>
      <t>)</t>
    </r>
    <r>
      <rPr>
        <sz val="12"/>
        <rFont val="標楷體"/>
        <family val="4"/>
        <charset val="136"/>
      </rPr>
      <t>，因東北季風挾帶之大雨，地表逕流沿邊坡縫隙入滲造成崩塌，土砂堆積並掩埋林莊淨水廠，造成淨水池倒塌，道路指示牌損毀，道路邊溝土砂淤積，崩崖距上邊坡保全對象約</t>
    </r>
    <r>
      <rPr>
        <sz val="12"/>
        <rFont val="Times New Roman"/>
        <family val="1"/>
      </rPr>
      <t xml:space="preserve"> 50 </t>
    </r>
    <r>
      <rPr>
        <sz val="12"/>
        <rFont val="標楷體"/>
        <family val="4"/>
        <charset val="136"/>
      </rPr>
      <t>公尺，若崩塌持續擴大可能影響保全對象安全。</t>
    </r>
    <phoneticPr fontId="5" type="noConversion"/>
  </si>
  <si>
    <t>C0A940</t>
    <phoneticPr fontId="5" type="noConversion"/>
  </si>
  <si>
    <r>
      <rPr>
        <sz val="12"/>
        <rFont val="標楷體"/>
        <family val="4"/>
        <charset val="136"/>
      </rPr>
      <t>金山</t>
    </r>
    <phoneticPr fontId="5" type="noConversion"/>
  </si>
  <si>
    <t>113 年其他(0422)-花蓮秀林-002</t>
  </si>
  <si>
    <r>
      <rPr>
        <sz val="12"/>
        <rFont val="標楷體"/>
        <family val="4"/>
        <charset val="136"/>
      </rPr>
      <t>台</t>
    </r>
    <r>
      <rPr>
        <sz val="12"/>
        <rFont val="Times New Roman"/>
        <family val="1"/>
      </rPr>
      <t xml:space="preserve"> 9 </t>
    </r>
    <r>
      <rPr>
        <sz val="12"/>
        <rFont val="標楷體"/>
        <family val="4"/>
        <charset val="136"/>
      </rPr>
      <t>線</t>
    </r>
    <r>
      <rPr>
        <sz val="12"/>
        <rFont val="Times New Roman"/>
        <family val="1"/>
      </rPr>
      <t xml:space="preserve"> 160.7K</t>
    </r>
    <phoneticPr fontId="5" type="noConversion"/>
  </si>
  <si>
    <r>
      <rPr>
        <sz val="12"/>
        <rFont val="標楷體"/>
        <family val="4"/>
        <charset val="136"/>
      </rPr>
      <t>崇德村</t>
    </r>
    <phoneticPr fontId="5" type="noConversion"/>
  </si>
  <si>
    <r>
      <rPr>
        <sz val="12"/>
        <rFont val="標楷體"/>
        <family val="4"/>
        <charset val="136"/>
      </rPr>
      <t>其他</t>
    </r>
    <r>
      <rPr>
        <sz val="12"/>
        <rFont val="Times New Roman"/>
        <family val="1"/>
      </rPr>
      <t>(0422)</t>
    </r>
    <phoneticPr fontId="5" type="noConversion"/>
  </si>
  <si>
    <r>
      <rPr>
        <sz val="12"/>
        <rFont val="標楷體"/>
        <family val="4"/>
        <charset val="136"/>
      </rPr>
      <t>台</t>
    </r>
    <r>
      <rPr>
        <sz val="12"/>
        <rFont val="Times New Roman"/>
        <family val="1"/>
      </rPr>
      <t xml:space="preserve"> 9 </t>
    </r>
    <r>
      <rPr>
        <sz val="12"/>
        <rFont val="標楷體"/>
        <family val="4"/>
        <charset val="136"/>
      </rPr>
      <t>線</t>
    </r>
    <r>
      <rPr>
        <sz val="12"/>
        <rFont val="Times New Roman"/>
        <family val="1"/>
      </rPr>
      <t xml:space="preserve"> 160.7K </t>
    </r>
    <r>
      <rPr>
        <sz val="12"/>
        <rFont val="標楷體"/>
        <family val="4"/>
        <charset val="136"/>
      </rPr>
      <t>處係因</t>
    </r>
    <r>
      <rPr>
        <sz val="12"/>
        <rFont val="Times New Roman"/>
        <family val="1"/>
      </rPr>
      <t xml:space="preserve"> 0403 </t>
    </r>
    <r>
      <rPr>
        <sz val="12"/>
        <rFont val="標楷體"/>
        <family val="4"/>
        <charset val="136"/>
      </rPr>
      <t>花蓮地震，造成台</t>
    </r>
    <r>
      <rPr>
        <sz val="12"/>
        <rFont val="Times New Roman"/>
        <family val="1"/>
      </rPr>
      <t xml:space="preserve"> 9 </t>
    </r>
    <r>
      <rPr>
        <sz val="12"/>
        <rFont val="標楷體"/>
        <family val="4"/>
        <charset val="136"/>
      </rPr>
      <t>線上邊坡發生新增崩塌，大量土砂堆積於溪床，且於</t>
    </r>
    <r>
      <rPr>
        <sz val="12"/>
        <rFont val="Times New Roman"/>
        <family val="1"/>
      </rPr>
      <t xml:space="preserve"> 4 </t>
    </r>
    <r>
      <rPr>
        <sz val="12"/>
        <rFont val="標楷體"/>
        <family val="4"/>
        <charset val="136"/>
      </rPr>
      <t>月</t>
    </r>
    <r>
      <rPr>
        <sz val="12"/>
        <rFont val="Times New Roman"/>
        <family val="1"/>
      </rPr>
      <t xml:space="preserve"> 22 </t>
    </r>
    <r>
      <rPr>
        <sz val="12"/>
        <rFont val="標楷體"/>
        <family val="4"/>
        <charset val="136"/>
      </rPr>
      <t>日之強降雨引發土石流，河床土石流動至台</t>
    </r>
    <r>
      <rPr>
        <sz val="12"/>
        <rFont val="Times New Roman"/>
        <family val="1"/>
      </rPr>
      <t xml:space="preserve"> 9 </t>
    </r>
    <r>
      <rPr>
        <sz val="12"/>
        <rFont val="標楷體"/>
        <family val="4"/>
        <charset val="136"/>
      </rPr>
      <t>線，造成過路箱涵阻塞，大量土砂堆積於道路，部分堆積於小清水溪停車場，土石流造成溪床拓寬。</t>
    </r>
    <phoneticPr fontId="5" type="noConversion"/>
  </si>
  <si>
    <t>C0Z310</t>
    <phoneticPr fontId="5" type="noConversion"/>
  </si>
  <si>
    <r>
      <rPr>
        <sz val="12"/>
        <rFont val="標楷體"/>
        <family val="4"/>
        <charset val="136"/>
      </rPr>
      <t>清水斷崖</t>
    </r>
  </si>
  <si>
    <t>113 年其他(0422)-花蓮秀林-001</t>
  </si>
  <si>
    <r>
      <rPr>
        <sz val="12"/>
        <rFont val="標楷體"/>
        <family val="4"/>
        <charset val="136"/>
      </rPr>
      <t>和平村</t>
    </r>
    <phoneticPr fontId="5" type="noConversion"/>
  </si>
  <si>
    <r>
      <rPr>
        <sz val="12"/>
        <rFont val="標楷體"/>
        <family val="4"/>
        <charset val="136"/>
      </rPr>
      <t>花縣</t>
    </r>
    <r>
      <rPr>
        <sz val="12"/>
        <rFont val="Times New Roman"/>
        <family val="1"/>
      </rPr>
      <t>DF025</t>
    </r>
    <phoneticPr fontId="5" type="noConversion"/>
  </si>
  <si>
    <r>
      <rPr>
        <sz val="12"/>
        <rFont val="標楷體"/>
        <family val="4"/>
        <charset val="136"/>
      </rPr>
      <t>其他</t>
    </r>
    <r>
      <rPr>
        <sz val="12"/>
        <rFont val="Times New Roman"/>
        <family val="1"/>
      </rPr>
      <t>(0429)</t>
    </r>
    <phoneticPr fontId="5" type="noConversion"/>
  </si>
  <si>
    <r>
      <rPr>
        <sz val="12"/>
        <rFont val="標楷體"/>
        <family val="4"/>
        <charset val="136"/>
      </rPr>
      <t>花縣</t>
    </r>
    <r>
      <rPr>
        <sz val="12"/>
        <rFont val="Times New Roman"/>
        <family val="1"/>
      </rPr>
      <t xml:space="preserve"> DF025 </t>
    </r>
    <r>
      <rPr>
        <sz val="12"/>
        <rFont val="標楷體"/>
        <family val="4"/>
        <charset val="136"/>
      </rPr>
      <t>因</t>
    </r>
    <r>
      <rPr>
        <sz val="12"/>
        <rFont val="Times New Roman"/>
        <family val="1"/>
      </rPr>
      <t xml:space="preserve"> 0403 </t>
    </r>
    <r>
      <rPr>
        <sz val="12"/>
        <rFont val="標楷體"/>
        <family val="4"/>
        <charset val="136"/>
      </rPr>
      <t>地震，造成上邊坡有多處崩塌，且有大量土砂堆積河道，加上現況河道已淤滿，如遇豪雨，土砂易產生溢流，</t>
    </r>
    <r>
      <rPr>
        <sz val="12"/>
        <rFont val="Times New Roman"/>
        <family val="1"/>
      </rPr>
      <t xml:space="preserve">6 </t>
    </r>
    <r>
      <rPr>
        <sz val="12"/>
        <rFont val="標楷體"/>
        <family val="4"/>
        <charset val="136"/>
      </rPr>
      <t>月</t>
    </r>
    <r>
      <rPr>
        <sz val="12"/>
        <rFont val="Times New Roman"/>
        <family val="1"/>
      </rPr>
      <t xml:space="preserve"> 29 </t>
    </r>
    <r>
      <rPr>
        <sz val="12"/>
        <rFont val="標楷體"/>
        <family val="4"/>
        <charset val="136"/>
      </rPr>
      <t>日傍晚強降雨造成花縣</t>
    </r>
    <r>
      <rPr>
        <sz val="12"/>
        <rFont val="Times New Roman"/>
        <family val="1"/>
      </rPr>
      <t xml:space="preserve"> DF025 </t>
    </r>
    <r>
      <rPr>
        <sz val="12"/>
        <rFont val="標楷體"/>
        <family val="4"/>
        <charset val="136"/>
      </rPr>
      <t>發生土石流，土石流阻塞台</t>
    </r>
    <r>
      <rPr>
        <sz val="12"/>
        <rFont val="Times New Roman"/>
        <family val="1"/>
      </rPr>
      <t xml:space="preserve"> 9 </t>
    </r>
    <r>
      <rPr>
        <sz val="12"/>
        <rFont val="標楷體"/>
        <family val="4"/>
        <charset val="136"/>
      </rPr>
      <t>丁線橋涵，造成大量土砂往右岸溢流，並堆積至和仁安檢所及鄰近房民，最後於低處流回河道。</t>
    </r>
    <phoneticPr fontId="5" type="noConversion"/>
  </si>
  <si>
    <t>C0T9D0</t>
    <phoneticPr fontId="5" type="noConversion"/>
  </si>
  <si>
    <r>
      <rPr>
        <sz val="12"/>
        <rFont val="標楷體"/>
        <family val="4"/>
        <charset val="136"/>
      </rPr>
      <t>和中</t>
    </r>
    <phoneticPr fontId="5" type="noConversion"/>
  </si>
  <si>
    <t>113 年其他(0621)-花蓮秀林-001</t>
  </si>
  <si>
    <r>
      <rPr>
        <sz val="12"/>
        <rFont val="標楷體"/>
        <family val="4"/>
        <charset val="136"/>
      </rPr>
      <t>台鐵北迴線和仁隧道南口</t>
    </r>
    <phoneticPr fontId="5" type="noConversion"/>
  </si>
  <si>
    <r>
      <rPr>
        <sz val="12"/>
        <rFont val="標楷體"/>
        <family val="4"/>
        <charset val="136"/>
      </rPr>
      <t>花縣</t>
    </r>
    <r>
      <rPr>
        <sz val="12"/>
        <rFont val="Times New Roman"/>
        <family val="1"/>
      </rPr>
      <t>DF024</t>
    </r>
    <phoneticPr fontId="5" type="noConversion"/>
  </si>
  <si>
    <r>
      <rPr>
        <sz val="12"/>
        <rFont val="標楷體"/>
        <family val="4"/>
        <charset val="136"/>
      </rPr>
      <t>花縣</t>
    </r>
    <r>
      <rPr>
        <sz val="12"/>
        <rFont val="Times New Roman"/>
        <family val="1"/>
      </rPr>
      <t xml:space="preserve"> DF024 </t>
    </r>
    <r>
      <rPr>
        <sz val="12"/>
        <rFont val="標楷體"/>
        <family val="4"/>
        <charset val="136"/>
      </rPr>
      <t>因</t>
    </r>
    <r>
      <rPr>
        <sz val="12"/>
        <rFont val="Times New Roman"/>
        <family val="1"/>
      </rPr>
      <t xml:space="preserve"> 0403 </t>
    </r>
    <r>
      <rPr>
        <sz val="12"/>
        <rFont val="標楷體"/>
        <family val="4"/>
        <charset val="136"/>
      </rPr>
      <t>地震後，多日降雨造成大量土砂下移至下游堆積，大量土砂堆積抬升河床高度，現況橋涵僅約</t>
    </r>
    <r>
      <rPr>
        <sz val="12"/>
        <rFont val="Times New Roman"/>
        <family val="1"/>
      </rPr>
      <t xml:space="preserve"> 5.5 </t>
    </r>
    <r>
      <rPr>
        <sz val="12"/>
        <rFont val="標楷體"/>
        <family val="4"/>
        <charset val="136"/>
      </rPr>
      <t>公尺，加上土砂堆積於右岸，致使流心偏向左岸，台鐵</t>
    </r>
    <r>
      <rPr>
        <sz val="12"/>
        <rFont val="Times New Roman"/>
        <family val="1"/>
      </rPr>
      <t>(</t>
    </r>
    <r>
      <rPr>
        <sz val="12"/>
        <rFont val="標楷體"/>
        <family val="4"/>
        <charset val="136"/>
      </rPr>
      <t>西正線</t>
    </r>
    <r>
      <rPr>
        <sz val="12"/>
        <rFont val="Times New Roman"/>
        <family val="1"/>
      </rPr>
      <t>)</t>
    </r>
    <r>
      <rPr>
        <sz val="12"/>
        <rFont val="標楷體"/>
        <family val="4"/>
        <charset val="136"/>
      </rPr>
      <t>和仁隧道南口恰位於花縣</t>
    </r>
    <r>
      <rPr>
        <sz val="12"/>
        <rFont val="Times New Roman"/>
        <family val="1"/>
      </rPr>
      <t xml:space="preserve"> DF024 </t>
    </r>
    <r>
      <rPr>
        <sz val="12"/>
        <rFont val="標楷體"/>
        <family val="4"/>
        <charset val="136"/>
      </rPr>
      <t>之凹岸，水流衝擊力將土砂溢流於鐵路，終造成台鐵</t>
    </r>
    <r>
      <rPr>
        <sz val="12"/>
        <rFont val="Times New Roman"/>
        <family val="1"/>
      </rPr>
      <t xml:space="preserve"> 229 </t>
    </r>
    <r>
      <rPr>
        <sz val="12"/>
        <rFont val="標楷體"/>
        <family val="4"/>
        <charset val="136"/>
      </rPr>
      <t>號次新自強號於</t>
    </r>
    <r>
      <rPr>
        <sz val="12"/>
        <rFont val="Times New Roman"/>
        <family val="1"/>
      </rPr>
      <t xml:space="preserve"> 16 </t>
    </r>
    <r>
      <rPr>
        <sz val="12"/>
        <rFont val="標楷體"/>
        <family val="4"/>
        <charset val="136"/>
      </rPr>
      <t>時</t>
    </r>
    <r>
      <rPr>
        <sz val="12"/>
        <rFont val="Times New Roman"/>
        <family val="1"/>
      </rPr>
      <t xml:space="preserve"> 50 </t>
    </r>
    <r>
      <rPr>
        <sz val="12"/>
        <rFont val="標楷體"/>
        <family val="4"/>
        <charset val="136"/>
      </rPr>
      <t>分行經此處時發生脫軌事故。</t>
    </r>
    <phoneticPr fontId="5" type="noConversion"/>
  </si>
  <si>
    <r>
      <t>12.5(</t>
    </r>
    <r>
      <rPr>
        <sz val="12"/>
        <rFont val="標楷體"/>
        <family val="4"/>
        <charset val="136"/>
      </rPr>
      <t>僅鐵路上</t>
    </r>
    <r>
      <rPr>
        <sz val="12"/>
        <rFont val="Times New Roman"/>
        <family val="1"/>
      </rPr>
      <t>)</t>
    </r>
    <phoneticPr fontId="5" type="noConversion"/>
  </si>
  <si>
    <t>113 年其他(0620)-花蓮秀林-001</t>
  </si>
  <si>
    <r>
      <rPr>
        <sz val="12"/>
        <rFont val="標楷體"/>
        <family val="4"/>
        <charset val="136"/>
      </rPr>
      <t>三棧南溪產業道路</t>
    </r>
  </si>
  <si>
    <r>
      <rPr>
        <sz val="12"/>
        <rFont val="標楷體"/>
        <family val="4"/>
        <charset val="136"/>
      </rPr>
      <t>景美村</t>
    </r>
    <phoneticPr fontId="5" type="noConversion"/>
  </si>
  <si>
    <r>
      <rPr>
        <sz val="12"/>
        <rFont val="標楷體"/>
        <family val="4"/>
        <charset val="136"/>
      </rPr>
      <t>花縣</t>
    </r>
    <r>
      <rPr>
        <sz val="12"/>
        <rFont val="Times New Roman"/>
        <family val="1"/>
      </rPr>
      <t>DF174</t>
    </r>
    <phoneticPr fontId="5" type="noConversion"/>
  </si>
  <si>
    <r>
      <rPr>
        <sz val="12"/>
        <rFont val="標楷體"/>
        <family val="4"/>
        <charset val="136"/>
      </rPr>
      <t>因</t>
    </r>
    <r>
      <rPr>
        <sz val="12"/>
        <rFont val="Times New Roman"/>
        <family val="1"/>
      </rPr>
      <t xml:space="preserve"> 0403 </t>
    </r>
    <r>
      <rPr>
        <sz val="12"/>
        <rFont val="標楷體"/>
        <family val="4"/>
        <charset val="136"/>
      </rPr>
      <t>地震造成上游發生崩塌，崩塌土砂因</t>
    </r>
    <r>
      <rPr>
        <sz val="12"/>
        <rFont val="Times New Roman"/>
        <family val="1"/>
      </rPr>
      <t xml:space="preserve"> 4~6 </t>
    </r>
    <r>
      <rPr>
        <sz val="12"/>
        <rFont val="標楷體"/>
        <family val="4"/>
        <charset val="136"/>
      </rPr>
      <t>月之降雨，持續有土砂下移，並於</t>
    </r>
    <r>
      <rPr>
        <sz val="12"/>
        <rFont val="Times New Roman"/>
        <family val="1"/>
      </rPr>
      <t xml:space="preserve"> 6 </t>
    </r>
    <r>
      <rPr>
        <sz val="12"/>
        <rFont val="標楷體"/>
        <family val="4"/>
        <charset val="136"/>
      </rPr>
      <t>月</t>
    </r>
    <r>
      <rPr>
        <sz val="12"/>
        <rFont val="Times New Roman"/>
        <family val="1"/>
      </rPr>
      <t xml:space="preserve"> 20 </t>
    </r>
    <r>
      <rPr>
        <sz val="12"/>
        <rFont val="標楷體"/>
        <family val="4"/>
        <charset val="136"/>
      </rPr>
      <t>日之午後雷陣雨引發土石流，土石淤積三棧石礦採石路之過路箱涵，土砂溢流至路面，並淤埋至勒巴克放山牧雞場，而三棧南溪則因大量土砂堆積而河道變寬，且河道橫向構造物皆因此淤滿。</t>
    </r>
    <phoneticPr fontId="5" type="noConversion"/>
  </si>
  <si>
    <r>
      <rPr>
        <sz val="12"/>
        <rFont val="標楷體"/>
        <family val="4"/>
        <charset val="136"/>
      </rPr>
      <t>三棧</t>
    </r>
  </si>
  <si>
    <t>113 年其他(0607)-嘉義中埔-001</t>
  </si>
  <si>
    <r>
      <t xml:space="preserve">112 </t>
    </r>
    <r>
      <rPr>
        <sz val="12"/>
        <rFont val="標楷體"/>
        <family val="4"/>
        <charset val="136"/>
      </rPr>
      <t>年上游已發生崩塌，由於植生尚未恢復，以及連日降雨，造成嘉縣</t>
    </r>
    <r>
      <rPr>
        <sz val="12"/>
        <rFont val="Times New Roman"/>
        <family val="1"/>
      </rPr>
      <t xml:space="preserve"> DF051</t>
    </r>
    <r>
      <rPr>
        <sz val="12"/>
        <rFont val="標楷體"/>
        <family val="4"/>
        <charset val="136"/>
      </rPr>
      <t>再次爆發土石流，土砂沿支流河道向下游流動，並在與主流匯流處阻塞過路箱涵，因而溢流及堆積於嘉</t>
    </r>
    <r>
      <rPr>
        <sz val="12"/>
        <rFont val="Times New Roman"/>
        <family val="1"/>
      </rPr>
      <t xml:space="preserve"> 141 </t>
    </r>
    <r>
      <rPr>
        <sz val="12"/>
        <rFont val="標楷體"/>
        <family val="4"/>
        <charset val="136"/>
      </rPr>
      <t>線及台</t>
    </r>
    <r>
      <rPr>
        <sz val="12"/>
        <rFont val="Times New Roman"/>
        <family val="1"/>
      </rPr>
      <t xml:space="preserve"> 3 </t>
    </r>
    <r>
      <rPr>
        <sz val="12"/>
        <rFont val="標楷體"/>
        <family val="4"/>
        <charset val="136"/>
      </rPr>
      <t>線，且使台</t>
    </r>
    <r>
      <rPr>
        <sz val="12"/>
        <rFont val="Times New Roman"/>
        <family val="1"/>
      </rPr>
      <t xml:space="preserve">3 </t>
    </r>
    <r>
      <rPr>
        <sz val="12"/>
        <rFont val="標楷體"/>
        <family val="4"/>
        <charset val="136"/>
      </rPr>
      <t>線道路邊溝淤積。</t>
    </r>
    <phoneticPr fontId="5" type="noConversion"/>
  </si>
  <si>
    <r>
      <rPr>
        <sz val="12"/>
        <rFont val="標楷體"/>
        <family val="4"/>
        <charset val="136"/>
      </rPr>
      <t>沄水國小</t>
    </r>
  </si>
  <si>
    <t>113 年其他(0603)-基隆中正-001</t>
  </si>
  <si>
    <r>
      <rPr>
        <sz val="12"/>
        <rFont val="標楷體"/>
        <family val="4"/>
        <charset val="136"/>
      </rPr>
      <t>台</t>
    </r>
    <r>
      <rPr>
        <sz val="12"/>
        <rFont val="Times New Roman"/>
        <family val="1"/>
      </rPr>
      <t xml:space="preserve"> 2 </t>
    </r>
    <r>
      <rPr>
        <sz val="12"/>
        <rFont val="標楷體"/>
        <family val="4"/>
        <charset val="136"/>
      </rPr>
      <t>線</t>
    </r>
    <r>
      <rPr>
        <sz val="12"/>
        <rFont val="Times New Roman"/>
        <family val="1"/>
      </rPr>
      <t xml:space="preserve"> 70K(</t>
    </r>
    <r>
      <rPr>
        <sz val="12"/>
        <rFont val="標楷體"/>
        <family val="4"/>
        <charset val="136"/>
      </rPr>
      <t>潮境公園平浪橋</t>
    </r>
    <r>
      <rPr>
        <sz val="12"/>
        <rFont val="Times New Roman"/>
        <family val="1"/>
      </rPr>
      <t>)</t>
    </r>
    <phoneticPr fontId="5" type="noConversion"/>
  </si>
  <si>
    <r>
      <rPr>
        <sz val="12"/>
        <rFont val="標楷體"/>
        <family val="4"/>
        <charset val="136"/>
      </rPr>
      <t>中正區</t>
    </r>
    <phoneticPr fontId="5" type="noConversion"/>
  </si>
  <si>
    <r>
      <rPr>
        <sz val="12"/>
        <rFont val="標楷體"/>
        <family val="4"/>
        <charset val="136"/>
      </rPr>
      <t>長潭里</t>
    </r>
    <phoneticPr fontId="5" type="noConversion"/>
  </si>
  <si>
    <r>
      <rPr>
        <sz val="12"/>
        <rFont val="標楷體"/>
        <family val="4"/>
        <charset val="136"/>
      </rPr>
      <t>台</t>
    </r>
    <r>
      <rPr>
        <sz val="12"/>
        <rFont val="Times New Roman"/>
        <family val="1"/>
      </rPr>
      <t xml:space="preserve"> 2 </t>
    </r>
    <r>
      <rPr>
        <sz val="12"/>
        <rFont val="標楷體"/>
        <family val="4"/>
        <charset val="136"/>
      </rPr>
      <t>線</t>
    </r>
    <r>
      <rPr>
        <sz val="12"/>
        <rFont val="Times New Roman"/>
        <family val="1"/>
      </rPr>
      <t xml:space="preserve"> 70K </t>
    </r>
    <r>
      <rPr>
        <sz val="12"/>
        <rFont val="標楷體"/>
        <family val="4"/>
        <charset val="136"/>
      </rPr>
      <t>往潮境公園之平浪橋處之道路邊坡，因長年風化使邊坡節理發達，加上近期花蓮地震及連日降雨，造成邊坡岩塊軟化鬆動，終引發邊坡崩塌，該處邊坡屬於斜交逆向坡，且為落石潛勢區，災後可見大量巨石堆積於台</t>
    </r>
    <r>
      <rPr>
        <sz val="12"/>
        <rFont val="Times New Roman"/>
        <family val="1"/>
      </rPr>
      <t xml:space="preserve"> 2 </t>
    </r>
    <r>
      <rPr>
        <sz val="12"/>
        <rFont val="標楷體"/>
        <family val="4"/>
        <charset val="136"/>
      </rPr>
      <t>線，並造成車輛損毀及人員受傷。</t>
    </r>
    <phoneticPr fontId="5" type="noConversion"/>
  </si>
  <si>
    <t>C0B050</t>
  </si>
  <si>
    <r>
      <rPr>
        <sz val="12"/>
        <rFont val="標楷體"/>
        <family val="4"/>
        <charset val="136"/>
      </rPr>
      <t>八斗子</t>
    </r>
  </si>
  <si>
    <r>
      <rPr>
        <sz val="12"/>
        <rFont val="標楷體"/>
        <family val="4"/>
        <charset val="136"/>
      </rPr>
      <t>投</t>
    </r>
    <r>
      <rPr>
        <sz val="12"/>
        <rFont val="Times New Roman"/>
        <family val="1"/>
      </rPr>
      <t xml:space="preserve"> 95 </t>
    </r>
    <r>
      <rPr>
        <sz val="12"/>
        <rFont val="標楷體"/>
        <family val="4"/>
        <charset val="136"/>
      </rPr>
      <t>線</t>
    </r>
    <r>
      <rPr>
        <sz val="12"/>
        <rFont val="Times New Roman"/>
        <family val="1"/>
      </rPr>
      <t xml:space="preserve"> 4.3K</t>
    </r>
    <phoneticPr fontId="5" type="noConversion"/>
  </si>
  <si>
    <r>
      <t xml:space="preserve">112 </t>
    </r>
    <r>
      <rPr>
        <sz val="12"/>
        <rFont val="標楷體"/>
        <family val="4"/>
        <charset val="136"/>
      </rPr>
      <t>年發生土石流，大量土砂堆積於河道，並於</t>
    </r>
    <r>
      <rPr>
        <sz val="12"/>
        <rFont val="Times New Roman"/>
        <family val="1"/>
      </rPr>
      <t xml:space="preserve"> 113 </t>
    </r>
    <r>
      <rPr>
        <sz val="12"/>
        <rFont val="標楷體"/>
        <family val="4"/>
        <charset val="136"/>
      </rPr>
      <t>年</t>
    </r>
    <r>
      <rPr>
        <sz val="12"/>
        <rFont val="Times New Roman"/>
        <family val="1"/>
      </rPr>
      <t xml:space="preserve"> 5 </t>
    </r>
    <r>
      <rPr>
        <sz val="12"/>
        <rFont val="標楷體"/>
        <family val="4"/>
        <charset val="136"/>
      </rPr>
      <t>月</t>
    </r>
    <r>
      <rPr>
        <sz val="12"/>
        <rFont val="Times New Roman"/>
        <family val="1"/>
      </rPr>
      <t xml:space="preserve"> 28 </t>
    </r>
    <r>
      <rPr>
        <sz val="12"/>
        <rFont val="標楷體"/>
        <family val="4"/>
        <charset val="136"/>
      </rPr>
      <t>日因降雨再次引發土石流，逕流將河道土砂帶出，並堵塞投</t>
    </r>
    <r>
      <rPr>
        <sz val="12"/>
        <rFont val="Times New Roman"/>
        <family val="1"/>
      </rPr>
      <t xml:space="preserve"> 95 </t>
    </r>
    <r>
      <rPr>
        <sz val="12"/>
        <rFont val="標楷體"/>
        <family val="4"/>
        <charset val="136"/>
      </rPr>
      <t>線之過路箱涵，因而使土砂溢流至並堆積於投</t>
    </r>
    <r>
      <rPr>
        <sz val="12"/>
        <rFont val="Times New Roman"/>
        <family val="1"/>
      </rPr>
      <t xml:space="preserve"> 95 </t>
    </r>
    <r>
      <rPr>
        <sz val="12"/>
        <rFont val="標楷體"/>
        <family val="4"/>
        <charset val="136"/>
      </rPr>
      <t>線，現況河道仍有土砂堆積。</t>
    </r>
    <phoneticPr fontId="5" type="noConversion"/>
  </si>
  <si>
    <t>C1I450</t>
  </si>
  <si>
    <r>
      <rPr>
        <sz val="12"/>
        <rFont val="標楷體"/>
        <family val="4"/>
        <charset val="136"/>
      </rPr>
      <t>望鄉山</t>
    </r>
  </si>
  <si>
    <r>
      <t xml:space="preserve">113 </t>
    </r>
    <r>
      <rPr>
        <sz val="12"/>
        <rFont val="細明體"/>
        <family val="3"/>
        <charset val="136"/>
      </rPr>
      <t>年</t>
    </r>
    <r>
      <rPr>
        <sz val="12"/>
        <rFont val="Times New Roman"/>
        <family val="1"/>
      </rPr>
      <t xml:space="preserve"> 0403 </t>
    </r>
    <r>
      <rPr>
        <sz val="12"/>
        <rFont val="細明體"/>
        <family val="3"/>
        <charset val="136"/>
      </rPr>
      <t>花蓮地震</t>
    </r>
    <r>
      <rPr>
        <sz val="12"/>
        <rFont val="Times New Roman"/>
        <family val="1"/>
      </rPr>
      <t>-</t>
    </r>
    <r>
      <rPr>
        <sz val="12"/>
        <rFont val="細明體"/>
        <family val="3"/>
        <charset val="136"/>
      </rPr>
      <t>花蓮秀林</t>
    </r>
    <r>
      <rPr>
        <sz val="12"/>
        <rFont val="Times New Roman"/>
        <family val="1"/>
      </rPr>
      <t>-001</t>
    </r>
    <phoneticPr fontId="5" type="noConversion"/>
  </si>
  <si>
    <r>
      <rPr>
        <sz val="12"/>
        <rFont val="標楷體"/>
        <family val="4"/>
        <charset val="136"/>
      </rPr>
      <t>台</t>
    </r>
    <r>
      <rPr>
        <sz val="12"/>
        <rFont val="Times New Roman"/>
        <family val="1"/>
      </rPr>
      <t xml:space="preserve"> 9 </t>
    </r>
    <r>
      <rPr>
        <sz val="12"/>
        <rFont val="標楷體"/>
        <family val="4"/>
        <charset val="136"/>
      </rPr>
      <t>丁線</t>
    </r>
    <r>
      <rPr>
        <sz val="12"/>
        <rFont val="Times New Roman"/>
        <family val="1"/>
      </rPr>
      <t xml:space="preserve"> 65.5K</t>
    </r>
    <phoneticPr fontId="5" type="noConversion"/>
  </si>
  <si>
    <r>
      <rPr>
        <sz val="12"/>
        <rFont val="標楷體"/>
        <family val="4"/>
        <charset val="136"/>
      </rPr>
      <t>花縣</t>
    </r>
    <r>
      <rPr>
        <sz val="12"/>
        <rFont val="Times New Roman"/>
        <family val="1"/>
      </rPr>
      <t>DF172</t>
    </r>
    <phoneticPr fontId="5" type="noConversion"/>
  </si>
  <si>
    <r>
      <rPr>
        <sz val="12"/>
        <rFont val="標楷體"/>
        <family val="4"/>
        <charset val="136"/>
      </rPr>
      <t>台鐵和仁</t>
    </r>
    <r>
      <rPr>
        <sz val="12"/>
        <rFont val="Times New Roman"/>
        <family val="1"/>
      </rPr>
      <t>-</t>
    </r>
    <r>
      <rPr>
        <sz val="12"/>
        <rFont val="標楷體"/>
        <family val="4"/>
        <charset val="136"/>
      </rPr>
      <t>崇德隧道前</t>
    </r>
    <r>
      <rPr>
        <sz val="12"/>
        <rFont val="Times New Roman"/>
        <family val="1"/>
      </rPr>
      <t>(</t>
    </r>
    <r>
      <rPr>
        <sz val="12"/>
        <rFont val="標楷體"/>
        <family val="4"/>
        <charset val="136"/>
      </rPr>
      <t>即台</t>
    </r>
    <r>
      <rPr>
        <sz val="12"/>
        <rFont val="Times New Roman"/>
        <family val="1"/>
      </rPr>
      <t xml:space="preserve"> 9 </t>
    </r>
    <r>
      <rPr>
        <sz val="12"/>
        <rFont val="標楷體"/>
        <family val="4"/>
        <charset val="136"/>
      </rPr>
      <t>丁線</t>
    </r>
    <r>
      <rPr>
        <sz val="12"/>
        <rFont val="Times New Roman"/>
        <family val="1"/>
      </rPr>
      <t xml:space="preserve"> 65.5K </t>
    </r>
    <r>
      <rPr>
        <sz val="12"/>
        <rFont val="標楷體"/>
        <family val="4"/>
        <charset val="136"/>
      </rPr>
      <t>處</t>
    </r>
    <r>
      <rPr>
        <sz val="12"/>
        <rFont val="Times New Roman"/>
        <family val="1"/>
      </rPr>
      <t>)</t>
    </r>
    <r>
      <rPr>
        <sz val="12"/>
        <rFont val="標楷體"/>
        <family val="4"/>
        <charset val="136"/>
      </rPr>
      <t>係因</t>
    </r>
    <r>
      <rPr>
        <sz val="12"/>
        <rFont val="Times New Roman"/>
        <family val="1"/>
      </rPr>
      <t xml:space="preserve"> 0403</t>
    </r>
    <r>
      <rPr>
        <sz val="12"/>
        <rFont val="標楷體"/>
        <family val="4"/>
        <charset val="136"/>
      </rPr>
      <t>花蓮地震，造成台</t>
    </r>
    <r>
      <rPr>
        <sz val="12"/>
        <rFont val="Times New Roman"/>
        <family val="1"/>
      </rPr>
      <t xml:space="preserve"> 9 </t>
    </r>
    <r>
      <rPr>
        <sz val="12"/>
        <rFont val="標楷體"/>
        <family val="4"/>
        <charset val="136"/>
      </rPr>
      <t>丁線上邊坡發生新增崩塌，大量土砂堆積於溪床，且於</t>
    </r>
    <r>
      <rPr>
        <sz val="12"/>
        <rFont val="Times New Roman"/>
        <family val="1"/>
      </rPr>
      <t xml:space="preserve"> 4 </t>
    </r>
    <r>
      <rPr>
        <sz val="12"/>
        <rFont val="標楷體"/>
        <family val="4"/>
        <charset val="136"/>
      </rPr>
      <t>月</t>
    </r>
    <r>
      <rPr>
        <sz val="12"/>
        <rFont val="Times New Roman"/>
        <family val="1"/>
      </rPr>
      <t xml:space="preserve"> 22 </t>
    </r>
    <r>
      <rPr>
        <sz val="12"/>
        <rFont val="標楷體"/>
        <family val="4"/>
        <charset val="136"/>
      </rPr>
      <t>日之強降雨引發土石流，溪床土石往坡趾之台</t>
    </r>
    <r>
      <rPr>
        <sz val="12"/>
        <rFont val="Times New Roman"/>
        <family val="1"/>
      </rPr>
      <t xml:space="preserve"> 9 </t>
    </r>
    <r>
      <rPr>
        <sz val="12"/>
        <rFont val="標楷體"/>
        <family val="4"/>
        <charset val="136"/>
      </rPr>
      <t>丁線及鐵路流動，造成道路及鐵路側溝及過路箱涵淤積，使土砂向道路及鐵路堆積，並流入台鐵辦公室。</t>
    </r>
    <phoneticPr fontId="5" type="noConversion"/>
  </si>
  <si>
    <r>
      <t xml:space="preserve">113 </t>
    </r>
    <r>
      <rPr>
        <sz val="12"/>
        <color theme="1"/>
        <rFont val="新細明體"/>
        <family val="2"/>
        <charset val="136"/>
        <scheme val="minor"/>
      </rPr>
      <t>年凱米颱風</t>
    </r>
    <r>
      <rPr>
        <sz val="12"/>
        <rFont val="Times New Roman"/>
        <family val="1"/>
      </rPr>
      <t>-</t>
    </r>
    <r>
      <rPr>
        <sz val="12"/>
        <color theme="1"/>
        <rFont val="新細明體"/>
        <family val="2"/>
        <charset val="136"/>
        <scheme val="minor"/>
      </rPr>
      <t>高雄</t>
    </r>
    <r>
      <rPr>
        <sz val="12"/>
        <rFont val="Microsoft JhengHei"/>
        <family val="2"/>
      </rPr>
      <t>桃源</t>
    </r>
    <r>
      <rPr>
        <sz val="12"/>
        <rFont val="Times New Roman"/>
        <family val="1"/>
      </rPr>
      <t>-001</t>
    </r>
    <phoneticPr fontId="5" type="noConversion"/>
  </si>
  <si>
    <r>
      <rPr>
        <sz val="12"/>
        <rFont val="標楷體"/>
        <family val="4"/>
        <charset val="136"/>
      </rPr>
      <t>凱米颱風</t>
    </r>
    <phoneticPr fontId="5" type="noConversion"/>
  </si>
  <si>
    <r>
      <rPr>
        <sz val="12"/>
        <rFont val="標楷體"/>
        <family val="4"/>
        <charset val="136"/>
      </rPr>
      <t>投縣</t>
    </r>
    <r>
      <rPr>
        <sz val="12"/>
        <rFont val="Times New Roman"/>
        <family val="1"/>
      </rPr>
      <t xml:space="preserve"> DF185 </t>
    </r>
    <r>
      <rPr>
        <sz val="12"/>
        <rFont val="標楷體"/>
        <family val="4"/>
        <charset val="136"/>
      </rPr>
      <t>因凱米颱風之強降雨，造成舊有崩塌地沖刷並引發土石流，土砂溢流後淤埋中平巷、產業道路及周遭農地，由於阻塞過路箱涵及既有河道，因此水流沿產業道路向下游排放，現況道路持續清理中，並暫置於投縣</t>
    </r>
    <r>
      <rPr>
        <sz val="12"/>
        <rFont val="Times New Roman"/>
        <family val="1"/>
      </rPr>
      <t xml:space="preserve"> DF185 </t>
    </r>
    <r>
      <rPr>
        <sz val="12"/>
        <rFont val="標楷體"/>
        <family val="4"/>
        <charset val="136"/>
      </rPr>
      <t>出口。</t>
    </r>
    <phoneticPr fontId="5" type="noConversion"/>
  </si>
  <si>
    <t>C0I080</t>
    <phoneticPr fontId="5" type="noConversion"/>
  </si>
  <si>
    <r>
      <rPr>
        <sz val="12"/>
        <rFont val="標楷體"/>
        <family val="4"/>
        <charset val="136"/>
      </rPr>
      <t>信義</t>
    </r>
  </si>
  <si>
    <r>
      <rPr>
        <sz val="12"/>
        <rFont val="標楷體"/>
        <family val="4"/>
        <charset val="136"/>
      </rPr>
      <t>桃源國中</t>
    </r>
    <phoneticPr fontId="5" type="noConversion"/>
  </si>
  <si>
    <r>
      <rPr>
        <sz val="12"/>
        <rFont val="標楷體"/>
        <family val="4"/>
        <charset val="136"/>
      </rPr>
      <t>高市</t>
    </r>
    <r>
      <rPr>
        <sz val="12"/>
        <rFont val="Times New Roman"/>
        <family val="1"/>
      </rPr>
      <t>DF061</t>
    </r>
    <phoneticPr fontId="5" type="noConversion"/>
  </si>
  <si>
    <r>
      <rPr>
        <sz val="12"/>
        <rFont val="標楷體"/>
        <family val="4"/>
        <charset val="136"/>
      </rPr>
      <t>高市</t>
    </r>
    <r>
      <rPr>
        <sz val="12"/>
        <rFont val="Times New Roman"/>
        <family val="1"/>
      </rPr>
      <t xml:space="preserve"> DF061 </t>
    </r>
    <r>
      <rPr>
        <sz val="12"/>
        <rFont val="標楷體"/>
        <family val="4"/>
        <charset val="136"/>
      </rPr>
      <t>因凱米颱風帶來之強降雨造成集水區源頭崩塌地，大量土砂淤埋既有河道並引發土石流，河道淤積後，土石流因直進性強即衝入教室與校園，造成桃源國中教室設施損毀。</t>
    </r>
    <phoneticPr fontId="5" type="noConversion"/>
  </si>
  <si>
    <r>
      <rPr>
        <sz val="12"/>
        <rFont val="標楷體"/>
        <family val="4"/>
        <charset val="136"/>
      </rPr>
      <t>東莊部落鋼便橋</t>
    </r>
  </si>
  <si>
    <r>
      <rPr>
        <sz val="12"/>
        <rFont val="標楷體"/>
        <family val="4"/>
        <charset val="136"/>
      </rPr>
      <t>高市</t>
    </r>
    <r>
      <rPr>
        <sz val="12"/>
        <rFont val="Times New Roman"/>
        <family val="1"/>
      </rPr>
      <t>DF082</t>
    </r>
    <phoneticPr fontId="5" type="noConversion"/>
  </si>
  <si>
    <r>
      <rPr>
        <sz val="12"/>
        <rFont val="標楷體"/>
        <family val="4"/>
        <charset val="136"/>
      </rPr>
      <t>東莊部落鋼便橋</t>
    </r>
    <r>
      <rPr>
        <sz val="12"/>
        <rFont val="Times New Roman"/>
        <family val="1"/>
      </rPr>
      <t>(</t>
    </r>
    <r>
      <rPr>
        <sz val="12"/>
        <rFont val="標楷體"/>
        <family val="4"/>
        <charset val="136"/>
      </rPr>
      <t>高市</t>
    </r>
    <r>
      <rPr>
        <sz val="12"/>
        <rFont val="Times New Roman"/>
        <family val="1"/>
      </rPr>
      <t xml:space="preserve"> DF082)</t>
    </r>
    <r>
      <rPr>
        <sz val="12"/>
        <rFont val="標楷體"/>
        <family val="4"/>
        <charset val="136"/>
      </rPr>
      <t>因凱米颱風帶來之強降雨造成集水區引發土石流，大量土石流出並淤埋梳子壩後溢流，土砂堆積於河道、台</t>
    </r>
    <r>
      <rPr>
        <sz val="12"/>
        <rFont val="Times New Roman"/>
        <family val="1"/>
      </rPr>
      <t xml:space="preserve"> 20 </t>
    </r>
    <r>
      <rPr>
        <sz val="12"/>
        <rFont val="標楷體"/>
        <family val="4"/>
        <charset val="136"/>
      </rPr>
      <t>線及鋼便橋橋面、橋涵等，並造成多棟建物有土砂流入。</t>
    </r>
    <phoneticPr fontId="5" type="noConversion"/>
  </si>
  <si>
    <t>113 年凱米颱風-高雄六龜-001</t>
  </si>
  <si>
    <r>
      <rPr>
        <sz val="12"/>
        <rFont val="標楷體"/>
        <family val="4"/>
        <charset val="136"/>
      </rPr>
      <t>般若精舍</t>
    </r>
  </si>
  <si>
    <r>
      <rPr>
        <sz val="12"/>
        <rFont val="標楷體"/>
        <family val="4"/>
        <charset val="136"/>
      </rPr>
      <t>高市</t>
    </r>
    <r>
      <rPr>
        <sz val="12"/>
        <rFont val="Times New Roman"/>
        <family val="1"/>
      </rPr>
      <t xml:space="preserve"> DF053 </t>
    </r>
    <r>
      <rPr>
        <sz val="12"/>
        <rFont val="標楷體"/>
        <family val="4"/>
        <charset val="136"/>
      </rPr>
      <t>因凱米颱風帶來之強降雨造成集水區源頭舊有崩塌地擴大引發土石流，土砂淤滿既有沉砂設施後溢流兩岸，並影響多棟建物及農地，以及沖毀河道沿線版橋，阻斷當地民眾進出。</t>
    </r>
    <phoneticPr fontId="5" type="noConversion"/>
  </si>
  <si>
    <t>C0V800</t>
    <phoneticPr fontId="5" type="noConversion"/>
  </si>
  <si>
    <r>
      <rPr>
        <sz val="12"/>
        <rFont val="標楷體"/>
        <family val="4"/>
        <charset val="136"/>
      </rPr>
      <t>六龜</t>
    </r>
    <phoneticPr fontId="5" type="noConversion"/>
  </si>
  <si>
    <r>
      <rPr>
        <sz val="12"/>
        <rFont val="標楷體"/>
        <family val="4"/>
        <charset val="136"/>
      </rPr>
      <t>六津橋</t>
    </r>
    <phoneticPr fontId="5" type="noConversion"/>
  </si>
  <si>
    <r>
      <rPr>
        <sz val="12"/>
        <rFont val="標楷體"/>
        <family val="4"/>
        <charset val="136"/>
      </rPr>
      <t>高市</t>
    </r>
    <r>
      <rPr>
        <sz val="12"/>
        <rFont val="Times New Roman"/>
        <family val="1"/>
      </rPr>
      <t xml:space="preserve"> DF050 </t>
    </r>
    <r>
      <rPr>
        <sz val="12"/>
        <rFont val="標楷體"/>
        <family val="4"/>
        <charset val="136"/>
      </rPr>
      <t>因凱米颱風帶來之強降雨造成集水區源頭既有崩塌地擴大引發土石流，土砂淤滿防砂壩及河道後，六津橋上、下游土砂淤積分別約</t>
    </r>
    <r>
      <rPr>
        <sz val="12"/>
        <rFont val="Times New Roman"/>
        <family val="1"/>
      </rPr>
      <t xml:space="preserve"> 10 </t>
    </r>
    <r>
      <rPr>
        <sz val="12"/>
        <rFont val="標楷體"/>
        <family val="4"/>
        <charset val="136"/>
      </rPr>
      <t>及</t>
    </r>
    <r>
      <rPr>
        <sz val="12"/>
        <rFont val="Times New Roman"/>
        <family val="1"/>
      </rPr>
      <t xml:space="preserve"> 5 </t>
    </r>
    <r>
      <rPr>
        <sz val="12"/>
        <rFont val="標楷體"/>
        <family val="4"/>
        <charset val="136"/>
      </rPr>
      <t>公尺高，土砂溢流兩岸，並淤埋農地及台</t>
    </r>
    <r>
      <rPr>
        <sz val="12"/>
        <rFont val="Times New Roman"/>
        <family val="1"/>
      </rPr>
      <t xml:space="preserve"> 27 </t>
    </r>
    <r>
      <rPr>
        <sz val="12"/>
        <rFont val="標楷體"/>
        <family val="4"/>
        <charset val="136"/>
      </rPr>
      <t>線。</t>
    </r>
    <phoneticPr fontId="5" type="noConversion"/>
  </si>
  <si>
    <r>
      <t xml:space="preserve">113 </t>
    </r>
    <r>
      <rPr>
        <sz val="12"/>
        <color theme="1"/>
        <rFont val="新細明體"/>
        <family val="2"/>
        <charset val="136"/>
        <scheme val="minor"/>
      </rPr>
      <t>年凱米颱風</t>
    </r>
    <r>
      <rPr>
        <sz val="12"/>
        <rFont val="Times New Roman"/>
        <family val="1"/>
      </rPr>
      <t>-</t>
    </r>
    <r>
      <rPr>
        <sz val="12"/>
        <rFont val="Microsoft JhengHei"/>
        <family val="2"/>
        <charset val="136"/>
      </rPr>
      <t>宜蘭蘇澳</t>
    </r>
    <r>
      <rPr>
        <sz val="12"/>
        <rFont val="Times New Roman"/>
        <family val="1"/>
      </rPr>
      <t>-001</t>
    </r>
    <phoneticPr fontId="5" type="noConversion"/>
  </si>
  <si>
    <r>
      <rPr>
        <sz val="12"/>
        <rFont val="標楷體"/>
        <family val="4"/>
        <charset val="136"/>
      </rPr>
      <t>新澳隧道北口</t>
    </r>
  </si>
  <si>
    <r>
      <rPr>
        <sz val="12"/>
        <rFont val="標楷體"/>
        <family val="4"/>
        <charset val="136"/>
      </rPr>
      <t>東澳里</t>
    </r>
    <phoneticPr fontId="5" type="noConversion"/>
  </si>
  <si>
    <r>
      <rPr>
        <sz val="12"/>
        <rFont val="標楷體"/>
        <family val="4"/>
        <charset val="136"/>
      </rPr>
      <t>宜縣</t>
    </r>
    <r>
      <rPr>
        <sz val="12"/>
        <rFont val="Times New Roman"/>
        <family val="1"/>
      </rPr>
      <t>DF148</t>
    </r>
    <phoneticPr fontId="5" type="noConversion"/>
  </si>
  <si>
    <r>
      <rPr>
        <sz val="12"/>
        <rFont val="標楷體"/>
        <family val="4"/>
        <charset val="136"/>
      </rPr>
      <t>宜縣</t>
    </r>
    <r>
      <rPr>
        <sz val="12"/>
        <rFont val="Times New Roman"/>
        <family val="1"/>
      </rPr>
      <t xml:space="preserve"> DF148 </t>
    </r>
    <r>
      <rPr>
        <sz val="12"/>
        <rFont val="標楷體"/>
        <family val="4"/>
        <charset val="136"/>
      </rPr>
      <t>因凱米颱風帶來之強降雨引發土石流，土砂堆積於台</t>
    </r>
    <r>
      <rPr>
        <sz val="12"/>
        <rFont val="Times New Roman"/>
        <family val="1"/>
      </rPr>
      <t xml:space="preserve"> 9 </t>
    </r>
    <r>
      <rPr>
        <sz val="12"/>
        <rFont val="標楷體"/>
        <family val="4"/>
        <charset val="136"/>
      </rPr>
      <t>線，並淤埋新澳隧道口，阻斷道路通行，從現況照片顯示，宜縣</t>
    </r>
    <r>
      <rPr>
        <sz val="12"/>
        <rFont val="Times New Roman"/>
        <family val="1"/>
      </rPr>
      <t xml:space="preserve"> DF148 </t>
    </r>
    <r>
      <rPr>
        <sz val="12"/>
        <rFont val="標楷體"/>
        <family val="4"/>
        <charset val="136"/>
      </rPr>
      <t>集水區並無明顯崩塌，推測土砂來源為河道沖刷所致；而台</t>
    </r>
    <r>
      <rPr>
        <sz val="12"/>
        <rFont val="Times New Roman"/>
        <family val="1"/>
      </rPr>
      <t xml:space="preserve"> 9</t>
    </r>
    <r>
      <rPr>
        <sz val="12"/>
        <rFont val="標楷體"/>
        <family val="4"/>
        <charset val="136"/>
      </rPr>
      <t>線</t>
    </r>
    <r>
      <rPr>
        <sz val="12"/>
        <rFont val="Times New Roman"/>
        <family val="1"/>
      </rPr>
      <t xml:space="preserve"> 117.4K </t>
    </r>
    <r>
      <rPr>
        <sz val="12"/>
        <rFont val="標楷體"/>
        <family val="4"/>
        <charset val="136"/>
      </rPr>
      <t>之坑溝發生崩塌，土砂堆積於台</t>
    </r>
    <r>
      <rPr>
        <sz val="12"/>
        <rFont val="Times New Roman"/>
        <family val="1"/>
      </rPr>
      <t xml:space="preserve"> 9 </t>
    </r>
    <r>
      <rPr>
        <sz val="12"/>
        <rFont val="標楷體"/>
        <family val="4"/>
        <charset val="136"/>
      </rPr>
      <t>線，兩處土砂淤埋道路後，逕流持續沖刷下邊坡，終造成路基淘空，宜縣</t>
    </r>
    <r>
      <rPr>
        <sz val="12"/>
        <rFont val="Times New Roman"/>
        <family val="1"/>
      </rPr>
      <t xml:space="preserve"> DF148 </t>
    </r>
    <r>
      <rPr>
        <sz val="12"/>
        <rFont val="標楷體"/>
        <family val="4"/>
        <charset val="136"/>
      </rPr>
      <t>之道路下邊坡已施打臨時鋼軌樁，防止路基滑動。</t>
    </r>
    <phoneticPr fontId="5" type="noConversion"/>
  </si>
  <si>
    <t>C1U930</t>
    <phoneticPr fontId="5" type="noConversion"/>
  </si>
  <si>
    <r>
      <rPr>
        <sz val="12"/>
        <rFont val="標楷體"/>
        <family val="4"/>
        <charset val="136"/>
      </rPr>
      <t>粉鳥林</t>
    </r>
  </si>
  <si>
    <r>
      <rPr>
        <sz val="12"/>
        <rFont val="標楷體"/>
        <family val="4"/>
        <charset val="136"/>
      </rPr>
      <t>土石流</t>
    </r>
    <r>
      <rPr>
        <sz val="12"/>
        <rFont val="Times New Roman"/>
        <family val="1"/>
      </rPr>
      <t xml:space="preserve"> </t>
    </r>
    <phoneticPr fontId="5" type="noConversion"/>
  </si>
  <si>
    <r>
      <t xml:space="preserve">113 </t>
    </r>
    <r>
      <rPr>
        <sz val="12"/>
        <color theme="1"/>
        <rFont val="新細明體"/>
        <family val="2"/>
        <charset val="136"/>
        <scheme val="minor"/>
      </rPr>
      <t>年凱米颱風</t>
    </r>
    <r>
      <rPr>
        <sz val="12"/>
        <rFont val="Times New Roman"/>
        <family val="1"/>
      </rPr>
      <t>-</t>
    </r>
    <r>
      <rPr>
        <sz val="12"/>
        <color theme="1"/>
        <rFont val="新細明體"/>
        <family val="2"/>
        <charset val="136"/>
        <scheme val="minor"/>
      </rPr>
      <t>高雄六龜</t>
    </r>
    <r>
      <rPr>
        <sz val="12"/>
        <rFont val="Times New Roman"/>
        <family val="1"/>
      </rPr>
      <t>-001</t>
    </r>
    <phoneticPr fontId="5" type="noConversion"/>
  </si>
  <si>
    <r>
      <rPr>
        <sz val="12"/>
        <rFont val="標楷體"/>
        <family val="4"/>
        <charset val="136"/>
      </rPr>
      <t>扇平山莊</t>
    </r>
    <phoneticPr fontId="5" type="noConversion"/>
  </si>
  <si>
    <r>
      <rPr>
        <sz val="12"/>
        <rFont val="標楷體"/>
        <family val="4"/>
        <charset val="136"/>
      </rPr>
      <t>高市</t>
    </r>
    <r>
      <rPr>
        <sz val="12"/>
        <rFont val="Times New Roman"/>
        <family val="1"/>
      </rPr>
      <t>DF114</t>
    </r>
    <phoneticPr fontId="5" type="noConversion"/>
  </si>
  <si>
    <r>
      <rPr>
        <sz val="12"/>
        <rFont val="標楷體"/>
        <family val="4"/>
        <charset val="136"/>
      </rPr>
      <t>高市</t>
    </r>
    <r>
      <rPr>
        <sz val="12"/>
        <rFont val="Times New Roman"/>
        <family val="1"/>
      </rPr>
      <t xml:space="preserve"> DF114 </t>
    </r>
    <r>
      <rPr>
        <sz val="12"/>
        <rFont val="標楷體"/>
        <family val="4"/>
        <charset val="136"/>
      </rPr>
      <t>因凱米颱風帶來之強降雨沖刷集水區源頭舊有崩塌地引發土石流，土砂淤滿既有沉砂設施後溢流兩岸，土砂流入建物及扇平停車場，並淤埋扇平林道，且因土砂淤埋原河道，造成現況水流沿扇平林道路邊坡流向下游</t>
    </r>
    <phoneticPr fontId="5" type="noConversion"/>
  </si>
  <si>
    <r>
      <rPr>
        <sz val="12"/>
        <rFont val="標楷體"/>
        <family val="4"/>
        <charset val="136"/>
      </rPr>
      <t>崩塌</t>
    </r>
    <r>
      <rPr>
        <sz val="12"/>
        <rFont val="Times New Roman"/>
        <family val="1"/>
      </rPr>
      <t xml:space="preserve"> (</t>
    </r>
    <r>
      <rPr>
        <sz val="12"/>
        <rFont val="標楷體"/>
        <family val="4"/>
        <charset val="136"/>
      </rPr>
      <t>山崩</t>
    </r>
    <r>
      <rPr>
        <sz val="12"/>
        <rFont val="Times New Roman"/>
        <family val="1"/>
      </rPr>
      <t xml:space="preserve"> )</t>
    </r>
    <phoneticPr fontId="5" type="noConversion"/>
  </si>
  <si>
    <t>113 年凱米颱風-高雄六龜-002</t>
  </si>
  <si>
    <r>
      <rPr>
        <sz val="12"/>
        <rFont val="標楷體"/>
        <family val="4"/>
        <charset val="136"/>
      </rPr>
      <t>高市</t>
    </r>
    <r>
      <rPr>
        <sz val="12"/>
        <rFont val="Times New Roman"/>
        <family val="1"/>
      </rPr>
      <t>DF115</t>
    </r>
    <phoneticPr fontId="5" type="noConversion"/>
  </si>
  <si>
    <r>
      <rPr>
        <sz val="12"/>
        <rFont val="標楷體"/>
        <family val="4"/>
        <charset val="136"/>
      </rPr>
      <t>高市</t>
    </r>
    <r>
      <rPr>
        <sz val="12"/>
        <rFont val="Times New Roman"/>
        <family val="1"/>
      </rPr>
      <t xml:space="preserve">DF115 </t>
    </r>
    <r>
      <rPr>
        <sz val="12"/>
        <rFont val="標楷體"/>
        <family val="4"/>
        <charset val="136"/>
      </rPr>
      <t>則因逕流沖刷河岸邊坡，致使扇平山莊發生</t>
    </r>
    <r>
      <rPr>
        <sz val="12"/>
        <rFont val="Times New Roman"/>
        <family val="1"/>
      </rPr>
      <t xml:space="preserve"> 2 </t>
    </r>
    <r>
      <rPr>
        <sz val="12"/>
        <rFont val="標楷體"/>
        <family val="4"/>
        <charset val="136"/>
      </rPr>
      <t>處崩塌。</t>
    </r>
    <phoneticPr fontId="5" type="noConversion"/>
  </si>
  <si>
    <r>
      <rPr>
        <sz val="12"/>
        <rFont val="標楷體"/>
        <family val="4"/>
        <charset val="136"/>
      </rPr>
      <t>無</t>
    </r>
    <phoneticPr fontId="5" type="noConversion"/>
  </si>
  <si>
    <r>
      <t xml:space="preserve">113 </t>
    </r>
    <r>
      <rPr>
        <sz val="12"/>
        <rFont val="新細明體"/>
        <family val="1"/>
        <charset val="136"/>
      </rPr>
      <t>年凱米颱風-花蓮秀林-002</t>
    </r>
    <phoneticPr fontId="5" type="noConversion"/>
  </si>
  <si>
    <r>
      <rPr>
        <sz val="12"/>
        <rFont val="標楷體"/>
        <family val="4"/>
        <charset val="136"/>
      </rPr>
      <t>和仁車站</t>
    </r>
    <phoneticPr fontId="5" type="noConversion"/>
  </si>
  <si>
    <r>
      <rPr>
        <sz val="12"/>
        <rFont val="標楷體"/>
        <family val="4"/>
        <charset val="136"/>
      </rPr>
      <t>花縣</t>
    </r>
    <r>
      <rPr>
        <sz val="12"/>
        <rFont val="Times New Roman"/>
        <family val="1"/>
      </rPr>
      <t>DF173</t>
    </r>
    <phoneticPr fontId="5" type="noConversion"/>
  </si>
  <si>
    <r>
      <rPr>
        <sz val="12"/>
        <rFont val="標楷體"/>
        <family val="4"/>
        <charset val="136"/>
      </rPr>
      <t>花縣</t>
    </r>
    <r>
      <rPr>
        <sz val="12"/>
        <rFont val="Times New Roman"/>
        <family val="1"/>
      </rPr>
      <t xml:space="preserve">DF173 </t>
    </r>
    <r>
      <rPr>
        <sz val="12"/>
        <rFont val="標楷體"/>
        <family val="4"/>
        <charset val="136"/>
      </rPr>
      <t>因</t>
    </r>
    <r>
      <rPr>
        <sz val="12"/>
        <rFont val="Times New Roman"/>
        <family val="1"/>
      </rPr>
      <t xml:space="preserve"> 0403 </t>
    </r>
    <r>
      <rPr>
        <sz val="12"/>
        <rFont val="標楷體"/>
        <family val="4"/>
        <charset val="136"/>
      </rPr>
      <t>地震造成上游發生</t>
    </r>
    <r>
      <rPr>
        <sz val="12"/>
        <rFont val="Times New Roman"/>
        <family val="1"/>
      </rPr>
      <t xml:space="preserve"> 2 </t>
    </r>
    <r>
      <rPr>
        <sz val="12"/>
        <rFont val="標楷體"/>
        <family val="4"/>
        <charset val="136"/>
      </rPr>
      <t>處崩塌地，崩塌土砂因凱米颱風之強降雨，引發土石流，因土砂淤埋河道及道路側溝，致使土砂向兩岸湧高，並漫延至台</t>
    </r>
    <r>
      <rPr>
        <sz val="12"/>
        <rFont val="Times New Roman"/>
        <family val="1"/>
      </rPr>
      <t xml:space="preserve"> 9 </t>
    </r>
    <r>
      <rPr>
        <sz val="12"/>
        <rFont val="標楷體"/>
        <family val="4"/>
        <charset val="136"/>
      </rPr>
      <t>線，現況已初步針對河道及道路側溝完成清疏工作，以保持流路順暢。</t>
    </r>
    <phoneticPr fontId="5" type="noConversion"/>
  </si>
  <si>
    <r>
      <rPr>
        <sz val="12"/>
        <rFont val="標楷體"/>
        <family val="4"/>
        <charset val="136"/>
      </rPr>
      <t>崇德國小</t>
    </r>
  </si>
  <si>
    <r>
      <t xml:space="preserve">113 </t>
    </r>
    <r>
      <rPr>
        <sz val="12"/>
        <rFont val="新細明體"/>
        <family val="1"/>
        <charset val="136"/>
      </rPr>
      <t>年凱米颱風-花蓮秀林-001</t>
    </r>
    <phoneticPr fontId="5" type="noConversion"/>
  </si>
  <si>
    <r>
      <rPr>
        <sz val="12"/>
        <rFont val="標楷體"/>
        <family val="4"/>
        <charset val="136"/>
      </rPr>
      <t>係因</t>
    </r>
    <r>
      <rPr>
        <sz val="12"/>
        <rFont val="Times New Roman"/>
        <family val="1"/>
      </rPr>
      <t xml:space="preserve"> 0403 </t>
    </r>
    <r>
      <rPr>
        <sz val="12"/>
        <rFont val="標楷體"/>
        <family val="4"/>
        <charset val="136"/>
      </rPr>
      <t>花蓮地震，造成台</t>
    </r>
    <r>
      <rPr>
        <sz val="12"/>
        <rFont val="Times New Roman"/>
        <family val="1"/>
      </rPr>
      <t xml:space="preserve"> 9 </t>
    </r>
    <r>
      <rPr>
        <sz val="12"/>
        <rFont val="標楷體"/>
        <family val="4"/>
        <charset val="136"/>
      </rPr>
      <t>丁線上邊坡發生新增崩塌，大量土砂堆積於溪床，且於</t>
    </r>
    <r>
      <rPr>
        <sz val="12"/>
        <rFont val="Times New Roman"/>
        <family val="1"/>
      </rPr>
      <t xml:space="preserve"> 7 </t>
    </r>
    <r>
      <rPr>
        <sz val="12"/>
        <rFont val="標楷體"/>
        <family val="4"/>
        <charset val="136"/>
      </rPr>
      <t>月</t>
    </r>
    <r>
      <rPr>
        <sz val="12"/>
        <rFont val="Times New Roman"/>
        <family val="1"/>
      </rPr>
      <t xml:space="preserve"> 25 </t>
    </r>
    <r>
      <rPr>
        <sz val="12"/>
        <rFont val="標楷體"/>
        <family val="4"/>
        <charset val="136"/>
      </rPr>
      <t>日凱米颱風之強降雨再次引發土石流，溪床土石往坡趾之台</t>
    </r>
    <r>
      <rPr>
        <sz val="12"/>
        <rFont val="Times New Roman"/>
        <family val="1"/>
      </rPr>
      <t xml:space="preserve"> 9 </t>
    </r>
    <r>
      <rPr>
        <sz val="12"/>
        <rFont val="標楷體"/>
        <family val="4"/>
        <charset val="136"/>
      </rPr>
      <t>丁線及鐵路流動，造成道路及鐵路側溝及過路箱涵淤積，使土砂向道路及鐵路堆積。</t>
    </r>
    <phoneticPr fontId="5" type="noConversion"/>
  </si>
  <si>
    <r>
      <rPr>
        <sz val="12"/>
        <rFont val="標楷體"/>
        <family val="4"/>
        <charset val="136"/>
      </rPr>
      <t>和仁車站</t>
    </r>
  </si>
  <si>
    <r>
      <t xml:space="preserve">113 </t>
    </r>
    <r>
      <rPr>
        <sz val="12"/>
        <rFont val="新細明體"/>
        <family val="1"/>
        <charset val="136"/>
      </rPr>
      <t>年凱米颱風-雲林古坑-001</t>
    </r>
    <phoneticPr fontId="5" type="noConversion"/>
  </si>
  <si>
    <r>
      <rPr>
        <sz val="12"/>
        <rFont val="標楷體"/>
        <family val="4"/>
        <charset val="136"/>
      </rPr>
      <t>雲縣</t>
    </r>
    <r>
      <rPr>
        <sz val="12"/>
        <rFont val="Times New Roman"/>
        <family val="1"/>
      </rPr>
      <t xml:space="preserve"> DF013 </t>
    </r>
    <r>
      <rPr>
        <sz val="12"/>
        <rFont val="標楷體"/>
        <family val="4"/>
        <charset val="136"/>
      </rPr>
      <t>因凱米颱風帶來之強降雨造成源頭向源侵蝕而崩塌，並引發土石流，大量土砂淤埋河道、防砂壩及過路箱涵，阻斷道路通行，由於土砂沿河道兩岸漫延，因此亦掩埋左岸之土地公廟。</t>
    </r>
    <phoneticPr fontId="5" type="noConversion"/>
  </si>
  <si>
    <r>
      <rPr>
        <sz val="12"/>
        <rFont val="標楷體"/>
        <family val="4"/>
        <charset val="136"/>
      </rPr>
      <t>華山</t>
    </r>
  </si>
  <si>
    <r>
      <t xml:space="preserve">113 </t>
    </r>
    <r>
      <rPr>
        <sz val="12"/>
        <rFont val="新細明體"/>
        <family val="1"/>
        <charset val="136"/>
      </rPr>
      <t>年凱米颱風-嘉義竹崎-001</t>
    </r>
    <phoneticPr fontId="5" type="noConversion"/>
  </si>
  <si>
    <r>
      <rPr>
        <sz val="12"/>
        <rFont val="標楷體"/>
        <family val="4"/>
        <charset val="136"/>
      </rPr>
      <t>竹崎鄉樟樹坪段</t>
    </r>
    <r>
      <rPr>
        <sz val="12"/>
        <rFont val="Times New Roman"/>
        <family val="1"/>
      </rPr>
      <t xml:space="preserve"> 5-2</t>
    </r>
    <r>
      <rPr>
        <sz val="12"/>
        <rFont val="標楷體"/>
        <family val="4"/>
        <charset val="136"/>
      </rPr>
      <t>、</t>
    </r>
    <r>
      <rPr>
        <sz val="12"/>
        <rFont val="Times New Roman"/>
        <family val="1"/>
      </rPr>
      <t xml:space="preserve">5-3 </t>
    </r>
    <r>
      <rPr>
        <sz val="12"/>
        <rFont val="標楷體"/>
        <family val="4"/>
        <charset val="136"/>
      </rPr>
      <t>地號</t>
    </r>
    <r>
      <rPr>
        <sz val="12"/>
        <rFont val="Times New Roman"/>
        <family val="1"/>
      </rPr>
      <t xml:space="preserve"> 112 </t>
    </r>
    <r>
      <rPr>
        <sz val="12"/>
        <rFont val="標楷體"/>
        <family val="4"/>
        <charset val="136"/>
      </rPr>
      <t>年</t>
    </r>
    <r>
      <rPr>
        <sz val="12"/>
        <rFont val="Times New Roman"/>
        <family val="1"/>
      </rPr>
      <t xml:space="preserve"> 9 </t>
    </r>
    <r>
      <rPr>
        <sz val="12"/>
        <rFont val="標楷體"/>
        <family val="4"/>
        <charset val="136"/>
      </rPr>
      <t>月</t>
    </r>
    <r>
      <rPr>
        <sz val="12"/>
        <rFont val="Times New Roman"/>
        <family val="1"/>
      </rPr>
      <t xml:space="preserve"> 10 </t>
    </r>
    <r>
      <rPr>
        <sz val="12"/>
        <rFont val="標楷體"/>
        <family val="4"/>
        <charset val="136"/>
      </rPr>
      <t>日因午後之短沿時強降雨，逕流造成邊坡沖刷，並產生兩處沖蝕地，而凱米颱風帶來之強降雨，致使沖蝕地造成二次災害，沖蝕土砂向下移動並堆積於樟樹坪段</t>
    </r>
    <r>
      <rPr>
        <sz val="12"/>
        <rFont val="Times New Roman"/>
        <family val="1"/>
      </rPr>
      <t xml:space="preserve"> 5-2</t>
    </r>
    <r>
      <rPr>
        <sz val="12"/>
        <rFont val="標楷體"/>
        <family val="4"/>
        <charset val="136"/>
      </rPr>
      <t>、</t>
    </r>
    <r>
      <rPr>
        <sz val="12"/>
        <rFont val="Times New Roman"/>
        <family val="1"/>
      </rPr>
      <t xml:space="preserve">5-3 </t>
    </r>
    <r>
      <rPr>
        <sz val="12"/>
        <rFont val="標楷體"/>
        <family val="4"/>
        <charset val="136"/>
      </rPr>
      <t>地號，造成建物損毀及農地淤埋。</t>
    </r>
    <phoneticPr fontId="5" type="noConversion"/>
  </si>
  <si>
    <t>81M780</t>
  </si>
  <si>
    <r>
      <rPr>
        <sz val="12"/>
        <rFont val="標楷體"/>
        <family val="4"/>
        <charset val="136"/>
      </rPr>
      <t>文峰遊客中心</t>
    </r>
  </si>
  <si>
    <r>
      <t xml:space="preserve">113 </t>
    </r>
    <r>
      <rPr>
        <sz val="12"/>
        <color theme="1"/>
        <rFont val="新細明體"/>
        <family val="2"/>
        <charset val="136"/>
        <scheme val="minor"/>
      </rPr>
      <t>年凱米颱風</t>
    </r>
    <r>
      <rPr>
        <sz val="12"/>
        <rFont val="Times New Roman"/>
        <family val="1"/>
      </rPr>
      <t>-</t>
    </r>
    <r>
      <rPr>
        <sz val="12"/>
        <color theme="1"/>
        <rFont val="新細明體"/>
        <family val="2"/>
        <charset val="136"/>
        <scheme val="minor"/>
      </rPr>
      <t>南投信義</t>
    </r>
    <r>
      <rPr>
        <sz val="12"/>
        <rFont val="Times New Roman"/>
        <family val="1"/>
      </rPr>
      <t>-002</t>
    </r>
    <phoneticPr fontId="5" type="noConversion"/>
  </si>
  <si>
    <r>
      <rPr>
        <sz val="12"/>
        <rFont val="標楷體"/>
        <family val="4"/>
        <charset val="136"/>
      </rPr>
      <t>台</t>
    </r>
    <r>
      <rPr>
        <sz val="12"/>
        <rFont val="Times New Roman"/>
        <family val="1"/>
      </rPr>
      <t xml:space="preserve"> 21 </t>
    </r>
    <r>
      <rPr>
        <sz val="12"/>
        <rFont val="標楷體"/>
        <family val="4"/>
        <charset val="136"/>
      </rPr>
      <t>線</t>
    </r>
    <r>
      <rPr>
        <sz val="12"/>
        <rFont val="Times New Roman"/>
        <family val="1"/>
      </rPr>
      <t xml:space="preserve"> 88K</t>
    </r>
    <phoneticPr fontId="5" type="noConversion"/>
  </si>
  <si>
    <r>
      <rPr>
        <sz val="12"/>
        <rFont val="標楷體"/>
        <family val="4"/>
        <charset val="136"/>
      </rPr>
      <t>台</t>
    </r>
    <r>
      <rPr>
        <sz val="12"/>
        <rFont val="Times New Roman"/>
        <family val="1"/>
      </rPr>
      <t xml:space="preserve"> 21 </t>
    </r>
    <r>
      <rPr>
        <sz val="12"/>
        <rFont val="標楷體"/>
        <family val="4"/>
        <charset val="136"/>
      </rPr>
      <t>線</t>
    </r>
    <r>
      <rPr>
        <sz val="12"/>
        <rFont val="Times New Roman"/>
        <family val="1"/>
      </rPr>
      <t xml:space="preserve"> 88K(</t>
    </r>
    <r>
      <rPr>
        <sz val="12"/>
        <rFont val="標楷體"/>
        <family val="4"/>
        <charset val="136"/>
      </rPr>
      <t>投縣</t>
    </r>
    <r>
      <rPr>
        <sz val="12"/>
        <rFont val="Times New Roman"/>
        <family val="1"/>
      </rPr>
      <t xml:space="preserve"> DF187)</t>
    </r>
    <r>
      <rPr>
        <sz val="12"/>
        <rFont val="標楷體"/>
        <family val="4"/>
        <charset val="136"/>
      </rPr>
      <t>因凱米颱風帶來之強降雨引發土石流，其集水區未發現明顯崩塌地，推測土砂來源為河道沖刷，而大量土砂流出後阻塞台</t>
    </r>
    <r>
      <rPr>
        <sz val="12"/>
        <rFont val="Times New Roman"/>
        <family val="1"/>
      </rPr>
      <t xml:space="preserve"> 21 </t>
    </r>
    <r>
      <rPr>
        <sz val="12"/>
        <rFont val="標楷體"/>
        <family val="4"/>
        <charset val="136"/>
      </rPr>
      <t>線道路排水溝，致使土砂沿道路向低處堆積至台電信義服務所。</t>
    </r>
    <phoneticPr fontId="5" type="noConversion"/>
  </si>
  <si>
    <r>
      <t xml:space="preserve">113 </t>
    </r>
    <r>
      <rPr>
        <sz val="12"/>
        <color theme="1"/>
        <rFont val="新細明體"/>
        <family val="2"/>
        <charset val="136"/>
        <scheme val="minor"/>
      </rPr>
      <t>年凱米颱風</t>
    </r>
    <r>
      <rPr>
        <sz val="12"/>
        <rFont val="Times New Roman"/>
        <family val="1"/>
      </rPr>
      <t>-</t>
    </r>
    <r>
      <rPr>
        <sz val="12"/>
        <color theme="1"/>
        <rFont val="新細明體"/>
        <family val="2"/>
        <charset val="136"/>
        <scheme val="minor"/>
      </rPr>
      <t>南投信義</t>
    </r>
    <r>
      <rPr>
        <sz val="12"/>
        <rFont val="Times New Roman"/>
        <family val="1"/>
      </rPr>
      <t>-001</t>
    </r>
    <phoneticPr fontId="5" type="noConversion"/>
  </si>
  <si>
    <r>
      <rPr>
        <sz val="12"/>
        <rFont val="標楷體"/>
        <family val="4"/>
        <charset val="136"/>
      </rPr>
      <t>投</t>
    </r>
    <r>
      <rPr>
        <sz val="12"/>
        <rFont val="Times New Roman"/>
        <family val="1"/>
      </rPr>
      <t>95</t>
    </r>
    <r>
      <rPr>
        <sz val="12"/>
        <rFont val="標楷體"/>
        <family val="4"/>
        <charset val="136"/>
      </rPr>
      <t>線</t>
    </r>
    <r>
      <rPr>
        <sz val="12"/>
        <rFont val="Times New Roman"/>
        <family val="1"/>
      </rPr>
      <t>4.3K</t>
    </r>
    <phoneticPr fontId="5" type="noConversion"/>
  </si>
  <si>
    <r>
      <rPr>
        <sz val="12"/>
        <rFont val="標楷體"/>
        <family val="4"/>
        <charset val="136"/>
      </rPr>
      <t>投</t>
    </r>
    <r>
      <rPr>
        <sz val="12"/>
        <rFont val="Times New Roman"/>
        <family val="1"/>
      </rPr>
      <t xml:space="preserve"> 95 </t>
    </r>
    <r>
      <rPr>
        <sz val="12"/>
        <rFont val="標楷體"/>
        <family val="4"/>
        <charset val="136"/>
      </rPr>
      <t>線</t>
    </r>
    <r>
      <rPr>
        <sz val="12"/>
        <rFont val="Times New Roman"/>
        <family val="1"/>
      </rPr>
      <t xml:space="preserve"> 4.3K(</t>
    </r>
    <r>
      <rPr>
        <sz val="12"/>
        <rFont val="標楷體"/>
        <family val="4"/>
        <charset val="136"/>
      </rPr>
      <t>投縣</t>
    </r>
    <r>
      <rPr>
        <sz val="12"/>
        <rFont val="Times New Roman"/>
        <family val="1"/>
      </rPr>
      <t xml:space="preserve"> DF206)</t>
    </r>
    <r>
      <rPr>
        <sz val="12"/>
        <rFont val="標楷體"/>
        <family val="4"/>
        <charset val="136"/>
      </rPr>
      <t>於</t>
    </r>
    <r>
      <rPr>
        <sz val="12"/>
        <rFont val="Times New Roman"/>
        <family val="1"/>
      </rPr>
      <t xml:space="preserve"> 112 </t>
    </r>
    <r>
      <rPr>
        <sz val="12"/>
        <rFont val="標楷體"/>
        <family val="4"/>
        <charset val="136"/>
      </rPr>
      <t>年發生土石流，大量土砂堆積於河道，並於</t>
    </r>
    <r>
      <rPr>
        <sz val="12"/>
        <rFont val="Times New Roman"/>
        <family val="1"/>
      </rPr>
      <t xml:space="preserve"> 113 </t>
    </r>
    <r>
      <rPr>
        <sz val="12"/>
        <rFont val="標楷體"/>
        <family val="4"/>
        <charset val="136"/>
      </rPr>
      <t>年</t>
    </r>
    <r>
      <rPr>
        <sz val="12"/>
        <rFont val="Times New Roman"/>
        <family val="1"/>
      </rPr>
      <t xml:space="preserve"> 5 </t>
    </r>
    <r>
      <rPr>
        <sz val="12"/>
        <rFont val="標楷體"/>
        <family val="4"/>
        <charset val="136"/>
      </rPr>
      <t>月</t>
    </r>
    <r>
      <rPr>
        <sz val="12"/>
        <rFont val="Times New Roman"/>
        <family val="1"/>
      </rPr>
      <t xml:space="preserve"> 28 </t>
    </r>
    <r>
      <rPr>
        <sz val="12"/>
        <rFont val="標楷體"/>
        <family val="4"/>
        <charset val="136"/>
      </rPr>
      <t>日因降雨再次引發土石流，</t>
    </r>
    <r>
      <rPr>
        <sz val="12"/>
        <rFont val="Times New Roman"/>
        <family val="1"/>
      </rPr>
      <t xml:space="preserve">113 </t>
    </r>
    <r>
      <rPr>
        <sz val="12"/>
        <rFont val="標楷體"/>
        <family val="4"/>
        <charset val="136"/>
      </rPr>
      <t>年</t>
    </r>
    <r>
      <rPr>
        <sz val="12"/>
        <rFont val="Times New Roman"/>
        <family val="1"/>
      </rPr>
      <t xml:space="preserve"> 7 </t>
    </r>
    <r>
      <rPr>
        <sz val="12"/>
        <rFont val="標楷體"/>
        <family val="4"/>
        <charset val="136"/>
      </rPr>
      <t>月</t>
    </r>
    <r>
      <rPr>
        <sz val="12"/>
        <rFont val="Times New Roman"/>
        <family val="1"/>
      </rPr>
      <t xml:space="preserve"> 25 </t>
    </r>
    <r>
      <rPr>
        <sz val="12"/>
        <rFont val="標楷體"/>
        <family val="4"/>
        <charset val="136"/>
      </rPr>
      <t>日又因凱米颱風帶來之強降雨，沖刷既有崩塌地，造成大量土砂流出，阻塞過路箱涵，淤埋左右兩岸民房及投</t>
    </r>
    <r>
      <rPr>
        <sz val="12"/>
        <rFont val="Times New Roman"/>
        <family val="1"/>
      </rPr>
      <t xml:space="preserve"> 95 </t>
    </r>
    <r>
      <rPr>
        <sz val="12"/>
        <rFont val="標楷體"/>
        <family val="4"/>
        <charset val="136"/>
      </rPr>
      <t>線，強大沖刷力更造成投</t>
    </r>
    <r>
      <rPr>
        <sz val="12"/>
        <rFont val="Times New Roman"/>
        <family val="1"/>
      </rPr>
      <t xml:space="preserve"> 95 </t>
    </r>
    <r>
      <rPr>
        <sz val="12"/>
        <rFont val="標楷體"/>
        <family val="4"/>
        <charset val="136"/>
      </rPr>
      <t>線路基流失。</t>
    </r>
    <phoneticPr fontId="5" type="noConversion"/>
  </si>
  <si>
    <t>01H400</t>
    <phoneticPr fontId="5" type="noConversion"/>
  </si>
  <si>
    <r>
      <rPr>
        <sz val="12"/>
        <rFont val="標楷體"/>
        <family val="4"/>
        <charset val="136"/>
      </rPr>
      <t>東埔</t>
    </r>
  </si>
  <si>
    <t>113 年凱米颱風-宜蘭南澳-001</t>
  </si>
  <si>
    <r>
      <rPr>
        <sz val="12"/>
        <rFont val="標楷體"/>
        <family val="4"/>
        <charset val="136"/>
      </rPr>
      <t>宜縣</t>
    </r>
    <r>
      <rPr>
        <sz val="12"/>
        <rFont val="Times New Roman"/>
        <family val="1"/>
      </rPr>
      <t xml:space="preserve"> DF146 </t>
    </r>
    <r>
      <rPr>
        <sz val="12"/>
        <rFont val="標楷體"/>
        <family val="4"/>
        <charset val="136"/>
      </rPr>
      <t>於</t>
    </r>
    <r>
      <rPr>
        <sz val="12"/>
        <rFont val="Times New Roman"/>
        <family val="1"/>
      </rPr>
      <t xml:space="preserve"> 101 </t>
    </r>
    <r>
      <rPr>
        <sz val="12"/>
        <rFont val="標楷體"/>
        <family val="4"/>
        <charset val="136"/>
      </rPr>
      <t>年蘇拉颱風造成上游集水區發生崩塌，並引發土石流，本次因凱米颱風造成之強降雨，沖刷既有崩塌地及河道土砂，並再次引發土石流，土砂淤滿梳子壩且溢流護岸，沖毀護岸旁聯絡道路，大量聚集土砂石沖入並淤埋民房，集水區出口之聯絡道路因溢流土砂堆積而遭掩埋，且擠壓主河道，造成碧候溫泉聯外道路之路基被南澳北溪淘空。</t>
    </r>
    <phoneticPr fontId="5" type="noConversion"/>
  </si>
  <si>
    <r>
      <rPr>
        <sz val="12"/>
        <rFont val="標楷體"/>
        <family val="4"/>
        <charset val="136"/>
      </rPr>
      <t>金岳國小</t>
    </r>
  </si>
  <si>
    <t>113 年凱米颱風-花蓮秀林-003</t>
  </si>
  <si>
    <r>
      <rPr>
        <sz val="12"/>
        <rFont val="標楷體"/>
        <family val="4"/>
        <charset val="136"/>
      </rPr>
      <t>三棧南溪</t>
    </r>
  </si>
  <si>
    <r>
      <t xml:space="preserve">7 </t>
    </r>
    <r>
      <rPr>
        <sz val="12"/>
        <rFont val="標楷體"/>
        <family val="4"/>
        <charset val="136"/>
      </rPr>
      <t>月</t>
    </r>
    <r>
      <rPr>
        <sz val="12"/>
        <rFont val="Times New Roman"/>
        <family val="1"/>
      </rPr>
      <t xml:space="preserve"> 25 </t>
    </r>
    <r>
      <rPr>
        <sz val="12"/>
        <rFont val="標楷體"/>
        <family val="4"/>
        <charset val="136"/>
      </rPr>
      <t>日凱米颱風之強降雨再次引發土石流，大量土砂淤塞沿線之防砂設施，並淤埋道路及阻塞過路箱涵。</t>
    </r>
    <phoneticPr fontId="5" type="noConversion"/>
  </si>
  <si>
    <t>113 年山陀兒颱風-新北金山-001</t>
  </si>
  <si>
    <r>
      <rPr>
        <sz val="12"/>
        <rFont val="標楷體"/>
        <family val="4"/>
        <charset val="136"/>
      </rPr>
      <t>長興宮</t>
    </r>
    <phoneticPr fontId="5" type="noConversion"/>
  </si>
  <si>
    <r>
      <rPr>
        <sz val="12"/>
        <rFont val="標楷體"/>
        <family val="4"/>
        <charset val="136"/>
      </rPr>
      <t>五湖里</t>
    </r>
    <phoneticPr fontId="5" type="noConversion"/>
  </si>
  <si>
    <r>
      <rPr>
        <sz val="12"/>
        <rFont val="標楷體"/>
        <family val="4"/>
        <charset val="136"/>
      </rPr>
      <t>山陀兒</t>
    </r>
    <phoneticPr fontId="5" type="noConversion"/>
  </si>
  <si>
    <r>
      <rPr>
        <sz val="12"/>
        <rFont val="標楷體"/>
        <family val="4"/>
        <charset val="136"/>
      </rPr>
      <t>：長興宮旁之金包里溪因山陀兒颱風帶來之強降雨引發土石流，土砂淤滿河道，致使溪水溢流漫延，土砂淤埋民宅、農地及長興宮，集水區並無明顯崩塌，推測土砂來源為河道沖刷，淘空河岸及護岸，致使土砂流出。</t>
    </r>
    <phoneticPr fontId="5" type="noConversion"/>
  </si>
  <si>
    <t>113 年山陀兒颱風-台東卑南-001</t>
  </si>
  <si>
    <r>
      <rPr>
        <sz val="12"/>
        <rFont val="標楷體"/>
        <family val="4"/>
        <charset val="136"/>
      </rPr>
      <t>東縣</t>
    </r>
    <r>
      <rPr>
        <sz val="12"/>
        <rFont val="Times New Roman"/>
        <family val="1"/>
      </rPr>
      <t>DF124</t>
    </r>
    <phoneticPr fontId="5" type="noConversion"/>
  </si>
  <si>
    <r>
      <rPr>
        <sz val="12"/>
        <rFont val="標楷體"/>
        <family val="4"/>
        <charset val="136"/>
      </rPr>
      <t>華源里</t>
    </r>
    <phoneticPr fontId="5" type="noConversion"/>
  </si>
  <si>
    <r>
      <rPr>
        <sz val="12"/>
        <rFont val="標楷體"/>
        <family val="4"/>
        <charset val="136"/>
      </rPr>
      <t>東縣</t>
    </r>
    <r>
      <rPr>
        <sz val="12"/>
        <rFont val="Times New Roman"/>
        <family val="1"/>
      </rPr>
      <t xml:space="preserve"> DF124 </t>
    </r>
    <r>
      <rPr>
        <sz val="12"/>
        <rFont val="標楷體"/>
        <family val="4"/>
        <charset val="136"/>
      </rPr>
      <t>於台</t>
    </r>
    <r>
      <rPr>
        <sz val="12"/>
        <rFont val="Times New Roman"/>
        <family val="1"/>
      </rPr>
      <t xml:space="preserve"> 9 </t>
    </r>
    <r>
      <rPr>
        <sz val="12"/>
        <rFont val="標楷體"/>
        <family val="4"/>
        <charset val="136"/>
      </rPr>
      <t>線</t>
    </r>
    <r>
      <rPr>
        <sz val="12"/>
        <rFont val="Times New Roman"/>
        <family val="1"/>
      </rPr>
      <t>(</t>
    </r>
    <r>
      <rPr>
        <sz val="12"/>
        <rFont val="標楷體"/>
        <family val="4"/>
        <charset val="136"/>
      </rPr>
      <t>舊線</t>
    </r>
    <r>
      <rPr>
        <sz val="12"/>
        <rFont val="Times New Roman"/>
        <family val="1"/>
      </rPr>
      <t>)</t>
    </r>
    <r>
      <rPr>
        <sz val="12"/>
        <rFont val="標楷體"/>
        <family val="4"/>
        <charset val="136"/>
      </rPr>
      <t>橋涵溢流後，土砂堆積於台</t>
    </r>
    <r>
      <rPr>
        <sz val="12"/>
        <rFont val="Times New Roman"/>
        <family val="1"/>
      </rPr>
      <t xml:space="preserve"> 9 </t>
    </r>
    <r>
      <rPr>
        <sz val="12"/>
        <rFont val="標楷體"/>
        <family val="4"/>
        <charset val="136"/>
      </rPr>
      <t>線</t>
    </r>
    <r>
      <rPr>
        <sz val="12"/>
        <rFont val="Times New Roman"/>
        <family val="1"/>
      </rPr>
      <t>(</t>
    </r>
    <r>
      <rPr>
        <sz val="12"/>
        <rFont val="標楷體"/>
        <family val="4"/>
        <charset val="136"/>
      </rPr>
      <t>舊線</t>
    </r>
    <r>
      <rPr>
        <sz val="12"/>
        <rFont val="Times New Roman"/>
        <family val="1"/>
      </rPr>
      <t>)</t>
    </r>
    <r>
      <rPr>
        <sz val="12"/>
        <rFont val="標楷體"/>
        <family val="4"/>
        <charset val="136"/>
      </rPr>
      <t>及左岸，並淤埋農地、民房及巷道，台</t>
    </r>
    <r>
      <rPr>
        <sz val="12"/>
        <rFont val="Times New Roman"/>
        <family val="1"/>
      </rPr>
      <t xml:space="preserve"> 9 </t>
    </r>
    <r>
      <rPr>
        <sz val="12"/>
        <rFont val="標楷體"/>
        <family val="4"/>
        <charset val="136"/>
      </rPr>
      <t>線</t>
    </r>
    <r>
      <rPr>
        <sz val="12"/>
        <rFont val="Times New Roman"/>
        <family val="1"/>
      </rPr>
      <t>(</t>
    </r>
    <r>
      <rPr>
        <sz val="12"/>
        <rFont val="標楷體"/>
        <family val="4"/>
        <charset val="136"/>
      </rPr>
      <t>舊線</t>
    </r>
    <r>
      <rPr>
        <sz val="12"/>
        <rFont val="Times New Roman"/>
        <family val="1"/>
      </rPr>
      <t>)</t>
    </r>
    <r>
      <rPr>
        <sz val="12"/>
        <rFont val="標楷體"/>
        <family val="4"/>
        <charset val="136"/>
      </rPr>
      <t>橋涵上游右岸護岸則遭土石流沖毀。</t>
    </r>
    <phoneticPr fontId="5" type="noConversion"/>
  </si>
  <si>
    <t>C1S800</t>
    <phoneticPr fontId="5" type="noConversion"/>
  </si>
  <si>
    <r>
      <rPr>
        <sz val="12"/>
        <rFont val="標楷體"/>
        <family val="4"/>
        <charset val="136"/>
      </rPr>
      <t>華源</t>
    </r>
    <phoneticPr fontId="5" type="noConversion"/>
  </si>
  <si>
    <r>
      <rPr>
        <sz val="12"/>
        <rFont val="標楷體"/>
        <family val="4"/>
        <charset val="136"/>
      </rPr>
      <t>東縣</t>
    </r>
    <r>
      <rPr>
        <sz val="12"/>
        <rFont val="Times New Roman"/>
        <family val="1"/>
      </rPr>
      <t>DF125</t>
    </r>
    <phoneticPr fontId="5" type="noConversion"/>
  </si>
  <si>
    <r>
      <rPr>
        <sz val="12"/>
        <rFont val="標楷體"/>
        <family val="4"/>
        <charset val="136"/>
      </rPr>
      <t>坑內</t>
    </r>
    <r>
      <rPr>
        <sz val="12"/>
        <rFont val="Times New Roman"/>
        <family val="1"/>
      </rPr>
      <t>(</t>
    </r>
    <r>
      <rPr>
        <sz val="12"/>
        <rFont val="標楷體"/>
        <family val="4"/>
        <charset val="136"/>
      </rPr>
      <t>東縣</t>
    </r>
    <r>
      <rPr>
        <sz val="12"/>
        <rFont val="Times New Roman"/>
        <family val="1"/>
      </rPr>
      <t xml:space="preserve"> DF125)</t>
    </r>
    <r>
      <rPr>
        <sz val="12"/>
        <rFont val="標楷體"/>
        <family val="4"/>
        <charset val="136"/>
      </rPr>
      <t>之土石流堆積段主要位於台鐵至台</t>
    </r>
    <r>
      <rPr>
        <sz val="12"/>
        <rFont val="Times New Roman"/>
        <family val="1"/>
      </rPr>
      <t xml:space="preserve"> 9 </t>
    </r>
    <r>
      <rPr>
        <sz val="12"/>
        <rFont val="標楷體"/>
        <family val="4"/>
        <charset val="136"/>
      </rPr>
      <t>線間，惟堆積區皆於原河道範圍，未影響周遭農地。</t>
    </r>
    <phoneticPr fontId="5" type="noConversion"/>
  </si>
  <si>
    <r>
      <rPr>
        <sz val="12"/>
        <rFont val="標楷體"/>
        <family val="4"/>
        <charset val="136"/>
      </rPr>
      <t>土石流</t>
    </r>
    <r>
      <rPr>
        <sz val="12"/>
        <rFont val="Times New Roman"/>
        <family val="1"/>
      </rPr>
      <t xml:space="preserve"> </t>
    </r>
    <r>
      <rPr>
        <sz val="12"/>
        <rFont val="標楷體"/>
        <family val="4"/>
        <charset val="136"/>
      </rPr>
      <t>、崩塌</t>
    </r>
    <r>
      <rPr>
        <sz val="12"/>
        <rFont val="Times New Roman"/>
        <family val="1"/>
      </rPr>
      <t xml:space="preserve"> (</t>
    </r>
    <r>
      <rPr>
        <sz val="12"/>
        <rFont val="標楷體"/>
        <family val="4"/>
        <charset val="136"/>
      </rPr>
      <t>山崩</t>
    </r>
    <r>
      <rPr>
        <sz val="12"/>
        <rFont val="Times New Roman"/>
        <family val="1"/>
      </rPr>
      <t>)</t>
    </r>
    <phoneticPr fontId="5" type="noConversion"/>
  </si>
  <si>
    <r>
      <rPr>
        <sz val="12"/>
        <rFont val="標楷體"/>
        <family val="4"/>
        <charset val="136"/>
      </rPr>
      <t>鎮樂橋</t>
    </r>
    <r>
      <rPr>
        <sz val="12"/>
        <rFont val="Times New Roman"/>
        <family val="1"/>
      </rPr>
      <t>(</t>
    </r>
    <r>
      <rPr>
        <sz val="12"/>
        <rFont val="標楷體"/>
        <family val="4"/>
        <charset val="136"/>
      </rPr>
      <t>東縣</t>
    </r>
    <r>
      <rPr>
        <sz val="12"/>
        <rFont val="Times New Roman"/>
        <family val="1"/>
      </rPr>
      <t xml:space="preserve"> DF059)</t>
    </r>
    <phoneticPr fontId="5" type="noConversion"/>
  </si>
  <si>
    <r>
      <rPr>
        <sz val="12"/>
        <rFont val="標楷體"/>
        <family val="4"/>
        <charset val="136"/>
      </rPr>
      <t>東縣</t>
    </r>
    <r>
      <rPr>
        <sz val="12"/>
        <rFont val="Times New Roman"/>
        <family val="1"/>
      </rPr>
      <t>DF059</t>
    </r>
    <phoneticPr fontId="5" type="noConversion"/>
  </si>
  <si>
    <r>
      <rPr>
        <sz val="12"/>
        <rFont val="標楷體"/>
        <family val="4"/>
        <charset val="136"/>
      </rPr>
      <t>鎮樂橋</t>
    </r>
    <r>
      <rPr>
        <sz val="12"/>
        <rFont val="Times New Roman"/>
        <family val="1"/>
      </rPr>
      <t>(</t>
    </r>
    <r>
      <rPr>
        <sz val="12"/>
        <rFont val="標楷體"/>
        <family val="4"/>
        <charset val="136"/>
      </rPr>
      <t>東縣</t>
    </r>
    <r>
      <rPr>
        <sz val="12"/>
        <rFont val="Times New Roman"/>
        <family val="1"/>
      </rPr>
      <t xml:space="preserve"> DF059)</t>
    </r>
    <r>
      <rPr>
        <sz val="12"/>
        <rFont val="標楷體"/>
        <family val="4"/>
        <charset val="136"/>
      </rPr>
      <t>因山陀兒颱風帶來之強降雨，造成集水區發生</t>
    </r>
    <r>
      <rPr>
        <sz val="12"/>
        <rFont val="Times New Roman"/>
        <family val="1"/>
      </rPr>
      <t xml:space="preserve"> 3 </t>
    </r>
    <r>
      <rPr>
        <sz val="12"/>
        <rFont val="標楷體"/>
        <family val="4"/>
        <charset val="136"/>
      </rPr>
      <t>處崩塌，溪水暴漲挾帶崩塌土砂，堆積於河道及</t>
    </r>
    <r>
      <rPr>
        <sz val="12"/>
        <rFont val="Times New Roman"/>
        <family val="1"/>
      </rPr>
      <t xml:space="preserve"> 3 </t>
    </r>
    <r>
      <rPr>
        <sz val="12"/>
        <rFont val="標楷體"/>
        <family val="4"/>
        <charset val="136"/>
      </rPr>
      <t>處農地，淤積範圍從鎮樂橋綿延至</t>
    </r>
    <r>
      <rPr>
        <sz val="12"/>
        <rFont val="Times New Roman"/>
        <family val="1"/>
      </rPr>
      <t xml:space="preserve"> 194 </t>
    </r>
    <r>
      <rPr>
        <sz val="12"/>
        <rFont val="標楷體"/>
        <family val="4"/>
        <charset val="136"/>
      </rPr>
      <t>縣道之千歲橋。</t>
    </r>
    <phoneticPr fontId="5" type="noConversion"/>
  </si>
  <si>
    <t>81S930</t>
    <phoneticPr fontId="5" type="noConversion"/>
  </si>
  <si>
    <t>113 年山陀兒颱風-臺東太麻里-001</t>
  </si>
  <si>
    <r>
      <rPr>
        <sz val="12"/>
        <rFont val="標楷體"/>
        <family val="4"/>
        <charset val="136"/>
      </rPr>
      <t>沙崙溪</t>
    </r>
    <r>
      <rPr>
        <sz val="12"/>
        <rFont val="Times New Roman"/>
        <family val="1"/>
      </rPr>
      <t>(</t>
    </r>
    <r>
      <rPr>
        <sz val="12"/>
        <rFont val="標楷體"/>
        <family val="4"/>
        <charset val="136"/>
      </rPr>
      <t>東縣</t>
    </r>
    <r>
      <rPr>
        <sz val="12"/>
        <rFont val="Times New Roman"/>
        <family val="1"/>
      </rPr>
      <t xml:space="preserve"> DF111)</t>
    </r>
    <phoneticPr fontId="5" type="noConversion"/>
  </si>
  <si>
    <r>
      <rPr>
        <sz val="12"/>
        <rFont val="標楷體"/>
        <family val="4"/>
        <charset val="136"/>
      </rPr>
      <t>東縣</t>
    </r>
    <r>
      <rPr>
        <sz val="12"/>
        <rFont val="Times New Roman"/>
        <family val="1"/>
      </rPr>
      <t>DF111</t>
    </r>
    <phoneticPr fontId="5" type="noConversion"/>
  </si>
  <si>
    <r>
      <rPr>
        <sz val="12"/>
        <rFont val="標楷體"/>
        <family val="4"/>
        <charset val="136"/>
      </rPr>
      <t>沙崙溪</t>
    </r>
    <r>
      <rPr>
        <sz val="12"/>
        <rFont val="Times New Roman"/>
        <family val="1"/>
      </rPr>
      <t>(</t>
    </r>
    <r>
      <rPr>
        <sz val="12"/>
        <rFont val="標楷體"/>
        <family val="4"/>
        <charset val="136"/>
      </rPr>
      <t>東縣</t>
    </r>
    <r>
      <rPr>
        <sz val="12"/>
        <rFont val="Times New Roman"/>
        <family val="1"/>
      </rPr>
      <t xml:space="preserve"> DF111)</t>
    </r>
    <r>
      <rPr>
        <sz val="12"/>
        <rFont val="標楷體"/>
        <family val="4"/>
        <charset val="136"/>
      </rPr>
      <t>因山陀兒颱風帶來之強降雨，於</t>
    </r>
    <r>
      <rPr>
        <sz val="12"/>
        <rFont val="Times New Roman"/>
        <family val="1"/>
      </rPr>
      <t xml:space="preserve"> 10 </t>
    </r>
    <r>
      <rPr>
        <sz val="12"/>
        <rFont val="標楷體"/>
        <family val="4"/>
        <charset val="136"/>
      </rPr>
      <t>月</t>
    </r>
    <r>
      <rPr>
        <sz val="12"/>
        <rFont val="Times New Roman"/>
        <family val="1"/>
      </rPr>
      <t xml:space="preserve"> 2 </t>
    </r>
    <r>
      <rPr>
        <sz val="12"/>
        <rFont val="標楷體"/>
        <family val="4"/>
        <charset val="136"/>
      </rPr>
      <t>日晚間發生土石流</t>
    </r>
    <phoneticPr fontId="5" type="noConversion"/>
  </si>
  <si>
    <t>C0S690</t>
    <phoneticPr fontId="5" type="noConversion"/>
  </si>
  <si>
    <r>
      <rPr>
        <sz val="12"/>
        <rFont val="標楷體"/>
        <family val="4"/>
        <charset val="136"/>
      </rPr>
      <t>太麻里</t>
    </r>
    <phoneticPr fontId="5" type="noConversion"/>
  </si>
  <si>
    <r>
      <t xml:space="preserve">4 </t>
    </r>
    <r>
      <rPr>
        <sz val="12"/>
        <rFont val="標楷體"/>
        <family val="4"/>
        <charset val="136"/>
      </rPr>
      <t>日清晨持續受山陀兒颱風影響土砂災害規模擴大，</t>
    </r>
    <r>
      <rPr>
        <sz val="12"/>
        <rFont val="Times New Roman"/>
        <family val="1"/>
      </rPr>
      <t xml:space="preserve">2 </t>
    </r>
    <r>
      <rPr>
        <sz val="12"/>
        <rFont val="標楷體"/>
        <family val="4"/>
        <charset val="136"/>
      </rPr>
      <t>號箱涵遭阻塞，</t>
    </r>
    <r>
      <rPr>
        <sz val="12"/>
        <rFont val="Times New Roman"/>
        <family val="1"/>
      </rPr>
      <t xml:space="preserve">3 </t>
    </r>
    <r>
      <rPr>
        <sz val="12"/>
        <rFont val="標楷體"/>
        <family val="4"/>
        <charset val="136"/>
      </rPr>
      <t>號版橋、</t>
    </r>
    <r>
      <rPr>
        <sz val="12"/>
        <rFont val="Times New Roman"/>
        <family val="1"/>
      </rPr>
      <t xml:space="preserve">4 </t>
    </r>
    <r>
      <rPr>
        <sz val="12"/>
        <rFont val="標楷體"/>
        <family val="4"/>
        <charset val="136"/>
      </rPr>
      <t>號橋涵、約</t>
    </r>
    <r>
      <rPr>
        <sz val="12"/>
        <rFont val="Times New Roman"/>
        <family val="1"/>
      </rPr>
      <t xml:space="preserve"> 50 </t>
    </r>
    <r>
      <rPr>
        <sz val="12"/>
        <rFont val="標楷體"/>
        <family val="4"/>
        <charset val="136"/>
      </rPr>
      <t>公尺護岸毀損，鄰近農地、房舍及工寮土砂淤積，淤積範圍主要為河道右岸農地，並從</t>
    </r>
    <r>
      <rPr>
        <sz val="12"/>
        <rFont val="Times New Roman"/>
        <family val="1"/>
      </rPr>
      <t xml:space="preserve"> 2 </t>
    </r>
    <r>
      <rPr>
        <sz val="12"/>
        <rFont val="標楷體"/>
        <family val="4"/>
        <charset val="136"/>
      </rPr>
      <t>號箱涵綿延至東</t>
    </r>
    <r>
      <rPr>
        <sz val="12"/>
        <rFont val="Times New Roman"/>
        <family val="1"/>
      </rPr>
      <t xml:space="preserve"> 63 </t>
    </r>
    <r>
      <rPr>
        <sz val="12"/>
        <rFont val="標楷體"/>
        <family val="4"/>
        <charset val="136"/>
      </rPr>
      <t>鄉道。</t>
    </r>
    <phoneticPr fontId="5" type="noConversion"/>
  </si>
  <si>
    <t>113 年其他(0922)-高雄六龜-001</t>
  </si>
  <si>
    <r>
      <rPr>
        <sz val="12"/>
        <rFont val="標楷體"/>
        <family val="4"/>
        <charset val="136"/>
      </rPr>
      <t>六龜區光明巷</t>
    </r>
    <r>
      <rPr>
        <sz val="12"/>
        <rFont val="Times New Roman"/>
        <family val="1"/>
      </rPr>
      <t>(</t>
    </r>
    <r>
      <rPr>
        <sz val="12"/>
        <rFont val="標楷體"/>
        <family val="4"/>
        <charset val="136"/>
      </rPr>
      <t>高市</t>
    </r>
    <r>
      <rPr>
        <sz val="12"/>
        <rFont val="Times New Roman"/>
        <family val="1"/>
      </rPr>
      <t xml:space="preserve"> DF099)</t>
    </r>
    <phoneticPr fontId="5" type="noConversion"/>
  </si>
  <si>
    <r>
      <rPr>
        <sz val="12"/>
        <rFont val="標楷體"/>
        <family val="4"/>
        <charset val="136"/>
      </rPr>
      <t>高市</t>
    </r>
    <r>
      <rPr>
        <sz val="12"/>
        <rFont val="Times New Roman"/>
        <family val="1"/>
      </rPr>
      <t>DF099</t>
    </r>
    <phoneticPr fontId="5" type="noConversion"/>
  </si>
  <si>
    <r>
      <rPr>
        <sz val="12"/>
        <rFont val="標楷體"/>
        <family val="4"/>
        <charset val="136"/>
      </rPr>
      <t>其他</t>
    </r>
    <r>
      <rPr>
        <sz val="12"/>
        <rFont val="Times New Roman"/>
        <family val="1"/>
      </rPr>
      <t>(0922)</t>
    </r>
    <phoneticPr fontId="5" type="noConversion"/>
  </si>
  <si>
    <r>
      <t>)</t>
    </r>
    <r>
      <rPr>
        <sz val="12"/>
        <rFont val="標楷體"/>
        <family val="4"/>
        <charset val="136"/>
      </rPr>
      <t>因凱米颱風帶來之強降雨造成集水區源頭發生新增崩塌，並於</t>
    </r>
    <r>
      <rPr>
        <sz val="12"/>
        <rFont val="Times New Roman"/>
        <family val="1"/>
      </rPr>
      <t xml:space="preserve"> 9 </t>
    </r>
    <r>
      <rPr>
        <sz val="12"/>
        <rFont val="標楷體"/>
        <family val="4"/>
        <charset val="136"/>
      </rPr>
      <t>月</t>
    </r>
    <r>
      <rPr>
        <sz val="12"/>
        <rFont val="Times New Roman"/>
        <family val="1"/>
      </rPr>
      <t xml:space="preserve"> 22</t>
    </r>
    <r>
      <rPr>
        <sz val="12"/>
        <rFont val="標楷體"/>
        <family val="4"/>
        <charset val="136"/>
      </rPr>
      <t>日熱帶低壓之強降雨引發土石流，土砂阻塞過路箱涵且淤滿河道，溢流土砂則以泥流形式，漫延至光明巷及周遭農地。</t>
    </r>
    <phoneticPr fontId="5" type="noConversion"/>
  </si>
  <si>
    <r>
      <rPr>
        <sz val="12"/>
        <rFont val="標楷體"/>
        <family val="4"/>
        <charset val="136"/>
      </rPr>
      <t>苗</t>
    </r>
    <r>
      <rPr>
        <sz val="12"/>
        <rFont val="Times New Roman"/>
        <family val="1"/>
      </rPr>
      <t>43</t>
    </r>
    <r>
      <rPr>
        <sz val="12"/>
        <rFont val="標楷體"/>
        <family val="4"/>
        <charset val="136"/>
      </rPr>
      <t>線</t>
    </r>
    <r>
      <rPr>
        <sz val="12"/>
        <rFont val="Times New Roman"/>
        <family val="1"/>
      </rPr>
      <t>7k(</t>
    </r>
    <r>
      <rPr>
        <sz val="12"/>
        <rFont val="標楷體"/>
        <family val="4"/>
        <charset val="136"/>
      </rPr>
      <t>苗縣</t>
    </r>
    <r>
      <rPr>
        <sz val="12"/>
        <rFont val="Times New Roman"/>
        <family val="1"/>
      </rPr>
      <t>DF036)</t>
    </r>
    <phoneticPr fontId="5" type="noConversion"/>
  </si>
  <si>
    <r>
      <rPr>
        <sz val="12"/>
        <rFont val="標楷體"/>
        <family val="4"/>
        <charset val="136"/>
      </rPr>
      <t>苑裡鎮</t>
    </r>
    <phoneticPr fontId="5" type="noConversion"/>
  </si>
  <si>
    <r>
      <rPr>
        <sz val="12"/>
        <rFont val="標楷體"/>
        <family val="4"/>
        <charset val="136"/>
      </rPr>
      <t>南勢里</t>
    </r>
    <phoneticPr fontId="5" type="noConversion"/>
  </si>
  <si>
    <r>
      <rPr>
        <sz val="12"/>
        <rFont val="標楷體"/>
        <family val="4"/>
        <charset val="136"/>
      </rPr>
      <t>苗縣</t>
    </r>
    <r>
      <rPr>
        <sz val="12"/>
        <rFont val="Times New Roman"/>
        <family val="1"/>
      </rPr>
      <t>DF036</t>
    </r>
    <phoneticPr fontId="5" type="noConversion"/>
  </si>
  <si>
    <r>
      <rPr>
        <sz val="12"/>
        <rFont val="標楷體"/>
        <family val="4"/>
        <charset val="136"/>
      </rPr>
      <t>其他</t>
    </r>
    <r>
      <rPr>
        <sz val="12"/>
        <rFont val="Times New Roman"/>
        <family val="1"/>
      </rPr>
      <t>(0920)</t>
    </r>
    <phoneticPr fontId="5" type="noConversion"/>
  </si>
  <si>
    <r>
      <rPr>
        <sz val="12"/>
        <rFont val="標楷體"/>
        <family val="4"/>
        <charset val="136"/>
      </rPr>
      <t>因熱帶低壓帶來之短延時強降雨，造成集水區產生新增崩塌，逕流亦將河道及防砂壩之堆積土砂沖刷帶出，土砂則堆積於苗縣</t>
    </r>
    <r>
      <rPr>
        <sz val="12"/>
        <rFont val="Times New Roman"/>
        <family val="1"/>
      </rPr>
      <t>DF036</t>
    </r>
    <r>
      <rPr>
        <sz val="12"/>
        <rFont val="標楷體"/>
        <family val="4"/>
        <charset val="136"/>
      </rPr>
      <t>出口，並淤塞苑裡圳幹線，但未流至苗</t>
    </r>
    <r>
      <rPr>
        <sz val="12"/>
        <rFont val="Times New Roman"/>
        <family val="1"/>
      </rPr>
      <t xml:space="preserve"> 43 </t>
    </r>
    <r>
      <rPr>
        <sz val="12"/>
        <rFont val="標楷體"/>
        <family val="4"/>
        <charset val="136"/>
      </rPr>
      <t>道路上。</t>
    </r>
    <phoneticPr fontId="5" type="noConversion"/>
  </si>
  <si>
    <t>81E880</t>
    <phoneticPr fontId="5" type="noConversion"/>
  </si>
  <si>
    <r>
      <rPr>
        <sz val="12"/>
        <rFont val="標楷體"/>
        <family val="4"/>
        <charset val="136"/>
      </rPr>
      <t>火炎山</t>
    </r>
    <phoneticPr fontId="5" type="noConversion"/>
  </si>
  <si>
    <t>崩塌(沖蝕)、土石流</t>
  </si>
  <si>
    <t>113年康芮颱風-宜蘭頭城-001</t>
  </si>
  <si>
    <t>台2線116K</t>
    <phoneticPr fontId="5" type="noConversion"/>
  </si>
  <si>
    <t>宜蘭縣</t>
    <phoneticPr fontId="5" type="noConversion"/>
  </si>
  <si>
    <t>頭城鎮</t>
    <phoneticPr fontId="5" type="noConversion"/>
  </si>
  <si>
    <t>石城里</t>
    <phoneticPr fontId="5" type="noConversion"/>
  </si>
  <si>
    <r>
      <rPr>
        <sz val="12"/>
        <rFont val="新細明體"/>
        <family val="1"/>
        <charset val="136"/>
      </rPr>
      <t>宜縣</t>
    </r>
    <r>
      <rPr>
        <sz val="12"/>
        <rFont val="Times New Roman"/>
        <family val="1"/>
      </rPr>
      <t>DF151</t>
    </r>
    <phoneticPr fontId="5" type="noConversion"/>
  </si>
  <si>
    <t>康芮颱風</t>
    <phoneticPr fontId="5" type="noConversion"/>
  </si>
  <si>
    <t>台2線116K 邊坡坑溝於111年發生崩塌，現況雖已恢復植生，但坑溝仍有土砂堆積，本次因康芮颱風帶來之強降雨，將坑溝堆積土砂帶出，土砂淤滿坑溝、靜水池及 沉砂池後溢流，並沖入民房。</t>
    <phoneticPr fontId="5" type="noConversion"/>
  </si>
  <si>
    <t>81U890</t>
  </si>
  <si>
    <t>大里國小</t>
    <phoneticPr fontId="5" type="noConversion"/>
  </si>
  <si>
    <t>null</t>
  </si>
  <si>
    <t>土石流</t>
  </si>
  <si>
    <t>113年康芮颱風-花蓮玉里-001</t>
  </si>
  <si>
    <t>源城里20鄰209號(花縣DF071)</t>
    <phoneticPr fontId="5" type="noConversion"/>
  </si>
  <si>
    <t>花蓮縣</t>
    <phoneticPr fontId="5" type="noConversion"/>
  </si>
  <si>
    <t>玉里鎮</t>
    <phoneticPr fontId="5" type="noConversion"/>
  </si>
  <si>
    <t>源城里</t>
    <phoneticPr fontId="5" type="noConversion"/>
  </si>
  <si>
    <t>花縣DF071</t>
  </si>
  <si>
    <t>源城里 20 鄰(花縣 DF071)因康芮颱風帶來之 強降雨引發土石流，現況河道北側有邊坡裸露，雖上游 防砂壩有定期清疏，惟土砂量較大仍淤滿防砂壩，進而 阻塞位於道路下方之流路，土砂回堵後造成土砂溢流， 並堆積右岸巷道及左岸民房。</t>
    <phoneticPr fontId="5" type="noConversion"/>
  </si>
  <si>
    <t>C0Z061</t>
  </si>
  <si>
    <t>玉里</t>
    <phoneticPr fontId="5" type="noConversion"/>
  </si>
  <si>
    <t>113年康芮颱風-花蓮卓溪-001</t>
  </si>
  <si>
    <t>卓溪村(花縣DF039、花縣DF048、花縣DF049)</t>
    <phoneticPr fontId="5" type="noConversion"/>
  </si>
  <si>
    <t>卓溪鄉</t>
    <phoneticPr fontId="5" type="noConversion"/>
  </si>
  <si>
    <t>卓溪村</t>
    <phoneticPr fontId="5" type="noConversion"/>
  </si>
  <si>
    <t>花縣DF048、39、49</t>
  </si>
  <si>
    <t>卓溪村因康芮颱風帶來之強降雨，造成花縣 DF039、卓溪 8 鄰、花縣 DF048、花縣 DF049 等四處 發生土石流，花縣 DF039 因土砂阻塞河道，溢流後堆積於民宅及道路，並沖毀版橋護欄；卓溪 8 鄰為 2 條野 溪發生土石流，土砂阻塞過路箱涵及河道造成溢流；花縣 DF049 則因土砂阻塞過路箱涵而溢流，並堆積於農 地；花縣 DF048 因河道淤積及護岸沖毀，造成土砂溢流及河流改道。</t>
  </si>
  <si>
    <t>81T900</t>
  </si>
  <si>
    <t>卓溪國小</t>
    <phoneticPr fontId="5" type="noConversion"/>
  </si>
  <si>
    <t>114年其他(0518)-花蓮秀林-002</t>
  </si>
  <si>
    <t>台鐵北迴線和仁隧道南口(花縣DF024)</t>
  </si>
  <si>
    <t>花縣DF024</t>
    <phoneticPr fontId="5" type="noConversion"/>
  </si>
  <si>
    <t>午後雷陣雨</t>
  </si>
  <si>
    <t>午後雷陣雨引發土石流，致使台鐵軌面及台9丁線路面覆蓋土石，並損毀護岸與梳子壩，堆積土方約195立方公尺。</t>
  </si>
  <si>
    <t>114年其他(0518)-宜蘭頭城-001</t>
  </si>
  <si>
    <t>宜縣DF151(台2線116K)</t>
  </si>
  <si>
    <t>頭城鎮</t>
  </si>
  <si>
    <t>石城里</t>
  </si>
  <si>
    <t>宜縣DF151</t>
    <phoneticPr fontId="5" type="noConversion"/>
  </si>
  <si>
    <t>午後雷陣雨造成上游新增崩塌，土砂阻塞過路箱涵及沉砂池，溢流沖入民房，2棟民房受災，堆積土方量約600立方公尺。</t>
  </si>
  <si>
    <t>C0UA90</t>
  </si>
  <si>
    <t>石城</t>
  </si>
  <si>
    <t>洪水、崩塌(沖蝕)</t>
  </si>
  <si>
    <t>114年其他(0518)-花蓮秀林-001</t>
  </si>
  <si>
    <t>台9線161.2K(匯德隧道北口)、164.4K</t>
  </si>
  <si>
    <t>石公溪</t>
  </si>
  <si>
    <t>台9線161.2K與164.4K因午後雷陣雨致過路箱涵無法宣洩，導致土砂溢流於路面。北口與上邊坡堆積土砂約1,645立方公尺，共淤埋長度約110公尺。</t>
  </si>
  <si>
    <t>29.5/35.5</t>
    <phoneticPr fontId="5" type="noConversion"/>
  </si>
  <si>
    <t>43.2 / 98.4</t>
  </si>
  <si>
    <t>崩塌(沖蝕)</t>
  </si>
  <si>
    <t>114年其他(0520)-花蓮秀林-001</t>
  </si>
  <si>
    <t>崇德隧道南、北口</t>
  </si>
  <si>
    <t>午後雷陣雨沖蝕隧道口上邊坡裸露地表，大量土砂下移至隧道口頂；南北口合計沖蝕與堆積各約1,200立方公尺，無災損。</t>
  </si>
  <si>
    <t>崩塌(山崩、沖蝕)</t>
  </si>
  <si>
    <t>114年其他(0627)-高雄六龜-001</t>
  </si>
  <si>
    <t>般若精舍(高市DF053)</t>
  </si>
  <si>
    <t>DF053</t>
  </si>
  <si>
    <t>6月26與27日午後雷陣雨造成源頭新增崩塌與河道沖刷，堆積於防砂壩下游，未影響保全對象。崩塌與沖蝕各約3,000立方公尺，堆積6,000立方公尺。</t>
  </si>
  <si>
    <t>114年其他(0627)-南投信義-001</t>
  </si>
  <si>
    <t>投95線4.3K(投縣DF206)</t>
  </si>
  <si>
    <t>投縣DF206</t>
    <phoneticPr fontId="5" type="noConversion"/>
  </si>
  <si>
    <t>午後雷陣雨致既有崩塌地堆積土砂被沖刷流入民房與道路，2棟民房遭土石沖入，道路淤埋50公尺，堆積土方約3,500立方公尺。</t>
  </si>
  <si>
    <t>81HB40</t>
  </si>
  <si>
    <t>東埔吊橋</t>
  </si>
  <si>
    <t>崩塌、堰塞湖</t>
  </si>
  <si>
    <t>114年丹娜絲颱風-雲林古坑-001</t>
  </si>
  <si>
    <t>草嶺潭(清水溪)</t>
  </si>
  <si>
    <t>清水溪</t>
  </si>
  <si>
    <t>丹娜絲颱風</t>
  </si>
  <si>
    <t>丹娜絲颱風造成清水溪原草嶺潭崩塌形成堰塞湖，壩體高約60公尺、覆蓋30.1公頃，土砂量705.5萬立方公尺，蓄水量2245萬立方公尺，蓄水面積約62公頃。</t>
  </si>
  <si>
    <t>01J970</t>
  </si>
  <si>
    <t>草嶺(2)</t>
  </si>
  <si>
    <t>114年丹娜絲颱風-南投信義-001</t>
  </si>
  <si>
    <t>投縣DF185</t>
    <phoneticPr fontId="5" type="noConversion"/>
  </si>
  <si>
    <t>丹娜絲颱風引進西南風降雨引發土石流，源頭崩塌地未擴大，推測土砂來源為裸露坡面沖刷，土砂阻塞過路箱涵及排水渠道，溢流淤埋中平巷與產業道路，堆積約3840立方公尺。</t>
  </si>
  <si>
    <t>洪水</t>
  </si>
  <si>
    <t>114年丹娜絲颱風-屏東高樹-001</t>
  </si>
  <si>
    <t>屏縣DF004</t>
  </si>
  <si>
    <t>高樹鄉</t>
  </si>
  <si>
    <t>新豐村</t>
  </si>
  <si>
    <t>DF004</t>
  </si>
  <si>
    <t>丹娜絲颱風引進西南風降雨造成溪水暴漲，下游圳路交匯處阻塞導致溢流與路面損毀，推測土砂來源為河道沖刷。堆積範圍約400平方公尺、堆積土方約800立方公尺。</t>
  </si>
  <si>
    <t>O1R450</t>
  </si>
  <si>
    <t>新豐(1)</t>
  </si>
  <si>
    <t>崩塌(沖蝕)、土砂溢淹</t>
  </si>
  <si>
    <t>114年0721豪雨-南投埔里-001</t>
  </si>
  <si>
    <t>墘溪路11之7號</t>
  </si>
  <si>
    <t>墘溪</t>
  </si>
  <si>
    <t>0721豪雨</t>
  </si>
  <si>
    <t>南投縣埔里鎮蜈蚣里墘溪路11之7號發生泥流夾帶土石沿道路流下，3戶民宅遭入侵並阻礙通行；研判為坡面表層崩積土遭大雨蝕溝沖刷所致。</t>
  </si>
  <si>
    <t>114年0726-花蓮萬榮-001(馬鞍溪堰塞湖)</t>
  </si>
  <si>
    <t>林田山118、122林班</t>
  </si>
  <si>
    <t>明利村</t>
  </si>
  <si>
    <t>馬鞍溪</t>
  </si>
  <si>
    <t>薇帕颱風</t>
  </si>
  <si>
    <t>於花蓮縣萬榮鄉林田山事業區118、122林班發生大規模崩塌形成堰塞湖，壩體高200m、面積18公頃、最大蓄水量9,100萬立方公尺。9月23日溢流後造成光復市區大範圍淹水，死18失6。</t>
  </si>
  <si>
    <t>大觀</t>
  </si>
  <si>
    <t>114年0728豪雨-高雄六龜-005(高市DF053)</t>
  </si>
  <si>
    <t>高市DF053</t>
    <phoneticPr fontId="5" type="noConversion"/>
  </si>
  <si>
    <t>0728豪雨</t>
  </si>
  <si>
    <t>般若精舍舊崩塌地於豪雨期間再受沖刷引發土石流，淤埋多棟建物、農地及道路，堆積長600m寬250m深2m，堆積土方約30萬立方公尺。</t>
  </si>
  <si>
    <t>114年0728豪雨-高雄六龜-004(扇平山莊高市DF114)</t>
  </si>
  <si>
    <t>扇平山莊(高市DF114)</t>
  </si>
  <si>
    <t>高市DF114</t>
    <phoneticPr fontId="5" type="noConversion"/>
  </si>
  <si>
    <t>扇平山莊因連日西南氣流降雨，源頭新生崩塌導致通洪斷面不足，土砂溢流淤積至台27線，6棟建物及60公尺道路遭土砂淤埋。</t>
  </si>
  <si>
    <t>114年0728豪雨-南投信義-001(投縣DF185)</t>
  </si>
  <si>
    <t>西南氣流帶來降雨再次引發土石流，阻塞過路箱涵與排水渠道，源頭崩塌未擴大但持續沖刷，堆積於產業道路上，清疏後恢復通行。</t>
  </si>
  <si>
    <t>崩塌(山崩)</t>
  </si>
  <si>
    <t>114年0728豪雨-高雄桃源-002(高市LL010)</t>
  </si>
  <si>
    <t>高市LL010</t>
  </si>
  <si>
    <t>寶山里</t>
  </si>
  <si>
    <t>LL010</t>
  </si>
  <si>
    <t>連日西南氣流降雨造成源頭崩塌，損毀荖濃溪林道通往藤枝國家森林遊樂區之道路，崩塌與堆積範圍各4萬平方公尺，土方量均約12萬立方公尺。</t>
  </si>
  <si>
    <t>81V940</t>
  </si>
  <si>
    <t>寶山部落</t>
  </si>
  <si>
    <t>土石流、崩塌(山崩)</t>
  </si>
  <si>
    <t>114年0728豪雨-高雄桃源-003(高市E114-3)</t>
  </si>
  <si>
    <t>北進巷107之32號</t>
  </si>
  <si>
    <t>桃源里</t>
  </si>
  <si>
    <t>高市E114-3</t>
    <phoneticPr fontId="5" type="noConversion"/>
  </si>
  <si>
    <t>北進巷旁野溪源頭崩塌後造成土石流淤埋農地及住戶，並持續沖刷邊坡造成崩塌，房屋受損4棟，道路淤埋約100公尺，農地淤埋6000平方公尺。</t>
  </si>
  <si>
    <t>81V950</t>
  </si>
  <si>
    <t>桃源區公所</t>
  </si>
  <si>
    <t>114年0728豪雨-高雄六龜-002(高市DF112)</t>
  </si>
  <si>
    <t>聖母廟心明宮(高市DF112)</t>
  </si>
  <si>
    <t>高市DF112</t>
    <phoneticPr fontId="5" type="noConversion"/>
  </si>
  <si>
    <t>西南氣流帶來連日降雨使集水區有大量土砂流出，堆積於路面及民房庭院，集水區無明顯崩塌，推測土砂來源為河道沖刷，巷道L型側溝阻塞導致洪水漫流，道路淤埋約210公尺，4棟民房受損。</t>
  </si>
  <si>
    <t>81V840</t>
  </si>
  <si>
    <t>新發國小</t>
  </si>
  <si>
    <t>114年0728豪雨-南投信義-002(投縣DF187)</t>
  </si>
  <si>
    <t>投縣DF187</t>
    <phoneticPr fontId="5" type="noConversion"/>
  </si>
  <si>
    <t>連日西南氣流降雨造成投縣DF187集水區內野溪旁邊坡崩塌，土砂流入下方道路與田區，造成土石流堆積長約100公尺、寬約10公尺，平均深0.3公尺，堆積土方約300立方公尺。</t>
  </si>
  <si>
    <t>114年0728豪雨-高雄桃源-001(東莊部落鋼便橋高市DF082)</t>
  </si>
  <si>
    <t>東莊部落鋼便橋(高市DF082)、阿力曼民宿後方民房</t>
  </si>
  <si>
    <t>高市DF082</t>
    <phoneticPr fontId="5" type="noConversion"/>
  </si>
  <si>
    <t>西南氣流帶來連日降雨引發土石流與崩塌，土石流淤埋台20線與鋼便橋，崩塌土砂沖入阿力曼民宿後方民房，道路淤埋350公尺、1棟民房受損。</t>
  </si>
  <si>
    <t>114年0728豪雨-臺中北屯-001(大坑里東山路)</t>
  </si>
  <si>
    <t>東山路二段100巷97弄</t>
  </si>
  <si>
    <t>北屯區</t>
  </si>
  <si>
    <t>大坑里</t>
  </si>
  <si>
    <t>連日降雨使邊坡入滲造成水壓力上升，土體破壞滑動，土砂堆積於道路與民房，淤埋道路30公尺、5棟民房受損。崩塌體約900立方公尺，堆積土方量900立方公尺。</t>
  </si>
  <si>
    <t>C0F970</t>
  </si>
  <si>
    <t>大坑</t>
  </si>
  <si>
    <t>114年0728豪雨-彰化芬園-001(大彰路262巷105號)</t>
  </si>
  <si>
    <t>大彰路262巷105號</t>
  </si>
  <si>
    <t>彰化縣</t>
  </si>
  <si>
    <t>芬園鄉</t>
  </si>
  <si>
    <t>同安村</t>
  </si>
  <si>
    <t>連日降雨使邊坡入滲造成水壓上升，崩塌滑動損毀民房路基與擋土牆傾倒，崩塌與堆積面積各約800平方公尺，土方量各約4,000立方公尺。</t>
  </si>
  <si>
    <t>C0G620</t>
  </si>
  <si>
    <t>芬園</t>
  </si>
  <si>
    <t>崩塌(沖蝕)</t>
    <phoneticPr fontId="5" type="noConversion"/>
  </si>
  <si>
    <t>114年0728豪雨-彰化二水-001(彰縣DF004)</t>
  </si>
  <si>
    <t>彰縣DF004、彰縣DF005</t>
  </si>
  <si>
    <t>二水鄉</t>
  </si>
  <si>
    <t>倡和村</t>
  </si>
  <si>
    <t>彰縣DF004</t>
    <phoneticPr fontId="5" type="noConversion"/>
  </si>
  <si>
    <t>西南氣流帶來降雨引發土石流，源頭裸露坡面土砂流出，損毀員集路上邊坡擋土牆，堆積於道路，長約40m，土方量約600立方公尺，現已清除恢復通行。</t>
  </si>
  <si>
    <t>C0G880</t>
    <phoneticPr fontId="5" type="noConversion"/>
  </si>
  <si>
    <t>埔中</t>
  </si>
  <si>
    <t>彰縣DF005</t>
    <phoneticPr fontId="5" type="noConversion"/>
  </si>
  <si>
    <t>114年0728豪雨-臺南南化-001(東和里)</t>
  </si>
  <si>
    <t>東和里54號民房</t>
  </si>
  <si>
    <t>東和里</t>
  </si>
  <si>
    <t>連日降雨造成民房上方邊坡崩塌，土砂堆積於道路、民房與野溪，崩塌體與堆積體各面積約5,000㎡與4,000㎡，土方量各10,000m³，道路損毀100m、1棟民房損毀。</t>
  </si>
  <si>
    <t>01N850</t>
  </si>
  <si>
    <t>南化(2)</t>
  </si>
  <si>
    <t>崩塌(山崩)、土石流</t>
  </si>
  <si>
    <t>114年0728豪雨-高雄六龜-003(靈象山入口)</t>
  </si>
  <si>
    <t>靈象山入口</t>
  </si>
  <si>
    <t>連日降雨致道路邊坡崩塌與土砂堆積，洪水運移土砂至下游農地，崩塌面積約750㎡、崩塌土方1,875m³，堆積共約1,875m³。道路淤埋50m，農地淤積1,500㎡。</t>
  </si>
  <si>
    <t>114年0728豪雨-臺南柳營-001(旭山里麻埔21號)</t>
  </si>
  <si>
    <t>旭山里麻埔21號</t>
  </si>
  <si>
    <t>柳營區</t>
  </si>
  <si>
    <t>旭山里</t>
  </si>
  <si>
    <t>旭山里麻埔21號因西南氣流帶來降雨造成民房下邊坡崩塌，崩塌範圍約10×30公尺，崩塌土方量約3,000立方公尺，堆積土方3,000立方公尺，1棟建物損毀。</t>
  </si>
  <si>
    <t>C0X320</t>
  </si>
  <si>
    <t>柳營</t>
  </si>
  <si>
    <t>114年0728豪雨-高雄六龜-007(津鳳宮高市DF075、高市DF049)</t>
  </si>
  <si>
    <t>津鳳宮(高市DF075)、高市DF049</t>
  </si>
  <si>
    <t>高市DF075</t>
    <phoneticPr fontId="5" type="noConversion"/>
  </si>
  <si>
    <t>津鳳宮及高市DF049受連日降雨影響產生新生崩塌，土砂阻塞河道與過路涵洞，堆積於民房與台27線旁道路，1棟民房遭土石流入。</t>
  </si>
  <si>
    <t>高市DF049</t>
    <phoneticPr fontId="5" type="noConversion"/>
  </si>
  <si>
    <t>114年0728豪雨-高雄六龜-001(六津橋高市DF050)</t>
  </si>
  <si>
    <t>六津橋(高市DF050)</t>
  </si>
  <si>
    <t>高市DF050</t>
    <phoneticPr fontId="5" type="noConversion"/>
  </si>
  <si>
    <t>西南氣流帶來連日降雨致集水區新生崩塌，既有崩塌地及河道亦有土砂流出，溢流淤埋六津橋及台27線，道路與橋涵後續完成清疏以維持通行。</t>
  </si>
  <si>
    <t>114年0728豪雨-高雄六龜-006(六龜苗圃高市DF115)</t>
  </si>
  <si>
    <t>六龜苗圃(高市DF115)</t>
  </si>
  <si>
    <t>高市DF115</t>
    <phoneticPr fontId="5" type="noConversion"/>
  </si>
  <si>
    <t>連日降雨造成高市DF115源頭及苗圃工寮上方邊坡崩塌，部分土砂流入工寮，推測部分堆積於扇平林道路段，道路淤埋約100公尺、1棟工寮受損。</t>
  </si>
  <si>
    <t>114年0728豪雨-彰化員林-001(湖水路411巷100號)</t>
  </si>
  <si>
    <t>湖水路411巷100號</t>
  </si>
  <si>
    <t>員林市</t>
  </si>
  <si>
    <t>湖水里</t>
  </si>
  <si>
    <t>湖水路411巷100號因連日降雨造成民房下邊坡崩塌，崩塌土砂堆積於湖水路411巷，砌石駁坎損毀但未影響保全對象，現況已鋪設帆布防止邊坡入滲。</t>
  </si>
  <si>
    <t>C0G650</t>
  </si>
  <si>
    <t>員林</t>
  </si>
  <si>
    <t>崩塌</t>
  </si>
  <si>
    <t>114年1020豪雨-臺北文山-001</t>
  </si>
  <si>
    <r>
      <t>景華街</t>
    </r>
    <r>
      <rPr>
        <sz val="12"/>
        <rFont val="Times New Roman"/>
        <family val="1"/>
      </rPr>
      <t>128</t>
    </r>
    <r>
      <rPr>
        <sz val="12"/>
        <rFont val="細明體"/>
        <family val="3"/>
        <charset val="136"/>
      </rPr>
      <t>巷</t>
    </r>
    <r>
      <rPr>
        <sz val="12"/>
        <rFont val="Times New Roman"/>
        <family val="1"/>
      </rPr>
      <t>84–90</t>
    </r>
    <r>
      <rPr>
        <sz val="12"/>
        <rFont val="細明體"/>
        <family val="3"/>
        <charset val="136"/>
      </rPr>
      <t>號</t>
    </r>
  </si>
  <si>
    <t>臺北市</t>
  </si>
  <si>
    <t>文山區</t>
  </si>
  <si>
    <t>景東里</t>
  </si>
  <si>
    <r>
      <t>1020</t>
    </r>
    <r>
      <rPr>
        <sz val="12"/>
        <rFont val="細明體"/>
        <family val="3"/>
        <charset val="136"/>
      </rPr>
      <t>豪雨</t>
    </r>
  </si>
  <si>
    <r>
      <t>景華街</t>
    </r>
    <r>
      <rPr>
        <sz val="12"/>
        <rFont val="Times New Roman"/>
        <family val="1"/>
      </rPr>
      <t>128</t>
    </r>
    <r>
      <rPr>
        <sz val="12"/>
        <rFont val="細明體"/>
        <family val="3"/>
        <charset val="136"/>
      </rPr>
      <t>巷</t>
    </r>
    <r>
      <rPr>
        <sz val="12"/>
        <rFont val="Times New Roman"/>
        <family val="1"/>
      </rPr>
      <t>84–90</t>
    </r>
    <r>
      <rPr>
        <sz val="12"/>
        <rFont val="細明體"/>
        <family val="3"/>
        <charset val="136"/>
      </rPr>
      <t>號後方邊坡因東北季風連日降雨致含水量上升而崩塌，土砂堆積於坡趾並阻塞排水溝，泥流流入民宅後院。</t>
    </r>
  </si>
  <si>
    <t>發生時間為推估時間</t>
  </si>
  <si>
    <t>A1AG70</t>
  </si>
  <si>
    <t>仙跡岩</t>
  </si>
  <si>
    <t>114年1020豪雨-新北三峽-001</t>
  </si>
  <si>
    <t>二鬮路110巷</t>
  </si>
  <si>
    <t>二鬮里</t>
  </si>
  <si>
    <t>1020豪雨</t>
  </si>
  <si>
    <t>二鬮路110巷因東北季風連日降雨，大量逕流入滲邊坡，造成漿砌擋土牆上方苗圃崩塌；土砂堆積於坡趾，受建物牆身阻擋而未流入民房，現況已施作臨時鋼軌樁防止路基持續流失。</t>
  </si>
  <si>
    <t>C0AC60</t>
  </si>
  <si>
    <t>三峽</t>
  </si>
  <si>
    <t>114年1020豪雨-新北汐止-001</t>
  </si>
  <si>
    <t>長青路210巷</t>
  </si>
  <si>
    <t>汐止區</t>
  </si>
  <si>
    <t>長青里</t>
  </si>
  <si>
    <r>
      <t>長青路</t>
    </r>
    <r>
      <rPr>
        <sz val="12"/>
        <rFont val="Times New Roman"/>
        <family val="1"/>
      </rPr>
      <t>210</t>
    </r>
    <r>
      <rPr>
        <sz val="12"/>
        <rFont val="細明體"/>
        <family val="3"/>
        <charset val="136"/>
      </rPr>
      <t>巷因東北季風連日降雨，造成道路路基崩塌，崩塌原因推測為道路排水溢流後沖刷坡面所致；崩塌土砂堆積於道路後方，受逕流持續沖刷，大量泥流沿道路下移並流入下游民房。</t>
    </r>
  </si>
  <si>
    <t>C0A870</t>
  </si>
  <si>
    <t>五指山</t>
  </si>
  <si>
    <t>114年1020豪雨-新北新店-001</t>
  </si>
  <si>
    <t>錦秀、碧瑤社區</t>
  </si>
  <si>
    <t>日興里</t>
  </si>
  <si>
    <t>錦秀,碧瑤社區因東北季風帶來之連日降雨,造成擋土牆倒塌,崩塌原因推測為土體水壓力上升所致,擋土牆倒塌後上、下層銜接面斷裂,並斜靠於錦秀社區3棟民房,碧瑤社區之民房因地基坍方,房屋下方已鏤空,錦秀路11巷76號房屋地基則有裂隙產生。</t>
  </si>
  <si>
    <t>81AH80</t>
  </si>
  <si>
    <t>五城加油站</t>
  </si>
  <si>
    <t>114年-新北市雙溪區-001</t>
  </si>
  <si>
    <t>北38線區道5K</t>
  </si>
  <si>
    <t>雙溪區</t>
  </si>
  <si>
    <t>長源里</t>
  </si>
  <si>
    <t>本災例於113年山陀兒颱風期間已有崩塌災害發生，本次受到1020豪雨事件影響形成邊坡崩塌，大量崩積材料隨逕流下移造成北38線區道多處嚴重損壞與路基流失(5K-6.5K處中斷)。</t>
  </si>
  <si>
    <t>81AH70</t>
  </si>
  <si>
    <t>柑林國小</t>
  </si>
  <si>
    <t>114年鳳凰颱風-宜蘭蘇澳-001</t>
  </si>
  <si>
    <t>台9丁線南方澳觀景臺</t>
  </si>
  <si>
    <t>南興里</t>
  </si>
  <si>
    <t>本次受到鳳凰颱風外圍環流及東北季風共伴影響，台9丁線南方澳觀景台路段之下邊坡因受雨水沖刷而發生崩塌，崩落土砂物質隨逕流下移，造成南興里華山巷、南興路沿線多處出現黃泥水與石塊湧入廟宇地下停車場及周邊民宅。</t>
  </si>
  <si>
    <t>C0UB10</t>
  </si>
  <si>
    <t>114年鳳凰颱風-宜蘭蘇澳-002</t>
  </si>
  <si>
    <t>永春里湖東路25號</t>
  </si>
  <si>
    <t>永春里</t>
  </si>
  <si>
    <t>本次受到鳳凰颱風外圍環流及東北季風共伴影響，永春里湖東路25號民宅後方猴猴坑因受雨水沖刷而發生崩塌，大量崩落土砂物質隨逕流下移，造成永春里湖東路25號及沿線民宅出現黃泥水與土砂石塊湧入。</t>
  </si>
  <si>
    <t>81U910</t>
  </si>
  <si>
    <t>永樂國小</t>
  </si>
  <si>
    <t>苗栗縣</t>
  </si>
  <si>
    <t>卓蘭鎮</t>
  </si>
  <si>
    <t>苗栗市</t>
  </si>
  <si>
    <t>林內鄉</t>
  </si>
  <si>
    <t>東勢區</t>
  </si>
  <si>
    <t>0604豪雨</t>
  </si>
  <si>
    <t>石碇區</t>
  </si>
  <si>
    <t>中和區</t>
  </si>
  <si>
    <t>國姓鄉</t>
  </si>
  <si>
    <t>基隆市</t>
  </si>
  <si>
    <t>安樂區</t>
  </si>
  <si>
    <t>瑪家鄉</t>
  </si>
  <si>
    <t>霧臺鄉</t>
  </si>
  <si>
    <t>林園區</t>
  </si>
  <si>
    <t>96年其他</t>
  </si>
  <si>
    <t>石岡區</t>
  </si>
  <si>
    <t>柯羅莎颱風</t>
  </si>
  <si>
    <t>士林區</t>
  </si>
  <si>
    <t>淡水區</t>
  </si>
  <si>
    <t>五股區</t>
  </si>
  <si>
    <t>獅潭鄉</t>
  </si>
  <si>
    <t>韋帕颱風</t>
  </si>
  <si>
    <t>三義鄉</t>
  </si>
  <si>
    <t>中寮鄉</t>
  </si>
  <si>
    <t>太平區</t>
  </si>
  <si>
    <t xml:space="preserve">96年其他 </t>
  </si>
  <si>
    <t>玉井區</t>
  </si>
  <si>
    <t>龍崎區</t>
  </si>
  <si>
    <t>通霄鎮</t>
  </si>
  <si>
    <t>泰安鄉</t>
  </si>
  <si>
    <t>東山區</t>
  </si>
  <si>
    <t>楠西區</t>
  </si>
  <si>
    <t>新社區</t>
  </si>
  <si>
    <t>草屯鎮</t>
  </si>
  <si>
    <t>礁溪鄉</t>
  </si>
  <si>
    <t>頭屋鄉</t>
  </si>
  <si>
    <t>銅鑼鄉</t>
  </si>
  <si>
    <t>大湖鄉</t>
  </si>
  <si>
    <t>北埔鄉</t>
  </si>
  <si>
    <t>土城區</t>
  </si>
  <si>
    <t xml:space="preserve">97 年其他 </t>
  </si>
  <si>
    <t>社頭鄉</t>
  </si>
  <si>
    <t>97 年其他</t>
  </si>
  <si>
    <t>三星鄉</t>
  </si>
  <si>
    <t>芭瑪颱風</t>
  </si>
  <si>
    <t>來義鄉</t>
  </si>
  <si>
    <t>牡丹鄉</t>
  </si>
  <si>
    <t>泰武鄉</t>
  </si>
  <si>
    <t>番路鄉</t>
  </si>
  <si>
    <t>金峰鄉</t>
  </si>
  <si>
    <t>茂林區</t>
  </si>
  <si>
    <t>98年 其他</t>
  </si>
  <si>
    <t>金山區</t>
  </si>
  <si>
    <t>0924豪雨</t>
  </si>
  <si>
    <t>豐濱鄉</t>
  </si>
  <si>
    <t>1016豪雨</t>
  </si>
  <si>
    <t>七堵區</t>
  </si>
  <si>
    <t>其他</t>
  </si>
  <si>
    <t>冬山鄉</t>
  </si>
  <si>
    <t>萊羅克颱風</t>
  </si>
  <si>
    <t>員山鄉</t>
  </si>
  <si>
    <t>恆春鎮</t>
  </si>
  <si>
    <t>信義區</t>
  </si>
  <si>
    <t>大安區</t>
  </si>
  <si>
    <t>南庄鄉</t>
  </si>
  <si>
    <t>0602地震</t>
  </si>
  <si>
    <t>0517豪雨</t>
  </si>
  <si>
    <t>哈吉貝颱風</t>
  </si>
  <si>
    <t>仁愛區</t>
  </si>
  <si>
    <t>燕巢區</t>
  </si>
  <si>
    <t>旗山區</t>
  </si>
  <si>
    <t>東河鄉</t>
  </si>
  <si>
    <t>尼伯特颱風</t>
  </si>
  <si>
    <t>0611豪雨</t>
  </si>
  <si>
    <t>寶山鄉</t>
  </si>
  <si>
    <t>0613豪雨</t>
  </si>
  <si>
    <t>尼莎暨海棠颱風</t>
  </si>
  <si>
    <t>枋山鄉</t>
  </si>
  <si>
    <t>1011豪雨</t>
  </si>
  <si>
    <t>池上鄉</t>
  </si>
  <si>
    <t>獅子鄉</t>
  </si>
  <si>
    <t>0823豪雨</t>
  </si>
  <si>
    <t>左鎮區</t>
  </si>
  <si>
    <t>豐原區</t>
  </si>
  <si>
    <t>六甲區</t>
  </si>
  <si>
    <t>0522豪雨</t>
  </si>
  <si>
    <t>瑞芳區</t>
  </si>
  <si>
    <t>其它</t>
  </si>
  <si>
    <t>彩雲颱風暨 0605 豪雨</t>
  </si>
  <si>
    <t>集集鎮</t>
  </si>
  <si>
    <t>0621豪雨</t>
  </si>
  <si>
    <t>彰化市</t>
  </si>
  <si>
    <t>關西鎮</t>
  </si>
  <si>
    <t>瑞穗鄉</t>
  </si>
  <si>
    <t>1030豪雨</t>
  </si>
  <si>
    <t>尼莎颱風</t>
  </si>
  <si>
    <t>暖暖區</t>
  </si>
  <si>
    <t>北投區</t>
  </si>
  <si>
    <t>1007豪雨</t>
  </si>
  <si>
    <t xml:space="preserve">和平區 </t>
  </si>
  <si>
    <t>造橋鄉</t>
  </si>
  <si>
    <t>壽豐鄉</t>
  </si>
  <si>
    <t>海葵颱風</t>
  </si>
  <si>
    <t>海端鄉</t>
  </si>
  <si>
    <t>杜蘇芮颱風</t>
  </si>
  <si>
    <t>小犬颱風</t>
  </si>
  <si>
    <t>其他(0422)</t>
  </si>
  <si>
    <t>中正區</t>
  </si>
  <si>
    <t>苑裡鎮</t>
  </si>
  <si>
    <t>其他(0920)</t>
  </si>
  <si>
    <t>康芮颱風</t>
  </si>
  <si>
    <t>卓溪鄉</t>
  </si>
  <si>
    <t>有效累積雨量</t>
    <phoneticPr fontId="1" type="noConversion"/>
  </si>
  <si>
    <t>崩塌面積</t>
    <phoneticPr fontId="1" type="noConversion"/>
  </si>
  <si>
    <t>降雨強度</t>
    <phoneticPr fontId="1" type="noConversion"/>
  </si>
  <si>
    <t>有效降雨量</t>
    <phoneticPr fontId="1" type="noConversion"/>
  </si>
  <si>
    <t>類型</t>
    <phoneticPr fontId="1" type="noConversion"/>
  </si>
  <si>
    <t>土石流 、崩塌 (沖蝕 )</t>
  </si>
  <si>
    <t>土石流、崩塌</t>
  </si>
  <si>
    <t>崩塌、土石流</t>
  </si>
  <si>
    <t>土石流、洪水</t>
  </si>
  <si>
    <t>山崩、土石流</t>
  </si>
  <si>
    <t>土石流 、崩塌 (山崩)</t>
  </si>
  <si>
    <t>地滑</t>
  </si>
  <si>
    <t>土石流，洪水</t>
  </si>
  <si>
    <t>沖蝕</t>
  </si>
  <si>
    <t>洪水、沖蝕</t>
  </si>
  <si>
    <t>地滑、崩塌</t>
  </si>
  <si>
    <t>崩塌、洪水</t>
  </si>
  <si>
    <t>地滑(弧形)、洪水</t>
  </si>
  <si>
    <t>地滑、洪水</t>
  </si>
  <si>
    <t>崩塌、沖蝕</t>
  </si>
  <si>
    <t>崩塌(陷落)、土石流</t>
  </si>
  <si>
    <t>洪水(沖刷)</t>
  </si>
  <si>
    <t>－</t>
  </si>
  <si>
    <t>崩塌,沖蝕</t>
  </si>
  <si>
    <t>崩塌,地滑</t>
  </si>
  <si>
    <t>地滑、山崩</t>
  </si>
  <si>
    <t>崩塌(地滑)</t>
  </si>
  <si>
    <t>崩塌(山崩、土石流)</t>
  </si>
  <si>
    <t>發生降雨強度</t>
    <phoneticPr fontId="1" type="noConversion"/>
  </si>
  <si>
    <t>比對狀態</t>
  </si>
  <si>
    <t>年度</t>
    <phoneticPr fontId="5" type="noConversion"/>
  </si>
  <si>
    <t>崩塌、地滑</t>
  </si>
  <si>
    <t>崩塌、山地洪流</t>
  </si>
  <si>
    <t>洪水、崩塌</t>
  </si>
  <si>
    <t>洪水、土石流</t>
  </si>
  <si>
    <t>洪水、崩塌、土石流</t>
  </si>
  <si>
    <t>崩塌、洪水、土石流</t>
  </si>
  <si>
    <t>崩塌 (山崩 )</t>
  </si>
  <si>
    <t>上新里</t>
  </si>
  <si>
    <t>翠華村</t>
  </si>
  <si>
    <t>新英里</t>
  </si>
  <si>
    <t>坪頂村</t>
  </si>
  <si>
    <t>大同村</t>
  </si>
  <si>
    <t>泰興里</t>
  </si>
  <si>
    <t>潭邊里</t>
  </si>
  <si>
    <t>華南里</t>
  </si>
  <si>
    <t>南港村</t>
  </si>
  <si>
    <t>三民里</t>
  </si>
  <si>
    <t>瑪家村</t>
  </si>
  <si>
    <t>西埔里</t>
  </si>
  <si>
    <t>清水村</t>
  </si>
  <si>
    <t>好茶村</t>
  </si>
  <si>
    <t>潭頭里</t>
  </si>
  <si>
    <t>森榮里</t>
  </si>
  <si>
    <t>金星里</t>
  </si>
  <si>
    <t>新安里</t>
  </si>
  <si>
    <t>福德里</t>
  </si>
  <si>
    <t>觀音里</t>
  </si>
  <si>
    <t>鯉魚潭村</t>
  </si>
  <si>
    <t>華陵里</t>
  </si>
  <si>
    <t>三光里</t>
  </si>
  <si>
    <t>龍岩村</t>
  </si>
  <si>
    <t>光華村</t>
  </si>
  <si>
    <t>石弄村</t>
  </si>
  <si>
    <t>水源里</t>
  </si>
  <si>
    <t>頭汴里</t>
  </si>
  <si>
    <t>龍山村</t>
  </si>
  <si>
    <t>沙田里</t>
  </si>
  <si>
    <t>土崎里</t>
  </si>
  <si>
    <t>泰昌里</t>
  </si>
  <si>
    <t>崎頂里</t>
  </si>
  <si>
    <t>慶福里</t>
  </si>
  <si>
    <t>高義里</t>
  </si>
  <si>
    <t>福源里</t>
  </si>
  <si>
    <t>梅園村</t>
  </si>
  <si>
    <t>象鼻村</t>
  </si>
  <si>
    <t>乾溝村</t>
  </si>
  <si>
    <t>南勢里</t>
  </si>
  <si>
    <t>灣丘里</t>
  </si>
  <si>
    <t>龜丹里</t>
  </si>
  <si>
    <t>協成里</t>
  </si>
  <si>
    <t>民德里</t>
  </si>
  <si>
    <t>照興里</t>
  </si>
  <si>
    <t>雙冬里</t>
  </si>
  <si>
    <t>福盛村</t>
  </si>
  <si>
    <t>匏崙村</t>
  </si>
  <si>
    <t>鳴鳳村</t>
  </si>
  <si>
    <t>盛龍村</t>
  </si>
  <si>
    <t>武榮村</t>
  </si>
  <si>
    <t>大湖村</t>
  </si>
  <si>
    <t>指南里</t>
  </si>
  <si>
    <t>樟樹村</t>
  </si>
  <si>
    <t>清水里</t>
  </si>
  <si>
    <t>大旗村</t>
  </si>
  <si>
    <t>鳳凰村</t>
  </si>
  <si>
    <t>雙龍村</t>
  </si>
  <si>
    <t>天山村</t>
  </si>
  <si>
    <t>義林村</t>
  </si>
  <si>
    <t>里佳村</t>
  </si>
  <si>
    <t>高士村</t>
  </si>
  <si>
    <t>長樂村</t>
  </si>
  <si>
    <t>吉露村</t>
  </si>
  <si>
    <t>泰武村</t>
  </si>
  <si>
    <t>嘉蘭村</t>
  </si>
  <si>
    <t>丹林村</t>
  </si>
  <si>
    <t>來義村</t>
  </si>
  <si>
    <t>萬山里</t>
  </si>
  <si>
    <t>瑞峰村</t>
  </si>
  <si>
    <t>公田村</t>
  </si>
  <si>
    <t>樂野村</t>
  </si>
  <si>
    <t>東興村</t>
  </si>
  <si>
    <t>樟湖村</t>
  </si>
  <si>
    <t>十字村</t>
  </si>
  <si>
    <t>德文村</t>
  </si>
  <si>
    <t>石門村</t>
  </si>
  <si>
    <t>大社村</t>
  </si>
  <si>
    <t>小林里</t>
  </si>
  <si>
    <t>北葉村</t>
  </si>
  <si>
    <t>重和里</t>
  </si>
  <si>
    <t>豐濱村</t>
  </si>
  <si>
    <t>南富村</t>
  </si>
  <si>
    <t>新社村</t>
  </si>
  <si>
    <t>南和村</t>
  </si>
  <si>
    <t>瑪東里</t>
  </si>
  <si>
    <t>拱照村</t>
  </si>
  <si>
    <t>東城村</t>
  </si>
  <si>
    <t>安平村</t>
  </si>
  <si>
    <t>新城里</t>
  </si>
  <si>
    <t>聖湖里</t>
  </si>
  <si>
    <t>永樂里</t>
  </si>
  <si>
    <t>蘇西里</t>
  </si>
  <si>
    <t>南正里</t>
  </si>
  <si>
    <t>南成里</t>
  </si>
  <si>
    <t>蘇東里</t>
  </si>
  <si>
    <t>樂水村</t>
  </si>
  <si>
    <t>東岳村</t>
  </si>
  <si>
    <t>湖西村</t>
  </si>
  <si>
    <t>英士村</t>
  </si>
  <si>
    <t>四林村</t>
  </si>
  <si>
    <t>牡丹村</t>
  </si>
  <si>
    <t>墾丁里</t>
  </si>
  <si>
    <t>老泉里</t>
  </si>
  <si>
    <t>天輪里</t>
  </si>
  <si>
    <t>松隆里</t>
  </si>
  <si>
    <t>隆興里</t>
  </si>
  <si>
    <t>學府里</t>
  </si>
  <si>
    <t>梨山里</t>
  </si>
  <si>
    <t>合作村</t>
  </si>
  <si>
    <t>插角里</t>
  </si>
  <si>
    <t>南山村</t>
  </si>
  <si>
    <t>茂安村</t>
  </si>
  <si>
    <t>大寮村</t>
  </si>
  <si>
    <t>桃源村</t>
  </si>
  <si>
    <t>榮武村</t>
  </si>
  <si>
    <t>金洋村</t>
  </si>
  <si>
    <t>月眉里</t>
  </si>
  <si>
    <t>興旺里</t>
  </si>
  <si>
    <t>竹崙里</t>
  </si>
  <si>
    <t>金圳里</t>
  </si>
  <si>
    <t>廣興里</t>
  </si>
  <si>
    <t>屈尺里</t>
  </si>
  <si>
    <t>奎輝里</t>
  </si>
  <si>
    <t>粗窟里</t>
  </si>
  <si>
    <t>烏來里</t>
  </si>
  <si>
    <t>龍門里</t>
  </si>
  <si>
    <t>白雲里</t>
  </si>
  <si>
    <t>秀巒村</t>
  </si>
  <si>
    <t>東燕里</t>
  </si>
  <si>
    <t>金獅村</t>
  </si>
  <si>
    <t>新光里</t>
  </si>
  <si>
    <t>沄水村</t>
  </si>
  <si>
    <t>頂埔村</t>
  </si>
  <si>
    <t>霞雲里</t>
  </si>
  <si>
    <t>尚德村</t>
  </si>
  <si>
    <t>霧台村</t>
  </si>
  <si>
    <t>寶山村</t>
  </si>
  <si>
    <t>竹林村</t>
  </si>
  <si>
    <t>榮興村</t>
  </si>
  <si>
    <t>永興里</t>
  </si>
  <si>
    <t>中興村</t>
  </si>
  <si>
    <t>善餘村</t>
  </si>
  <si>
    <t>東勢里</t>
  </si>
  <si>
    <t>泰源村</t>
  </si>
  <si>
    <t>富興村</t>
  </si>
  <si>
    <t>竹坑村</t>
  </si>
  <si>
    <t>澄山里</t>
  </si>
  <si>
    <t>黃竹里</t>
  </si>
  <si>
    <t>長豐村</t>
  </si>
  <si>
    <t>東陽里</t>
  </si>
  <si>
    <t>茂林里</t>
  </si>
  <si>
    <t>霧臺村</t>
  </si>
  <si>
    <t>大丘里</t>
  </si>
  <si>
    <t>發祥村</t>
  </si>
  <si>
    <t>光復里</t>
  </si>
  <si>
    <t>力行村</t>
  </si>
  <si>
    <t>東河村</t>
  </si>
  <si>
    <t>南勝里</t>
  </si>
  <si>
    <t>富山里</t>
  </si>
  <si>
    <t>大石村</t>
  </si>
  <si>
    <t>石嘈里</t>
  </si>
  <si>
    <t>栗林村</t>
  </si>
  <si>
    <t>安溪里</t>
  </si>
  <si>
    <t>東山里</t>
  </si>
  <si>
    <t>松浦里</t>
  </si>
  <si>
    <t>奇美村</t>
  </si>
  <si>
    <t>江北里</t>
  </si>
  <si>
    <t>長興里</t>
  </si>
  <si>
    <t>暖暖里</t>
  </si>
  <si>
    <t>湖光里</t>
  </si>
  <si>
    <t>太平村</t>
  </si>
  <si>
    <t>湖田里</t>
  </si>
  <si>
    <t>武塔村</t>
  </si>
  <si>
    <t>平興村</t>
  </si>
  <si>
    <t>大崎村</t>
  </si>
  <si>
    <t>多良村</t>
  </si>
  <si>
    <t>孝忠里</t>
  </si>
  <si>
    <t>碧侯村</t>
  </si>
  <si>
    <t>利稻村</t>
  </si>
  <si>
    <t>文峰村</t>
  </si>
  <si>
    <t>長潭里</t>
  </si>
  <si>
    <t>五湖里</t>
  </si>
  <si>
    <t>源城里</t>
  </si>
  <si>
    <t>卓溪村</t>
  </si>
  <si>
    <t>苗55鄉道遭土體掩埋</t>
  </si>
  <si>
    <t>翠巒支線道路中斷</t>
  </si>
  <si>
    <t>47號民宅前</t>
  </si>
  <si>
    <t>苗栗市新英里(台鐵台中線k145處)</t>
  </si>
  <si>
    <t>雲61線</t>
  </si>
  <si>
    <t>九號鄉道、台14線道路</t>
  </si>
  <si>
    <t>東勢鎮泰興里(石嵙巷)</t>
  </si>
  <si>
    <t>水里鄉車埕村(投131線29.1k處)</t>
  </si>
  <si>
    <t>石碇鄉潭邊村外石崁產業道路（縣106乙6.6k處）</t>
  </si>
  <si>
    <t>中和市華南里</t>
  </si>
  <si>
    <t>國姓鄉南港村(龍南道路4k處)</t>
  </si>
  <si>
    <t>安樂區三民里(麥金路)</t>
  </si>
  <si>
    <t>太麻里鄉(加崙農路)</t>
  </si>
  <si>
    <t>瑪家鄉瑪家村(好茶獅子橋)</t>
  </si>
  <si>
    <t>南化鄉西埔村</t>
  </si>
  <si>
    <t>埔里鎮蜈蚣里</t>
  </si>
  <si>
    <t>鹿谷鄉清水村(小嶺產業道路)</t>
  </si>
  <si>
    <t>好茶道路(距好茶獅子橋2.8km)</t>
  </si>
  <si>
    <t>好茶道路(距好茶獅子橋1.4km)</t>
  </si>
  <si>
    <t>瑪家鄉瑪家村(好茶道路，距原住民族文化園區入口約3公里處)</t>
  </si>
  <si>
    <t>瑪家鄉瑪家村(好茶道路，距原住民族文化園區入口約1公里處)</t>
  </si>
  <si>
    <t>霧台鄉好茶村</t>
  </si>
  <si>
    <t>林園鄉潭頭村(清水巖路)</t>
  </si>
  <si>
    <t>鳳林鎮森榮里(林田山林業文化園區內之森榮國小)</t>
  </si>
  <si>
    <t>雲林縣林內鄉坪頂村</t>
  </si>
  <si>
    <t>石岡鄉金星村</t>
  </si>
  <si>
    <t>台北市新安路21之1號</t>
  </si>
  <si>
    <t>自強路307巷16號</t>
  </si>
  <si>
    <t>五股鄉觀音村</t>
  </si>
  <si>
    <t>獅潭鄉新豐村(八角坑溪)</t>
  </si>
  <si>
    <t>林務局第4林班地</t>
  </si>
  <si>
    <t>復興鄉華陵村</t>
  </si>
  <si>
    <t>復興鄉三光村</t>
  </si>
  <si>
    <t>甲仙鄉東安村(鹽桑坑溪上游支流)</t>
  </si>
  <si>
    <t>六龜鄉寶來村(新寶來溫泉渡假村)</t>
  </si>
  <si>
    <t>中寮鄉龍岩村(小溪旁產業道路)</t>
  </si>
  <si>
    <t>茄苳仔11鄰10之1號後方山坡地</t>
  </si>
  <si>
    <t>嘉135鄉道9.3k處</t>
  </si>
  <si>
    <t>苗栗市水源里(龜山便橋)</t>
  </si>
  <si>
    <t>太平市頭汴里</t>
  </si>
  <si>
    <t>緞繻村 1鄰雙溪 4號、6-1號 
6-1號</t>
  </si>
  <si>
    <t>竹崎鄉龍山村</t>
  </si>
  <si>
    <t xml:space="preserve">埔里鎮成功里 </t>
  </si>
  <si>
    <t xml:space="preserve">玉井鄉沙田村 </t>
  </si>
  <si>
    <t>龍崎鄉土崎村(內拷潭橋)</t>
  </si>
  <si>
    <t>東勢鎮泰昌里</t>
  </si>
  <si>
    <t xml:space="preserve">龍崎鄉崎頂村(崎腳橋) </t>
  </si>
  <si>
    <t>東勢鎮慶福里(福南橋)</t>
  </si>
  <si>
    <t>仁愛鄉大同村</t>
  </si>
  <si>
    <t>復興鄉高義村(蘇樂橋)</t>
  </si>
  <si>
    <t>通霄鎮福源里(福源橋旁)</t>
  </si>
  <si>
    <t xml:space="preserve">泰安鄉梅園村 </t>
  </si>
  <si>
    <t>泰安鄉象鼻村大安部落(四號野溪下游出口處)</t>
  </si>
  <si>
    <t>泰安鄉象鼻村(麻必浩溪與大安溪交匯口)</t>
  </si>
  <si>
    <t xml:space="preserve">國姓鄉乾溝村(投136線 54.4k 處) 
</t>
  </si>
  <si>
    <t>國姓鄉乾溝村</t>
  </si>
  <si>
    <t>仁愛鄉互助村(投 80線 2k 處)</t>
  </si>
  <si>
    <t>仁愛鄉互助村(投 80線 4.5K 處)</t>
  </si>
  <si>
    <t>南縣DF019</t>
  </si>
  <si>
    <t>碧蓮寺處野溪</t>
  </si>
  <si>
    <t>灣丘村內野溪</t>
  </si>
  <si>
    <t>鐵谷山橋處野溪</t>
  </si>
  <si>
    <t>台27線21.7K處</t>
  </si>
  <si>
    <t>新社鄉協成村協中街與南華街口</t>
  </si>
  <si>
    <t>高130鄉道3.7k處南邑慈恩第11號橋上游側崩坪溪</t>
  </si>
  <si>
    <t>129縣道連坑巷往善本巖旁􀰾􀓫􀞒􀙀􀶠􀏎􁝼􀥟</t>
  </si>
  <si>
    <t>約位於下水堀二號橋上游200公尺處</t>
  </si>
  <si>
    <t>力行產業道路約39公里處</t>
  </si>
  <si>
    <t>台3線303.5K處山坡</t>
  </si>
  <si>
    <t>楠西鄉照興村</t>
  </si>
  <si>
    <t>集集分局德化派出所前</t>
  </si>
  <si>
    <t>台16線27K處</t>
  </si>
  <si>
    <t>三民國中</t>
  </si>
  <si>
    <t>高129線1.1K處</t>
  </si>
  <si>
    <t>玄妙宮前野溪</t>
  </si>
  <si>
    <t>舊潭橋</t>
  </si>
  <si>
    <t>台14線中潭公路33K處路段</t>
  </si>
  <si>
    <t>東勢鎮慶福里</t>
  </si>
  <si>
    <t>台20線66K內寮橋白雲寺旁</t>
  </si>
  <si>
    <t>投21線0.5K處斷橋</t>
  </si>
  <si>
    <t>鹽酸坑橋上游約140公尺</t>
  </si>
  <si>
    <t>台20線76.5K處建山一橋</t>
  </si>
  <si>
    <t>宜縣DF030</t>
  </si>
  <si>
    <t>鄉道苗22夢幻桐花步道入口意像旁農路南側邊坡</t>
  </si>
  <si>
    <t>電桿編號麻園幹108處</t>
  </si>
  <si>
    <t>苗55經武樂橋往坑尾橋方向約1.3公里處</t>
  </si>
  <si>
    <t>竹39線1.7K</t>
  </si>
  <si>
    <t>緞繻村雙溪1鄰4、6號</t>
  </si>
  <si>
    <t>政大御花園後方</t>
  </si>
  <si>
    <t>台21線87K+200中油加油站</t>
  </si>
  <si>
    <t>南豐橋</t>
  </si>
  <si>
    <t>台14線73K+100處東眼山橋</t>
  </si>
  <si>
    <t>131縣道36K處</t>
  </si>
  <si>
    <t>台13線45.5K</t>
  </si>
  <si>
    <t>廬山溫泉區</t>
  </si>
  <si>
    <t>中88線電桿編號竹豐枝45號</t>
  </si>
  <si>
    <t>國際路139巷2號~22號</t>
  </si>
  <si>
    <t>彰明橋上游約60公尺</t>
  </si>
  <si>
    <t>錦豐橋上游側1300公尺處之梳子壩</t>
  </si>
  <si>
    <t>思源橋上游側130公尺處之梳子壩</t>
  </si>
  <si>
    <t>國姓鄉大旗村(長旗產業道路上)</t>
  </si>
  <si>
    <t>社頭鄉清水村(位於重生路與清興路交叉口處)</t>
  </si>
  <si>
    <t>鹿谷鄉鳳凰村(約位於投56線14k處)</t>
  </si>
  <si>
    <t>五峰鄉桃山村(約位於大鹿林道1k處)</t>
  </si>
  <si>
    <t>信義鄉雙龍村(約位於台16線40k處)</t>
  </si>
  <si>
    <t>三星鄉天山村 (天山農場)</t>
  </si>
  <si>
    <t>大同鄉寒溪村(寒溪大橋) (約位於宜33線道路4.2K處)</t>
  </si>
  <si>
    <t>南化鄉玉山村(青山宮)</t>
  </si>
  <si>
    <t>水里鄉玉峰村(大坑橋)</t>
  </si>
  <si>
    <t>來義鄉義林村 (大後社區)</t>
  </si>
  <si>
    <t>中埔鄉中崙村(台3 線中崙四號橋)</t>
  </si>
  <si>
    <t>民和巷 57-1 號、57-7 號及 57-8 號(隆華高枝 18 號電桿)</t>
  </si>
  <si>
    <t>阿里山鄉里佳村(169 線終點銜接里佳村聚落道路約400 公尺處及里佳大)</t>
  </si>
  <si>
    <t>牡丹鄉高士村 (村辦公室後方之5鄰及6鄰聚落)</t>
  </si>
  <si>
    <t>梅山鄉太和村(油車寮)(位於嘉169線約7K處)</t>
  </si>
  <si>
    <t>梅山鄉瑞里村 5 鄰(62-8 號)</t>
  </si>
  <si>
    <t>梅山鄉瑞里村(8 鄰 12 號、14 號、16 號)</t>
  </si>
  <si>
    <t>大竹本部落 (位於台9線425km大竹安檢所旁)</t>
  </si>
  <si>
    <t>滿洲鄉長樂村(八瑤教會) (縣道 200 線 24K 處)</t>
  </si>
  <si>
    <t>瑪家(位於屏 35 縣道 11K 處)</t>
  </si>
  <si>
    <t>霧台鄉吉露村 (台24線46k處)</t>
  </si>
  <si>
    <t>泰武鄉泰武村 (泰武國小)</t>
  </si>
  <si>
    <t>梅山鄉瑞里村(8 鄰 6 號)</t>
  </si>
  <si>
    <t>番路鄉大湖村(五百恩仔部落) (嘉 159 甲線約 25.5k 處)</t>
  </si>
  <si>
    <t>和平鄉達觀村 (雪山坑橋)􀰾􀓫􀞒􀙀􀶠􀏎􁝼􀥟</t>
  </si>
  <si>
    <t>金峰鄉嘉蘭村(太麻里溪畔) (東64 線約5K 處)</t>
  </si>
  <si>
    <t>仁愛鄉南豐村(南豐橋)</t>
  </si>
  <si>
    <t>：仁愛鄉南豐村楓林路食菜坑溪便橋(距台14 線 8K 處約 1KM)</t>
  </si>
  <si>
    <t>水里鄉新山村(壽山橋)</t>
  </si>
  <si>
    <t>信義鄉神木村(隆華國小)</t>
  </si>
  <si>
    <t>來義鄉義林村 (義林大橋左岸堤防及義林村7 號旁)</t>
  </si>
  <si>
    <t>霧台鄉好茶村(好茶教會)</t>
  </si>
  <si>
    <t>來義鄉丹林村五鄰聚落 (來義大橋橋頭左岸道路)</t>
  </si>
  <si>
    <t>六龜鄉興龍村(舊潭橋) (台27 線約7.5k 處)</t>
  </si>
  <si>
    <t>來義鄉來義村 (屏110線16.6k處來社橋)</t>
  </si>
  <si>
    <t>大武鄉大竹村 (愛國蒲教會後方墓園旁)</t>
  </si>
  <si>
    <t>國姓鄉南港村 (長石巷長安橋)</t>
  </si>
  <si>
    <t>水里鄉玉峰村(投131線轉入竹湖橋約3km)</t>
  </si>
  <si>
    <t>鹿谷鄉和雅村(深坑林道約2k 處)</t>
  </si>
  <si>
    <t>來義鄉丹林村六鄰聚落 (來義大橋下游左岸坡地)</t>
  </si>
  <si>
    <t>那瑪夏鄉南沙魯村</t>
  </si>
  <si>
    <t>甲仙鄉西安村 (樂群巷8-22 號附近)</t>
  </si>
  <si>
    <t>六龜鄉興龍村(妙崇寺)(台27線舊潭二號橋南端右轉進入約300 公尺)</t>
  </si>
  <si>
    <t>茂林鄉萬山村 (高132線約6.6k處)</t>
  </si>
  <si>
    <t>古坑鄉華山村(華山溪上游距猴洞橋約820公尺)</t>
  </si>
  <si>
    <t>古坑鄉草嶺村(草嶺里7 鄰草嶺路38-6~10 號)</t>
  </si>
  <si>
    <t>梅山鄉太和村(公田部落)</t>
  </si>
  <si>
    <t>梅山鄉瑞里村 (嘉122 線約31.5k 青葉山莊)</t>
  </si>
  <si>
    <t>梅山鄉瑞峰村(162 甲線約30k 竹坑民宿)</t>
  </si>
  <si>
    <t>番路鄉公田村(台18 線西向右轉進入嘉130-1 線約1.5k 處)</t>
  </si>
  <si>
    <t>阿里山鄉樂野村(含台18 線巃頭隧道口、樂山產業道路及野溪下游位置等三處)</t>
  </si>
  <si>
    <t>中埔鄉東興村(嘉141 線邊坡道路)</t>
  </si>
  <si>
    <t>信義鄉神木村 1 鄰(民和巷 14-1 號及 14 號)</t>
  </si>
  <si>
    <t>信義鄉神木村(11 鄰受損農舍)</t>
  </si>
  <si>
    <t>公田聚落(草嶺往 921 地震觀景台 500 公尺，公田 14 號電桿旁溪流處)</t>
  </si>
  <si>
    <t>古坑鄉樟湖村(後棟仔部落)(石橋 52 號民宅)</t>
  </si>
  <si>
    <t>古坑鄉樟湖村(樟湖國小)(樟湖 28-1 號民宅旁)</t>
  </si>
  <si>
    <t>過寮部落</t>
  </si>
  <si>
    <t xml:space="preserve">古坑鄉樟湖村(石橋部落)(縣道 149 線 23K) </t>
  </si>
  <si>
    <t>梅山鄉瑞里村(8 鄰 24 號(瑞里大飯店)、25 號)</t>
  </si>
  <si>
    <t>梅山鄉瑞里村(8 鄰 7 號)</t>
  </si>
  <si>
    <t>梅山鄉瑞里村(1 鄰 2 號、3 號)</t>
  </si>
  <si>
    <t>阿里山鄉十字村(6 鄰) (近嘉 149 線往來吉段 204 號電線桿處)</t>
  </si>
  <si>
    <t>德文派出所(屏 31 線約 7.0km 處)</t>
  </si>
  <si>
    <t>牡丹鄉石門村 (199 線中間路橋)</t>
  </si>
  <si>
    <t>梅山鄉太和村(振興宮)</t>
  </si>
  <si>
    <t>特富野度假山莊(達邦段 57 號電線桿)</t>
  </si>
  <si>
    <t>三地門鄉大社村 (約位於屏31 線0k 處)</t>
  </si>
  <si>
    <t>甲仙鄉小林村(小林國小)(台21 線224k 處)</t>
  </si>
  <si>
    <t>甲仙鄉東安村 (三山國王廟)</t>
  </si>
  <si>
    <t>青山坪農場</t>
  </si>
  <si>
    <t>曾文三號橋旁野溪(南勢村 41-27號民宅)</t>
  </si>
  <si>
    <t>東山鄉南勢村(20鄰 41-16、17號)</t>
  </si>
  <si>
    <t>南勢村 20鄰 41-18、19號(五叉溝往東山段24號電線桿處)</t>
  </si>
  <si>
    <t>甲仙鄉小林村北勢巷 1號(大北勢溪與旗山溪匯流處)</t>
  </si>
  <si>
    <t>甲仙鄉關山村關西巷(10-11鄰)</t>
  </si>
  <si>
    <t>錦地巷 1鄰 3號民宅(台21 229.5k處右轉約250m處)</t>
  </si>
  <si>
    <t xml:space="preserve">六龜鄉興龍村(圳頭埔部落)
</t>
  </si>
  <si>
    <t>桃源鄉寶山村 (寶山村二集團分校)</t>
  </si>
  <si>
    <t>桃源鄉寶山村(新藤枝部落) (藤枝活動中心)</t>
  </si>
  <si>
    <t>桃源鄉寶山村(舊藤枝部落)(森濤派出所)</t>
  </si>
  <si>
    <t>瑪家鄉北葉村 (距觀流吊橋約130公尺)</t>
  </si>
  <si>
    <t>(五叉溝五叉高分 64號電桿)</t>
  </si>
  <si>
    <t>八里灣部落(花51 線尾端)</t>
  </si>
  <si>
    <t>信望愛少年學院</t>
  </si>
  <si>
    <t>太巴塱部落(縣道193 線與台11 甲交會處)</t>
  </si>
  <si>
    <t>復興部落(台11 線44K 轉復興產業道路)</t>
  </si>
  <si>
    <t>大津社區活動中心北側野溪(台27 線23.7k)</t>
  </si>
  <si>
    <t>來義鄉南和村(南和社區)</t>
  </si>
  <si>
    <t>來義鄉義林村(義林部落)</t>
  </si>
  <si>
    <t>東、西部落。來義一號橋</t>
  </si>
  <si>
    <t>七堵區瑪東里(國道3號3.1K處)</t>
  </si>
  <si>
    <t>冷泉路9~12號</t>
  </si>
  <si>
    <t>大坑五號橋(大坑路28 號旁民宅旁)</t>
  </si>
  <si>
    <t>宜33 線11.2k 處</t>
  </si>
  <si>
    <t>佛光慈惠寺(佛光路260 號)</t>
  </si>
  <si>
    <t>照安宮橋</t>
  </si>
  <si>
    <t>玉皇宮</t>
  </si>
  <si>
    <t>聖湖里29~33 鄰(台9 線102.5K 處)</t>
  </si>
  <si>
    <t>永樂里11鄰(永樂南路151 號民宅)</t>
  </si>
  <si>
    <t>佬濃山莊</t>
  </si>
  <si>
    <t>中山路一段206 巷(台9 線104k 處)</t>
  </si>
  <si>
    <t>武荖坑32 號</t>
  </si>
  <si>
    <t>東城村223-1號</t>
  </si>
  <si>
    <t>武荖坑度假山莊。冬山路1段9弄28號</t>
  </si>
  <si>
    <t>湖東路26至28號民宅</t>
  </si>
  <si>
    <t>湧泉休閒農場</t>
  </si>
  <si>
    <t>湖東路25號民宅(土雞城)</t>
  </si>
  <si>
    <t>天主巷盡頭山坡地</t>
  </si>
  <si>
    <t>進安宮。台2戊線13k處</t>
  </si>
  <si>
    <t>文化巷(台2戊轉力行街盡頭)</t>
  </si>
  <si>
    <t>白雲寺旁民宅。台9線台2戊共線道路轉冷泉路約1公里</t>
  </si>
  <si>
    <t>中山路一段264巷。蘇澳分局及戶政事務所後方山坡</t>
  </si>
  <si>
    <t>城隍廟。埤岸路31號</t>
  </si>
  <si>
    <t>漢聖宮及南仙宮。新化巷盡頭</t>
  </si>
  <si>
    <t>指南宮(台9線台2戊貢獻道路轉冷泉路約1公里)</t>
  </si>
  <si>
    <t>猴猴坑溪(永春路左轉湖東路約200公尺)</t>
  </si>
  <si>
    <t>永春里第9鄰。8、9、10號民宅後方</t>
  </si>
  <si>
    <t>白米木屐館。永春路134巷15號</t>
  </si>
  <si>
    <t>永樂活動中心(永樂路234巷1~3鄰)</t>
  </si>
  <si>
    <t>永樂里10鄰(永樂南路96~99號)</t>
  </si>
  <si>
    <t>蘇南公路水道巷</t>
  </si>
  <si>
    <t>鎮南廟。文化巷盡頭</t>
  </si>
  <si>
    <t>南順宮及聖愛路97號(台9線右轉聖愛路約0.5K及1K處)</t>
  </si>
  <si>
    <t>南安國中(南方澳學府路尾端)</t>
  </si>
  <si>
    <t>愛國蒲部落。台9線423.5k處愛國蒲產業道路內</t>
  </si>
  <si>
    <t xml:space="preserve">舊碼崙橋 (大同鄉樂水村宜51線約 12.5k 處)
</t>
  </si>
  <si>
    <t>神木大橋</t>
  </si>
  <si>
    <t>梅山鄉太和村(社興橋原址)</t>
  </si>
  <si>
    <t>瑪崙橋</t>
  </si>
  <si>
    <t>東澳部落(東岳湧泉公園)</t>
  </si>
  <si>
    <t>布浪一號橋、布浪二號橋</t>
  </si>
  <si>
    <t>宜51縣鄉道6K及8K</t>
  </si>
  <si>
    <t>省道台9甲線53.8K</t>
  </si>
  <si>
    <t>省道台9縣115.8K</t>
  </si>
  <si>
    <t>台7縣90K</t>
  </si>
  <si>
    <t>台7縣90.5K</t>
  </si>
  <si>
    <t>清水產業道路</t>
  </si>
  <si>
    <t>靈山老祖娘娘廟(屏170鄉道5K處)</t>
  </si>
  <si>
    <t>四林路85號(牡林國小)</t>
  </si>
  <si>
    <t>來義東西部落</t>
  </si>
  <si>
    <t>神鷹瀑布(來義派出所)</t>
  </si>
  <si>
    <t>縣道199線20K~20.5K觸及牡丹五號橋</t>
  </si>
  <si>
    <t>恆春鎮墾丁里(潭仔巷2號、21號民宅)</t>
  </si>
  <si>
    <t>野山土雞園(老泉街26 巷1k+700)</t>
  </si>
  <si>
    <t>樟湖村8 鄰車心崙(濟公廟旁66-1 號民宅)</t>
  </si>
  <si>
    <t>福旗巷(大旗農路)</t>
  </si>
  <si>
    <t>大後部落(大後集會所)</t>
  </si>
  <si>
    <t>東西部落(屏110 線15k、來義東西部落聯絡道路)</t>
  </si>
  <si>
    <t>東關路二段115 號民宅旁(中橫21.5 公里處)</t>
  </si>
  <si>
    <t>產業二號橋(中99 線北田路)</t>
  </si>
  <si>
    <t>中原橋上游約1.2 公里(眉原幹110 分29 電桿處)</t>
  </si>
  <si>
    <t>南迴鐵路(台9 線439k+280)</t>
  </si>
  <si>
    <t>豐湖路、港頭巷1 號民宅</t>
  </si>
  <si>
    <t>瑤玉宮下方坡地(松山路近725 號)</t>
  </si>
  <si>
    <t>石麻巷57 號民宅旁</t>
  </si>
  <si>
    <t>義芳居後方坡地(基隆路三段155 巷)</t>
  </si>
  <si>
    <t>林務局佳陽分站(台8 線69.5K)</t>
  </si>
  <si>
    <t>平生部落(台電屯原支41 號電線桿處)</t>
  </si>
  <si>
    <t>民裕43 號民宅</t>
  </si>
  <si>
    <t>插角里188 號民宅</t>
  </si>
  <si>
    <t>南山村加油站</t>
  </si>
  <si>
    <t>志航橋</t>
  </si>
  <si>
    <t>如苑山莊</t>
  </si>
  <si>
    <t>米羅產業道路</t>
  </si>
  <si>
    <t>台3 線134.2k</t>
  </si>
  <si>
    <t>嘉128線(仁宇橋)</t>
  </si>
  <si>
    <t>武榮村 8鄰(坪林道路)</t>
  </si>
  <si>
    <t>白冷國小</t>
  </si>
  <si>
    <t>中正路 367巷 69-2 號民宅</t>
  </si>
  <si>
    <t>中心嶺部落(行鼓吊橋)</t>
  </si>
  <si>
    <t>筆石橋(新中橫公路95.5K處筆石段)</t>
  </si>
  <si>
    <t xml:space="preserve">投56線 9K~9.5K </t>
  </si>
  <si>
    <t xml:space="preserve">中平巷 4號民宅 </t>
  </si>
  <si>
    <t>宜57線0.8K</t>
  </si>
  <si>
    <t>桐竹路25號民宅</t>
  </si>
  <si>
    <t>愛國蒲部落後方崩塌地</t>
  </si>
  <si>
    <t>福興路116號</t>
  </si>
  <si>
    <t>竹崙路162號</t>
  </si>
  <si>
    <t>金敏54-2號</t>
  </si>
  <si>
    <t>平廣路一段151號民宅旁野溪</t>
  </si>
  <si>
    <t>平廣溪下游左側邊坡</t>
  </si>
  <si>
    <t>土石流潛勢溪流新北DF091</t>
  </si>
  <si>
    <t>平廣路一段7號民宅旁</t>
  </si>
  <si>
    <t>屈尺里新烏路二段193號</t>
  </si>
  <si>
    <t>廣興里平廣路一段22號</t>
  </si>
  <si>
    <t>忠治里金堰80-1號</t>
  </si>
  <si>
    <t>信福路150號、150-1號</t>
  </si>
  <si>
    <t>嘎色鬧四橋</t>
  </si>
  <si>
    <t>投 85 線 7K</t>
  </si>
  <si>
    <t>龍安街332巷30號</t>
  </si>
  <si>
    <t>水源路二段72巷71弄</t>
  </si>
  <si>
    <t>秀巒國小對岸邊坡</t>
  </si>
  <si>
    <t>內奎輝9鄰8號</t>
  </si>
  <si>
    <t>中民路61巷3-22號</t>
  </si>
  <si>
    <t>金獅村古厝</t>
  </si>
  <si>
    <t>後厝巷27號</t>
  </si>
  <si>
    <t>頂濃路31號</t>
  </si>
  <si>
    <t>愛國蒲部落</t>
  </si>
  <si>
    <t>沄水村大興10號</t>
  </si>
  <si>
    <t>土石流潛勢溪流南市DF-032</t>
  </si>
  <si>
    <t>頂埔5號</t>
  </si>
  <si>
    <t>霞雲溪</t>
  </si>
  <si>
    <t>泰源南溪</t>
  </si>
  <si>
    <t>水仙路5巷</t>
  </si>
  <si>
    <t>台 21 線 87K~88K</t>
  </si>
  <si>
    <t>鎮樂 122 號民宅</t>
  </si>
  <si>
    <t>知本富野飯店</t>
  </si>
  <si>
    <t>草湖溪糖廓橋</t>
  </si>
  <si>
    <t>福旗巷18號</t>
  </si>
  <si>
    <t>水流東溪</t>
  </si>
  <si>
    <t>中88縣(東陽路)</t>
  </si>
  <si>
    <t>中象道路10K處</t>
  </si>
  <si>
    <t>茂林情人谷霧瓦納溪</t>
  </si>
  <si>
    <t>大安部落</t>
  </si>
  <si>
    <t>台29縣臨11便道3.2K</t>
  </si>
  <si>
    <t>149乙線6K處</t>
  </si>
  <si>
    <t>小山嵙登山口步道</t>
  </si>
  <si>
    <t>投83線20.2K</t>
  </si>
  <si>
    <t>台24線42.6K</t>
  </si>
  <si>
    <t>三隻寮產業道路</t>
  </si>
  <si>
    <t>竹林農路</t>
  </si>
  <si>
    <t>174線48.5K</t>
  </si>
  <si>
    <t>投89線31K附近</t>
  </si>
  <si>
    <t>臺鐵瑞芳-猴硐 12K+233 處</t>
  </si>
  <si>
    <t>台八線臨 37 便道 22.5k</t>
  </si>
  <si>
    <t>投 89 線 15K 之 3 處舊崩塌地(1號崩塌地)</t>
  </si>
  <si>
    <t>投 89 線 15K 之 3 處舊崩塌地(2、3號崩塌地)</t>
  </si>
  <si>
    <t>投 89 線 46.3K 之舊崩塌地</t>
  </si>
  <si>
    <t>苗 21 線 6.5K</t>
  </si>
  <si>
    <t>苗 62 線 2K 處</t>
  </si>
  <si>
    <t>台 29 線 78K 處野溪源頭</t>
  </si>
  <si>
    <t>小關山林道 3.5K</t>
  </si>
  <si>
    <t>台 16 線 12K 處</t>
  </si>
  <si>
    <t>竹 60 線 31K 處邊坡</t>
  </si>
  <si>
    <t>臺 7 線 50K 大漢橋上游100 公尺</t>
  </si>
  <si>
    <t>嘉 133 線 4K 處</t>
  </si>
  <si>
    <t>嘉 159 甲線 32K 處</t>
  </si>
  <si>
    <t>台 27 線 14K 處</t>
  </si>
  <si>
    <t>崎頂里水坑農路</t>
  </si>
  <si>
    <t>阿里山青年活動中心約300 公尺道路上邊坡</t>
  </si>
  <si>
    <t>興龍里舊潭 53 號前之農路、潛勢溪流(高市 DF054)</t>
  </si>
  <si>
    <t>大石村 7 鄰</t>
  </si>
  <si>
    <t>台 20 線 100.5K</t>
  </si>
  <si>
    <t>石嘈里蜈蜞埔 3 號邊坡</t>
  </si>
  <si>
    <t>福盛村仙洞巷 1K 處</t>
  </si>
  <si>
    <t>台 3 線 136.2K 處</t>
  </si>
  <si>
    <t>安溪路 591 巷</t>
  </si>
  <si>
    <t>竹 28 線 5.4K 處</t>
  </si>
  <si>
    <t>台 20 線明霸克露橋</t>
  </si>
  <si>
    <t>投 83 線 25K 處</t>
  </si>
  <si>
    <t>榕樹部落翡翠谷入口處</t>
  </si>
  <si>
    <t>松浦里 138-1 號</t>
  </si>
  <si>
    <t>花 64 線(瑞港公路)2.3K 處</t>
  </si>
  <si>
    <t>國道一號南向 10.1 公里</t>
  </si>
  <si>
    <t>七堵苗圃、東新街 141-143 號</t>
  </si>
  <si>
    <t>鵠鵠崙大規模崩塌潛勢區</t>
  </si>
  <si>
    <t>台七線 84K</t>
  </si>
  <si>
    <t>暖暖街 281 巷</t>
  </si>
  <si>
    <t>伯爵山莊之伯爵街 3 巷及 6 巷</t>
  </si>
  <si>
    <t>台七甲線 0.5K</t>
  </si>
  <si>
    <t>台 7 線 86.5K</t>
  </si>
  <si>
    <t>台 2 甲(陽金公路中興路口)</t>
  </si>
  <si>
    <t>台 9 丁線 39.8K</t>
  </si>
  <si>
    <t>赤柯山產業道路 10.5K</t>
  </si>
  <si>
    <t>台 8 線 77K 靈甫橋路段</t>
  </si>
  <si>
    <t>平興村苗 12 線</t>
  </si>
  <si>
    <t>科環路 106 巷之紫軾書院</t>
  </si>
  <si>
    <t>台 8 線 117.4K</t>
  </si>
  <si>
    <t>台 9 線 400K+500</t>
  </si>
  <si>
    <t>苗 126 線 26.1K</t>
  </si>
  <si>
    <t>槓子寮路資源回收場</t>
  </si>
  <si>
    <t>投 89 線 49K</t>
  </si>
  <si>
    <t>廬山麗來飯店</t>
  </si>
  <si>
    <t>臺14線69.4K</t>
  </si>
  <si>
    <t>臺14線74.5K(仁愛橋)</t>
  </si>
  <si>
    <t>臺14線82.7K</t>
  </si>
  <si>
    <t>臺14線85.4K</t>
  </si>
  <si>
    <t>奧萬大森林遊樂園</t>
  </si>
  <si>
    <t>山邊路二段 131 號、121 號、117 號、115 號</t>
  </si>
  <si>
    <t>碧候溫泉聯外道路</t>
  </si>
  <si>
    <t>臺 20 臨 105 線 39.1K</t>
  </si>
  <si>
    <t>台 8 線 179.5K</t>
  </si>
  <si>
    <t>臺 3 線 300.9K 中崙四號橋</t>
  </si>
  <si>
    <t>竹崎鄉樟樹坪段 5-2、5-3地號</t>
  </si>
  <si>
    <t>投 95 線 4.3K 投縣 DF206</t>
  </si>
  <si>
    <t>臺 20 線明霸克露橋(玉穗溪)</t>
  </si>
  <si>
    <t>台 14 甲線 18.7K</t>
  </si>
  <si>
    <t>台 2 甲線 4K(林莊淨水廠)</t>
  </si>
  <si>
    <t>台 9 線 160.7K</t>
  </si>
  <si>
    <t>台鐵北迴線和仁隧道南口</t>
  </si>
  <si>
    <t>三棧南溪產業道路</t>
  </si>
  <si>
    <t>台 2 線 70K(潮境公園平浪橋)</t>
  </si>
  <si>
    <t>投 95 線 4.3K</t>
  </si>
  <si>
    <t>東莊部落鋼便橋</t>
  </si>
  <si>
    <t>扇平山莊</t>
  </si>
  <si>
    <t>長興宮</t>
  </si>
  <si>
    <t>沙崙溪(東縣 DF111)</t>
  </si>
  <si>
    <t>苗43線7k(苗縣DF036)</t>
  </si>
  <si>
    <t>台2線116K</t>
  </si>
  <si>
    <t>源城里20鄰209號(花縣DF071)</t>
  </si>
  <si>
    <t>卓溪村(花縣DF039、花縣DF048、花縣DF049)</t>
  </si>
  <si>
    <t>景華街128巷84–90號</t>
  </si>
  <si>
    <t>C1E510</t>
  </si>
  <si>
    <t>新開</t>
  </si>
  <si>
    <t>翠巒</t>
  </si>
  <si>
    <t>明德</t>
  </si>
  <si>
    <t>竹山</t>
  </si>
  <si>
    <t>翠峰</t>
  </si>
  <si>
    <t>石岡</t>
  </si>
  <si>
    <t>水里</t>
  </si>
  <si>
    <t>石碇</t>
  </si>
  <si>
    <t>南勢角</t>
  </si>
  <si>
    <t>九份二山</t>
  </si>
  <si>
    <t>五堵</t>
  </si>
  <si>
    <t>埔里雨量站</t>
  </si>
  <si>
    <t>集集</t>
  </si>
  <si>
    <t>CIR140</t>
  </si>
  <si>
    <t>鳳森</t>
  </si>
  <si>
    <t>天母</t>
  </si>
  <si>
    <t>關渡</t>
  </si>
  <si>
    <t>C1A680</t>
  </si>
  <si>
    <t>五股</t>
  </si>
  <si>
    <t>三義</t>
  </si>
  <si>
    <t>巴陵</t>
  </si>
  <si>
    <t>雙冬</t>
  </si>
  <si>
    <t>石磐龍</t>
  </si>
  <si>
    <t>頭凍</t>
  </si>
  <si>
    <t>公館</t>
  </si>
  <si>
    <t>桐林</t>
  </si>
  <si>
    <t>樟腦寮</t>
  </si>
  <si>
    <t>玉井</t>
  </si>
  <si>
    <t>崎頂</t>
  </si>
  <si>
    <t>東勢</t>
  </si>
  <si>
    <t>新伯公</t>
  </si>
  <si>
    <t>高義</t>
  </si>
  <si>
    <t>土城</t>
  </si>
  <si>
    <t>松安</t>
  </si>
  <si>
    <t>象鼻</t>
  </si>
  <si>
    <t>水長流</t>
  </si>
  <si>
    <t>東原</t>
  </si>
  <si>
    <t>楠西</t>
  </si>
  <si>
    <t>蘆竹湳</t>
  </si>
  <si>
    <t>魚池</t>
  </si>
  <si>
    <t>表湖</t>
  </si>
  <si>
    <t>慶福山</t>
  </si>
  <si>
    <t>大礁溪</t>
  </si>
  <si>
    <t>大湖</t>
  </si>
  <si>
    <t>峨嵋</t>
  </si>
  <si>
    <t>樟腦寮</t>
  </si>
  <si>
    <t>木柵</t>
  </si>
  <si>
    <t>上安橋</t>
  </si>
  <si>
    <t>六分寮</t>
  </si>
  <si>
    <t>文文社</t>
  </si>
  <si>
    <t>三星</t>
  </si>
  <si>
    <t>來義</t>
  </si>
  <si>
    <t>瀨頭</t>
  </si>
  <si>
    <t>石門山</t>
  </si>
  <si>
    <t>三地門</t>
  </si>
  <si>
    <t>阿禮</t>
  </si>
  <si>
    <t>赤山</t>
  </si>
  <si>
    <t>烏石坑</t>
  </si>
  <si>
    <t>西巒</t>
  </si>
  <si>
    <t>鳳凰</t>
  </si>
  <si>
    <t>山豬湖</t>
  </si>
  <si>
    <t>曾文</t>
  </si>
  <si>
    <t>三和</t>
  </si>
  <si>
    <t>靜浦</t>
  </si>
  <si>
    <t>大農</t>
  </si>
  <si>
    <t>光復</t>
  </si>
  <si>
    <t>加路蘭山</t>
  </si>
  <si>
    <t>冬山</t>
  </si>
  <si>
    <t>東澳</t>
  </si>
  <si>
    <t>再連</t>
  </si>
  <si>
    <t>C0R340</t>
  </si>
  <si>
    <t>牡丹</t>
  </si>
  <si>
    <t>墾丁</t>
  </si>
  <si>
    <t>水保</t>
  </si>
  <si>
    <t>白冷</t>
  </si>
  <si>
    <t>中竹林</t>
  </si>
  <si>
    <t>大武</t>
  </si>
  <si>
    <t>四獸</t>
  </si>
  <si>
    <t>公館</t>
  </si>
  <si>
    <t>梨山</t>
  </si>
  <si>
    <t>白毛台</t>
  </si>
  <si>
    <t>大豹</t>
  </si>
  <si>
    <t>南山</t>
  </si>
  <si>
    <t>南庄</t>
  </si>
  <si>
    <t>C1M490</t>
  </si>
  <si>
    <t>內埔</t>
  </si>
  <si>
    <t>馬拉邦山</t>
  </si>
  <si>
    <t>C0V26</t>
  </si>
  <si>
    <t>01A210</t>
  </si>
  <si>
    <t>C0A580</t>
  </si>
  <si>
    <t>屈尺</t>
  </si>
  <si>
    <t>21C14</t>
  </si>
  <si>
    <t>基隆</t>
  </si>
  <si>
    <t>汐止</t>
  </si>
  <si>
    <t>21D170</t>
  </si>
  <si>
    <t>鎮西堡</t>
  </si>
  <si>
    <t xml:space="preserve">
21C080</t>
  </si>
  <si>
    <t>01P390</t>
  </si>
  <si>
    <t>金山</t>
  </si>
  <si>
    <t>01L480</t>
  </si>
  <si>
    <t>樟腦寮(2)</t>
  </si>
  <si>
    <t>旗山</t>
  </si>
  <si>
    <t>愛國埔分校</t>
  </si>
  <si>
    <t>中埔</t>
  </si>
  <si>
    <t>C0R310</t>
  </si>
  <si>
    <t>寶山</t>
  </si>
  <si>
    <t>C0T790</t>
  </si>
  <si>
    <t>大禹嶺</t>
  </si>
  <si>
    <t>長豐</t>
  </si>
  <si>
    <t>南勢山</t>
  </si>
  <si>
    <t>留茂安</t>
  </si>
  <si>
    <t>楓港</t>
  </si>
  <si>
    <t>01AG00</t>
  </si>
  <si>
    <t>后社橋</t>
  </si>
  <si>
    <t>01S870</t>
  </si>
  <si>
    <t>北源</t>
  </si>
  <si>
    <t>C0S890</t>
  </si>
  <si>
    <t>左鎮</t>
  </si>
  <si>
    <t>藤枝</t>
  </si>
  <si>
    <t>C1F871</t>
  </si>
  <si>
    <t>桐林</t>
  </si>
  <si>
    <t>國姓</t>
  </si>
  <si>
    <t>C0F9M0</t>
  </si>
  <si>
    <t>豐原</t>
  </si>
  <si>
    <t>C1E451</t>
  </si>
  <si>
    <t>81M69</t>
  </si>
  <si>
    <t>達卡努瓦</t>
  </si>
  <si>
    <t>C1F9F1</t>
  </si>
  <si>
    <t>伯公龍</t>
  </si>
  <si>
    <t>C0R130</t>
  </si>
  <si>
    <t>高中</t>
  </si>
  <si>
    <t>C0O840</t>
  </si>
  <si>
    <t>王爺宮</t>
  </si>
  <si>
    <t>C1H860</t>
  </si>
  <si>
    <t>瑞岩</t>
  </si>
  <si>
    <t>COA660</t>
  </si>
  <si>
    <t>瑞芳</t>
  </si>
  <si>
    <t>德基</t>
  </si>
  <si>
    <t>翠華</t>
  </si>
  <si>
    <t>梅峰</t>
  </si>
  <si>
    <t>鳳美</t>
  </si>
  <si>
    <t>01E270</t>
  </si>
  <si>
    <t>大湖(1)</t>
  </si>
  <si>
    <t>里港</t>
  </si>
  <si>
    <t>秀巒</t>
  </si>
  <si>
    <t>嘎拉賀</t>
  </si>
  <si>
    <t>阿里山</t>
  </si>
  <si>
    <t>烏日</t>
  </si>
  <si>
    <t>關西</t>
  </si>
  <si>
    <t>銅門</t>
  </si>
  <si>
    <t>舞鶴</t>
  </si>
  <si>
    <t>七堵</t>
  </si>
  <si>
    <t>01U060</t>
  </si>
  <si>
    <t>梵梵(2)</t>
  </si>
  <si>
    <t>竹子湖</t>
  </si>
  <si>
    <t>赤柯山</t>
  </si>
  <si>
    <t>C0F861</t>
  </si>
  <si>
    <t>造橋</t>
  </si>
  <si>
    <t>C0S790</t>
  </si>
  <si>
    <t>金崙</t>
  </si>
  <si>
    <t>C0E550</t>
  </si>
  <si>
    <t>C1I320</t>
  </si>
  <si>
    <t>奧萬大</t>
  </si>
  <si>
    <t>81T850</t>
  </si>
  <si>
    <t>溪口國小</t>
  </si>
  <si>
    <t>向陽</t>
  </si>
  <si>
    <t>C1T830</t>
  </si>
  <si>
    <t>布拉灣</t>
  </si>
  <si>
    <t>C1H000</t>
  </si>
  <si>
    <t>C0A940</t>
  </si>
  <si>
    <t>八斗子</t>
  </si>
  <si>
    <t>望鄉山</t>
  </si>
  <si>
    <t>文峰遊客中心</t>
  </si>
  <si>
    <t>81E880</t>
  </si>
  <si>
    <t>火炎山</t>
  </si>
  <si>
    <t>大里國小</t>
  </si>
  <si>
    <t>玉里</t>
  </si>
  <si>
    <t>卓溪國小</t>
  </si>
  <si>
    <t>C0G880</t>
  </si>
  <si>
    <t>29.5/35.5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</si>
</sst>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h:mm;@"/>
    <numFmt numFmtId="177" formatCode="#,##0_ "/>
  </numFmts>
  <fonts count="21">
    <font>
      <sz val="12"/>
      <color theme="1"/>
      <name val="新細明體"/>
      <family val="2"/>
      <charset val="136"/>
      <scheme val="minor"/>
    </font>
    <font>
      <sz val="9"/>
      <name val="新細明體"/>
      <family val="2"/>
      <charset val="136"/>
      <scheme val="minor"/>
    </font>
    <font>
      <sz val="12"/>
      <name val="新細明體"/>
      <family val="1"/>
      <charset val="136"/>
    </font>
    <font>
      <sz val="12"/>
      <name val="Times New Roman"/>
      <family val="1"/>
    </font>
    <font>
      <sz val="12"/>
      <name val="標楷體"/>
      <family val="4"/>
      <charset val="136"/>
    </font>
    <font>
      <sz val="9"/>
      <name val="新細明體"/>
      <family val="1"/>
      <charset val="136"/>
    </font>
    <font>
      <sz val="12"/>
      <color rgb="FFFF0000"/>
      <name val="細明體"/>
      <family val="3"/>
      <charset val="136"/>
    </font>
    <font>
      <sz val="12"/>
      <color rgb="FFFF0000"/>
      <name val="Times New Roman"/>
      <family val="1"/>
    </font>
    <font>
      <sz val="12"/>
      <color indexed="10"/>
      <name val="標楷體"/>
      <family val="4"/>
      <charset val="136"/>
    </font>
    <font>
      <sz val="12"/>
      <color indexed="10"/>
      <name val="Times New Roman"/>
      <family val="1"/>
    </font>
    <font>
      <sz val="12"/>
      <name val="細明體"/>
      <family val="3"/>
      <charset val="136"/>
    </font>
    <font>
      <sz val="12"/>
      <color theme="1"/>
      <name val="Times New Roman"/>
      <family val="1"/>
    </font>
    <font>
      <sz val="12"/>
      <color theme="1"/>
      <name val="新細明體"/>
      <family val="1"/>
      <charset val="136"/>
      <scheme val="minor"/>
    </font>
    <font>
      <sz val="12"/>
      <name val="Microsoft JhengHei"/>
      <family val="2"/>
    </font>
    <font>
      <sz val="12"/>
      <color rgb="FFF2572D"/>
      <name val="Times New Roman"/>
      <family val="1"/>
    </font>
    <font>
      <sz val="12"/>
      <color indexed="53"/>
      <name val="標楷體"/>
      <family val="4"/>
      <charset val="136"/>
    </font>
    <font>
      <sz val="12"/>
      <color rgb="FF333333"/>
      <name val="Times New Roman"/>
      <family val="1"/>
    </font>
    <font>
      <sz val="12"/>
      <color indexed="63"/>
      <name val="標楷體"/>
      <family val="4"/>
      <charset val="136"/>
    </font>
    <font>
      <sz val="12"/>
      <name val="Microsoft JhengHei"/>
      <family val="2"/>
      <charset val="136"/>
    </font>
    <font>
      <b/>
      <sz val="12"/>
      <name val="新細明體"/>
      <family val="1"/>
      <charset val="136"/>
    </font>
    <font>
      <sz val="12"/>
      <name val="Times New Roman"/>
      <family val="4"/>
      <charset val="136"/>
    </font>
  </fonts>
  <fills count="8">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rgb="FFFF99CC"/>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alignment vertical="center"/>
    </xf>
    <xf numFmtId="0" fontId="2" fillId="0" borderId="0">
      <alignment vertical="center"/>
    </xf>
    <xf numFmtId="0" fontId="12" fillId="0" borderId="0">
      <alignment vertical="center"/>
    </xf>
  </cellStyleXfs>
  <cellXfs count="75">
    <xf numFmtId="0" fontId="0" fillId="0" borderId="0" xfId="0">
      <alignment vertical="center"/>
    </xf>
    <xf numFmtId="0" fontId="3" fillId="0" borderId="0" xfId="1" applyFont="1" applyAlignment="1">
      <alignment horizontal="center" vertical="center"/>
    </xf>
    <xf numFmtId="0" fontId="3" fillId="0" borderId="1" xfId="1" applyFont="1" applyFill="1" applyBorder="1" applyAlignment="1">
      <alignment horizontal="center" vertical="center"/>
    </xf>
    <xf numFmtId="0" fontId="6" fillId="0" borderId="1" xfId="1" applyFont="1" applyFill="1" applyBorder="1" applyAlignment="1">
      <alignment horizontal="center" vertical="center"/>
    </xf>
    <xf numFmtId="0" fontId="3" fillId="0" borderId="1" xfId="1" applyFont="1" applyBorder="1">
      <alignment vertical="center"/>
    </xf>
    <xf numFmtId="0" fontId="3" fillId="0" borderId="1" xfId="1" applyFont="1" applyBorder="1" applyAlignment="1">
      <alignment horizontal="center" vertical="center"/>
    </xf>
    <xf numFmtId="0" fontId="7" fillId="0" borderId="1" xfId="1" applyFont="1" applyBorder="1" applyAlignment="1">
      <alignment horizontal="center" vertical="center"/>
    </xf>
    <xf numFmtId="176" fontId="4" fillId="0" borderId="1" xfId="1" applyNumberFormat="1" applyFont="1" applyBorder="1">
      <alignment vertical="center"/>
    </xf>
    <xf numFmtId="0" fontId="3" fillId="0" borderId="0" xfId="1" applyFont="1">
      <alignment vertical="center"/>
    </xf>
    <xf numFmtId="0" fontId="7" fillId="0" borderId="0" xfId="1" applyFont="1">
      <alignment vertical="center"/>
    </xf>
    <xf numFmtId="177" fontId="7" fillId="0" borderId="0" xfId="1" applyNumberFormat="1" applyFont="1">
      <alignment vertical="center"/>
    </xf>
    <xf numFmtId="1" fontId="3" fillId="0" borderId="1" xfId="1" applyNumberFormat="1" applyFont="1" applyBorder="1" applyAlignment="1">
      <alignment horizontal="center" vertical="center"/>
    </xf>
    <xf numFmtId="1" fontId="3" fillId="0" borderId="1" xfId="1" applyNumberFormat="1" applyFont="1" applyBorder="1">
      <alignment vertical="center"/>
    </xf>
    <xf numFmtId="176" fontId="3" fillId="0" borderId="1" xfId="1" applyNumberFormat="1" applyFont="1" applyBorder="1" applyAlignment="1">
      <alignment horizontal="center" vertical="center" wrapText="1"/>
    </xf>
    <xf numFmtId="0" fontId="3" fillId="0" borderId="1" xfId="1" applyFont="1" applyBorder="1" applyAlignment="1">
      <alignment horizontal="center" vertical="center" wrapText="1"/>
    </xf>
    <xf numFmtId="0" fontId="3" fillId="0" borderId="1" xfId="1" applyFont="1" applyBorder="1" applyAlignment="1">
      <alignment vertical="center" wrapText="1"/>
    </xf>
    <xf numFmtId="0" fontId="3" fillId="0" borderId="1" xfId="1" applyFont="1" applyBorder="1" applyAlignment="1">
      <alignment horizontal="right" vertical="center"/>
    </xf>
    <xf numFmtId="0" fontId="3" fillId="0" borderId="1" xfId="1" applyFont="1" applyFill="1" applyBorder="1">
      <alignment vertical="center"/>
    </xf>
    <xf numFmtId="0" fontId="10" fillId="0" borderId="1" xfId="1" applyFont="1" applyBorder="1" applyAlignment="1">
      <alignment horizontal="center" vertical="center"/>
    </xf>
    <xf numFmtId="1" fontId="3" fillId="0" borderId="1" xfId="1" applyNumberFormat="1" applyFont="1" applyFill="1" applyBorder="1" applyAlignment="1">
      <alignment horizontal="center" vertical="center"/>
    </xf>
    <xf numFmtId="1" fontId="3" fillId="0" borderId="1" xfId="1" applyNumberFormat="1" applyFont="1" applyFill="1" applyBorder="1">
      <alignment vertical="center"/>
    </xf>
    <xf numFmtId="0" fontId="3" fillId="0" borderId="1" xfId="1" applyFont="1" applyFill="1" applyBorder="1" applyAlignment="1">
      <alignment horizontal="center" vertical="center" wrapText="1"/>
    </xf>
    <xf numFmtId="1" fontId="10" fillId="0" borderId="1" xfId="1" applyNumberFormat="1" applyFont="1" applyFill="1" applyBorder="1" applyAlignment="1">
      <alignment horizontal="center" vertical="center"/>
    </xf>
    <xf numFmtId="0" fontId="3" fillId="0" borderId="1" xfId="1" applyFont="1" applyFill="1" applyBorder="1" applyAlignment="1">
      <alignment vertical="center" wrapText="1"/>
    </xf>
    <xf numFmtId="0" fontId="4" fillId="0" borderId="1" xfId="1" applyFont="1" applyBorder="1" applyAlignment="1">
      <alignment horizontal="center" vertical="center"/>
    </xf>
    <xf numFmtId="177" fontId="3" fillId="0" borderId="0" xfId="1" applyNumberFormat="1" applyFont="1">
      <alignment vertical="center"/>
    </xf>
    <xf numFmtId="0" fontId="11" fillId="0" borderId="0" xfId="1" applyFont="1">
      <alignment vertical="center"/>
    </xf>
    <xf numFmtId="0" fontId="4" fillId="0" borderId="1" xfId="1" applyFont="1" applyFill="1" applyBorder="1" applyAlignment="1">
      <alignment horizontal="center" vertical="center"/>
    </xf>
    <xf numFmtId="4" fontId="3" fillId="0" borderId="1" xfId="1" applyNumberFormat="1" applyFont="1" applyBorder="1" applyAlignment="1">
      <alignment horizontal="center" vertical="center"/>
    </xf>
    <xf numFmtId="176" fontId="3" fillId="0" borderId="1" xfId="1" applyNumberFormat="1" applyFont="1" applyBorder="1">
      <alignment vertical="center"/>
    </xf>
    <xf numFmtId="0" fontId="3" fillId="0" borderId="1" xfId="1" applyFont="1" applyFill="1" applyBorder="1" applyAlignment="1">
      <alignment vertical="center"/>
    </xf>
    <xf numFmtId="0" fontId="3" fillId="2" borderId="1" xfId="1" applyFont="1" applyFill="1" applyBorder="1" applyAlignment="1">
      <alignment horizontal="center" vertical="center" wrapText="1"/>
    </xf>
    <xf numFmtId="0" fontId="3" fillId="0" borderId="1" xfId="1" applyFont="1" applyBorder="1" applyAlignment="1">
      <alignment vertical="center"/>
    </xf>
    <xf numFmtId="0" fontId="3" fillId="0" borderId="1" xfId="1" applyFont="1" applyBorder="1" applyAlignment="1">
      <alignment horizontal="left" vertical="center" wrapText="1"/>
    </xf>
    <xf numFmtId="0" fontId="3" fillId="0" borderId="1" xfId="2" applyFont="1" applyBorder="1" applyAlignment="1">
      <alignment horizontal="center" vertical="center" wrapText="1"/>
    </xf>
    <xf numFmtId="176" fontId="3" fillId="0" borderId="1" xfId="2" applyNumberFormat="1" applyFont="1" applyBorder="1" applyAlignment="1">
      <alignment horizontal="center" vertical="center" wrapText="1"/>
    </xf>
    <xf numFmtId="0" fontId="3" fillId="0" borderId="1" xfId="1" applyFont="1" applyBorder="1" applyAlignment="1">
      <alignment horizontal="right" vertical="center" wrapText="1"/>
    </xf>
    <xf numFmtId="0" fontId="3" fillId="0" borderId="1" xfId="2" applyFont="1" applyFill="1" applyBorder="1" applyAlignment="1">
      <alignment horizontal="center" vertical="center" wrapText="1"/>
    </xf>
    <xf numFmtId="176" fontId="3" fillId="0" borderId="1" xfId="2" applyNumberFormat="1" applyFont="1" applyBorder="1" applyAlignment="1">
      <alignment vertical="center" wrapText="1"/>
    </xf>
    <xf numFmtId="0" fontId="3" fillId="0" borderId="1" xfId="1"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3" fillId="3" borderId="1" xfId="1" applyFont="1" applyFill="1" applyBorder="1" applyAlignment="1">
      <alignment horizontal="left" vertical="center" wrapText="1"/>
    </xf>
    <xf numFmtId="176" fontId="3" fillId="0" borderId="1" xfId="1" applyNumberFormat="1" applyFont="1" applyBorder="1" applyAlignment="1">
      <alignment horizontal="center" vertical="center"/>
    </xf>
    <xf numFmtId="0" fontId="3" fillId="3" borderId="1" xfId="1" applyFont="1" applyFill="1" applyBorder="1" applyAlignment="1">
      <alignment horizontal="center" vertical="center" wrapText="1"/>
    </xf>
    <xf numFmtId="0" fontId="3" fillId="0" borderId="2" xfId="2" applyFont="1" applyBorder="1" applyAlignment="1">
      <alignment horizontal="center" vertical="center" wrapText="1"/>
    </xf>
    <xf numFmtId="0" fontId="3" fillId="0" borderId="2" xfId="1" applyFont="1" applyFill="1" applyBorder="1">
      <alignment vertical="center"/>
    </xf>
    <xf numFmtId="176" fontId="3" fillId="0" borderId="0" xfId="1" applyNumberFormat="1" applyFont="1">
      <alignment vertical="center"/>
    </xf>
    <xf numFmtId="0" fontId="3" fillId="0" borderId="0" xfId="2" applyFont="1" applyBorder="1" applyAlignment="1">
      <alignment horizontal="center" vertical="center" wrapText="1"/>
    </xf>
    <xf numFmtId="0" fontId="3" fillId="0" borderId="0" xfId="1" applyFont="1" applyAlignment="1">
      <alignment vertical="center" wrapText="1"/>
    </xf>
    <xf numFmtId="0" fontId="2" fillId="0" borderId="0" xfId="1" applyAlignment="1">
      <alignment vertical="center" wrapText="1"/>
    </xf>
    <xf numFmtId="49" fontId="3" fillId="0" borderId="0" xfId="1" applyNumberFormat="1" applyFont="1">
      <alignment vertical="center"/>
    </xf>
    <xf numFmtId="3" fontId="2" fillId="0" borderId="0" xfId="1" applyNumberFormat="1" applyAlignment="1">
      <alignment vertical="center" wrapText="1"/>
    </xf>
    <xf numFmtId="0" fontId="3" fillId="0" borderId="0" xfId="1" applyFont="1" applyAlignment="1">
      <alignment vertical="center"/>
    </xf>
    <xf numFmtId="0" fontId="3" fillId="4" borderId="0" xfId="1" applyFont="1" applyFill="1">
      <alignment vertical="center"/>
    </xf>
    <xf numFmtId="0" fontId="3" fillId="4" borderId="0" xfId="2" applyFont="1" applyFill="1" applyBorder="1" applyAlignment="1">
      <alignment horizontal="center" vertical="center" wrapText="1"/>
    </xf>
    <xf numFmtId="0" fontId="3" fillId="4" borderId="0" xfId="1" applyFont="1" applyFill="1" applyAlignment="1">
      <alignment horizontal="center" vertical="center"/>
    </xf>
    <xf numFmtId="176" fontId="3" fillId="4" borderId="0" xfId="1" applyNumberFormat="1" applyFont="1" applyFill="1">
      <alignment vertical="center"/>
    </xf>
    <xf numFmtId="0" fontId="3" fillId="4" borderId="0" xfId="1" applyFont="1" applyFill="1" applyAlignment="1">
      <alignment vertical="center"/>
    </xf>
    <xf numFmtId="0" fontId="14" fillId="0" borderId="0" xfId="1" applyFont="1" applyAlignment="1">
      <alignment horizontal="center" vertical="center"/>
    </xf>
    <xf numFmtId="0" fontId="7" fillId="0" borderId="0" xfId="1" applyFont="1" applyAlignment="1">
      <alignment horizontal="center" vertical="center"/>
    </xf>
    <xf numFmtId="0" fontId="16" fillId="0" borderId="0" xfId="1" applyFont="1">
      <alignment vertical="center"/>
    </xf>
    <xf numFmtId="0" fontId="2" fillId="0" borderId="0" xfId="1" applyFont="1" applyAlignment="1">
      <alignment horizontal="center" vertical="center"/>
    </xf>
    <xf numFmtId="0" fontId="3" fillId="5" borderId="0" xfId="1" applyFont="1" applyFill="1" applyAlignment="1">
      <alignment horizontal="center" vertical="center"/>
    </xf>
    <xf numFmtId="0" fontId="2" fillId="0" borderId="0" xfId="1">
      <alignment vertical="center"/>
    </xf>
    <xf numFmtId="0" fontId="4" fillId="0" borderId="0" xfId="1" applyFont="1" applyAlignment="1">
      <alignment horizontal="left" vertical="center"/>
    </xf>
    <xf numFmtId="0" fontId="4" fillId="0" borderId="0" xfId="1" applyFont="1" applyAlignment="1">
      <alignment horizontal="center" vertical="center"/>
    </xf>
    <xf numFmtId="22" fontId="2" fillId="0" borderId="0" xfId="1" applyNumberFormat="1">
      <alignment vertical="center"/>
    </xf>
    <xf numFmtId="0" fontId="4" fillId="0" borderId="0" xfId="1" applyFont="1">
      <alignment vertical="center"/>
    </xf>
    <xf numFmtId="0" fontId="2" fillId="0" borderId="0" xfId="1" applyAlignment="1"/>
    <xf numFmtId="22" fontId="2" fillId="0" borderId="0" xfId="1" applyNumberFormat="1" applyAlignment="1"/>
    <xf numFmtId="0" fontId="19" fillId="0" borderId="0" xfId="1" applyFont="1" applyAlignment="1">
      <alignment vertical="center" wrapText="1"/>
    </xf>
    <xf numFmtId="0" fontId="0" fillId="6" borderId="0" xfId="0" applyFill="1">
      <alignment vertical="center"/>
    </xf>
    <xf numFmtId="0" fontId="20" fillId="0" borderId="1" xfId="1" applyFont="1" applyBorder="1" applyAlignment="1">
      <alignment horizontal="center" vertical="center"/>
    </xf>
    <xf numFmtId="0" fontId="0" fillId="5" borderId="0" xfId="0" applyFill="1">
      <alignment vertical="center"/>
    </xf>
    <xf numFmtId="0" fontId="0" fillId="7" borderId="0" xfId="0" applyFill="1">
      <alignment vertical="center"/>
    </xf>
  </cellXfs>
  <cellStyles count="3">
    <cellStyle name="一般" xfId="0" builtinId="0"/>
    <cellStyle name="一般 2" xfId="1" xr:uid="{7C5FE936-248A-4BB1-98FD-55686F26B82C}"/>
    <cellStyle name="一般 2 2" xfId="2" xr:uid="{8F036C45-F332-46EA-8C82-43727F7023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272"/>
  <sheetViews>
    <sheetView topLeftCell="K1" zoomScale="70" zoomScaleNormal="70" workbookViewId="0">
      <selection activeCell="Y2" sqref="Y2:AB14"/>
    </sheetView>
  </sheetViews>
  <sheetFormatPr defaultRowHeight="16.5"/>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t="s">
        <v>44</v>
      </c>
      <c r="B2" t="s">
        <v>45</v>
      </c>
      <c r="C2" t="s">
        <v>46</v>
      </c>
      <c r="D2" t="s">
        <v>47</v>
      </c>
      <c r="F2" t="s">
        <v>48</v>
      </c>
      <c r="G2">
        <v>101</v>
      </c>
      <c r="H2" t="s">
        <v>49</v>
      </c>
      <c r="I2">
        <v>41123.083333333336</v>
      </c>
      <c r="J2">
        <v>1</v>
      </c>
      <c r="K2" t="s">
        <v>50</v>
      </c>
      <c r="L2">
        <v>0.56499999999999995</v>
      </c>
      <c r="M2">
        <v>5.7350000000000003</v>
      </c>
      <c r="N2">
        <v>0.30146195710169671</v>
      </c>
      <c r="O2">
        <v>3.0599722548287271</v>
      </c>
      <c r="P2" t="s">
        <v>51</v>
      </c>
      <c r="Q2">
        <v>1</v>
      </c>
      <c r="R2" t="s">
        <v>50</v>
      </c>
      <c r="S2">
        <v>450</v>
      </c>
      <c r="T2" t="s">
        <v>52</v>
      </c>
      <c r="U2" t="s">
        <v>53</v>
      </c>
      <c r="V2">
        <v>878.5</v>
      </c>
      <c r="W2">
        <v>74.5</v>
      </c>
      <c r="X2">
        <v>668.9</v>
      </c>
      <c r="Y2">
        <v>158</v>
      </c>
      <c r="Z2">
        <v>259</v>
      </c>
      <c r="AA2">
        <v>333</v>
      </c>
      <c r="AB2">
        <v>442.5</v>
      </c>
      <c r="AC2" t="s">
        <v>54</v>
      </c>
      <c r="AD2" t="s">
        <v>55</v>
      </c>
      <c r="AE2" t="s">
        <v>56</v>
      </c>
      <c r="AF2" t="s">
        <v>55</v>
      </c>
      <c r="AG2" t="s">
        <v>55</v>
      </c>
      <c r="AH2">
        <v>74.5</v>
      </c>
      <c r="AI2">
        <v>178</v>
      </c>
      <c r="AJ2">
        <v>300</v>
      </c>
      <c r="AK2">
        <v>433</v>
      </c>
      <c r="AL2">
        <v>582.5</v>
      </c>
      <c r="AM2" t="s">
        <v>54</v>
      </c>
      <c r="AN2" t="s">
        <v>56</v>
      </c>
      <c r="AO2" t="s">
        <v>57</v>
      </c>
      <c r="AP2" t="s">
        <v>58</v>
      </c>
      <c r="AQ2" t="s">
        <v>58</v>
      </c>
      <c r="AR2">
        <v>59</v>
      </c>
    </row>
    <row r="3" spans="1:44">
      <c r="A3" t="s">
        <v>44</v>
      </c>
      <c r="B3" t="s">
        <v>45</v>
      </c>
      <c r="C3" t="s">
        <v>46</v>
      </c>
      <c r="D3" t="s">
        <v>47</v>
      </c>
      <c r="F3" t="s">
        <v>48</v>
      </c>
      <c r="G3">
        <v>113</v>
      </c>
      <c r="H3" t="s">
        <v>59</v>
      </c>
      <c r="I3">
        <v>45498.041666666664</v>
      </c>
      <c r="J3">
        <v>2</v>
      </c>
      <c r="K3">
        <v>11.986187214611858</v>
      </c>
      <c r="L3">
        <v>0</v>
      </c>
      <c r="M3">
        <v>4.67</v>
      </c>
      <c r="N3">
        <v>0</v>
      </c>
      <c r="O3">
        <v>2.4917298047166794</v>
      </c>
      <c r="P3" t="s">
        <v>60</v>
      </c>
      <c r="Q3" t="s">
        <v>50</v>
      </c>
      <c r="R3" t="s">
        <v>50</v>
      </c>
      <c r="S3">
        <v>400</v>
      </c>
      <c r="T3" t="s">
        <v>61</v>
      </c>
      <c r="U3" t="s">
        <v>62</v>
      </c>
      <c r="V3">
        <v>810</v>
      </c>
      <c r="W3">
        <v>53.5</v>
      </c>
      <c r="X3">
        <v>742.2</v>
      </c>
      <c r="Y3">
        <v>82.5</v>
      </c>
      <c r="Z3">
        <v>133</v>
      </c>
      <c r="AA3">
        <v>519.5</v>
      </c>
      <c r="AB3">
        <v>707</v>
      </c>
      <c r="AC3" t="s">
        <v>63</v>
      </c>
      <c r="AD3" t="s">
        <v>63</v>
      </c>
      <c r="AE3" t="s">
        <v>63</v>
      </c>
      <c r="AF3" t="s">
        <v>64</v>
      </c>
      <c r="AG3" t="s">
        <v>64</v>
      </c>
      <c r="AH3">
        <v>95.5</v>
      </c>
      <c r="AI3">
        <v>266</v>
      </c>
      <c r="AJ3">
        <v>392</v>
      </c>
      <c r="AK3">
        <v>524</v>
      </c>
      <c r="AL3">
        <v>707</v>
      </c>
      <c r="AM3" t="s">
        <v>56</v>
      </c>
      <c r="AN3" t="s">
        <v>64</v>
      </c>
      <c r="AO3" t="s">
        <v>64</v>
      </c>
      <c r="AP3" t="s">
        <v>64</v>
      </c>
      <c r="AQ3" t="s">
        <v>64</v>
      </c>
      <c r="AR3">
        <v>39</v>
      </c>
    </row>
    <row r="4" spans="1:44" hidden="1">
      <c r="A4" t="s">
        <v>65</v>
      </c>
      <c r="B4" t="s">
        <v>66</v>
      </c>
      <c r="C4" t="s">
        <v>67</v>
      </c>
      <c r="D4" t="s">
        <v>68</v>
      </c>
      <c r="E4" t="s">
        <v>69</v>
      </c>
      <c r="F4" t="s">
        <v>48</v>
      </c>
      <c r="G4">
        <v>93</v>
      </c>
      <c r="H4" t="s">
        <v>70</v>
      </c>
      <c r="I4" t="s">
        <v>71</v>
      </c>
      <c r="J4">
        <v>1</v>
      </c>
      <c r="K4" t="s">
        <v>50</v>
      </c>
      <c r="L4">
        <v>2.8</v>
      </c>
      <c r="M4">
        <v>2.87</v>
      </c>
      <c r="N4">
        <v>5.9944337400984793</v>
      </c>
      <c r="O4">
        <v>6.1442945836009422</v>
      </c>
      <c r="P4" t="s">
        <v>60</v>
      </c>
      <c r="Q4" t="s">
        <v>50</v>
      </c>
      <c r="R4" t="s">
        <v>50</v>
      </c>
      <c r="S4">
        <v>200</v>
      </c>
      <c r="T4" t="s">
        <v>72</v>
      </c>
      <c r="U4" t="s">
        <v>73</v>
      </c>
      <c r="V4">
        <v>1337</v>
      </c>
      <c r="W4">
        <v>93</v>
      </c>
      <c r="X4">
        <v>612.1</v>
      </c>
      <c r="Y4">
        <v>147</v>
      </c>
      <c r="Z4">
        <v>221</v>
      </c>
      <c r="AA4">
        <v>297.5</v>
      </c>
      <c r="AB4">
        <v>556.5</v>
      </c>
      <c r="AC4" t="s">
        <v>56</v>
      </c>
      <c r="AD4" t="s">
        <v>54</v>
      </c>
      <c r="AE4" t="s">
        <v>54</v>
      </c>
      <c r="AF4" t="s">
        <v>54</v>
      </c>
      <c r="AG4" t="s">
        <v>57</v>
      </c>
      <c r="AH4">
        <v>93</v>
      </c>
      <c r="AI4">
        <v>192</v>
      </c>
      <c r="AJ4">
        <v>270.5</v>
      </c>
      <c r="AK4">
        <v>395</v>
      </c>
      <c r="AL4">
        <v>600.5</v>
      </c>
      <c r="AM4" t="s">
        <v>56</v>
      </c>
      <c r="AN4" t="s">
        <v>56</v>
      </c>
      <c r="AO4" t="s">
        <v>56</v>
      </c>
      <c r="AP4" t="s">
        <v>56</v>
      </c>
      <c r="AQ4" t="s">
        <v>58</v>
      </c>
      <c r="AR4">
        <v>24</v>
      </c>
    </row>
    <row r="5" spans="1:44" hidden="1">
      <c r="A5" t="s">
        <v>65</v>
      </c>
      <c r="B5" t="s">
        <v>66</v>
      </c>
      <c r="C5" t="s">
        <v>67</v>
      </c>
      <c r="D5" t="s">
        <v>68</v>
      </c>
      <c r="E5" t="s">
        <v>69</v>
      </c>
      <c r="F5" t="s">
        <v>48</v>
      </c>
      <c r="G5">
        <v>94</v>
      </c>
      <c r="H5" t="s">
        <v>74</v>
      </c>
      <c r="I5">
        <v>38569.375</v>
      </c>
      <c r="J5">
        <v>2</v>
      </c>
      <c r="K5">
        <v>1.0941780821917808</v>
      </c>
      <c r="L5">
        <v>2.87</v>
      </c>
      <c r="M5">
        <v>0.9</v>
      </c>
      <c r="N5">
        <v>6.1442945836009422</v>
      </c>
      <c r="O5">
        <v>1.9267822736030826</v>
      </c>
      <c r="P5" t="s">
        <v>51</v>
      </c>
      <c r="Q5">
        <v>1</v>
      </c>
      <c r="R5" t="s">
        <v>50</v>
      </c>
      <c r="S5">
        <v>300</v>
      </c>
      <c r="T5" t="s">
        <v>72</v>
      </c>
      <c r="U5" t="s">
        <v>73</v>
      </c>
      <c r="V5">
        <v>1055.5</v>
      </c>
      <c r="W5">
        <v>27</v>
      </c>
      <c r="X5">
        <v>615</v>
      </c>
      <c r="Y5">
        <v>86.5</v>
      </c>
      <c r="Z5">
        <v>220</v>
      </c>
      <c r="AA5">
        <v>431</v>
      </c>
      <c r="AB5">
        <v>615</v>
      </c>
      <c r="AC5" t="s">
        <v>63</v>
      </c>
      <c r="AD5" t="s">
        <v>63</v>
      </c>
      <c r="AE5" t="s">
        <v>54</v>
      </c>
      <c r="AF5" t="s">
        <v>57</v>
      </c>
      <c r="AG5" t="s">
        <v>58</v>
      </c>
      <c r="AH5">
        <v>78</v>
      </c>
      <c r="AI5">
        <v>164</v>
      </c>
      <c r="AJ5">
        <v>295</v>
      </c>
      <c r="AK5">
        <v>450.5</v>
      </c>
      <c r="AL5">
        <v>642</v>
      </c>
      <c r="AM5" t="s">
        <v>54</v>
      </c>
      <c r="AN5" t="s">
        <v>55</v>
      </c>
      <c r="AO5" t="s">
        <v>57</v>
      </c>
      <c r="AP5" t="s">
        <v>58</v>
      </c>
      <c r="AQ5" t="s">
        <v>58</v>
      </c>
      <c r="AR5">
        <v>24</v>
      </c>
    </row>
    <row r="6" spans="1:44" hidden="1">
      <c r="A6" t="s">
        <v>65</v>
      </c>
      <c r="B6" t="s">
        <v>66</v>
      </c>
      <c r="C6" t="s">
        <v>67</v>
      </c>
      <c r="D6" t="s">
        <v>75</v>
      </c>
      <c r="E6" t="s">
        <v>69</v>
      </c>
      <c r="F6" t="s">
        <v>48</v>
      </c>
      <c r="G6">
        <v>93</v>
      </c>
      <c r="H6" t="s">
        <v>70</v>
      </c>
      <c r="I6" t="s">
        <v>71</v>
      </c>
      <c r="J6">
        <v>1</v>
      </c>
      <c r="K6" t="s">
        <v>50</v>
      </c>
      <c r="L6">
        <v>18.149999999999999</v>
      </c>
      <c r="M6">
        <v>13.34</v>
      </c>
      <c r="N6">
        <v>5.3974484789008832</v>
      </c>
      <c r="O6">
        <v>3.9670502869717787</v>
      </c>
      <c r="P6" t="s">
        <v>60</v>
      </c>
      <c r="Q6" t="s">
        <v>50</v>
      </c>
      <c r="R6" t="s">
        <v>50</v>
      </c>
      <c r="S6">
        <v>200</v>
      </c>
      <c r="T6" t="s">
        <v>72</v>
      </c>
      <c r="U6" t="s">
        <v>73</v>
      </c>
      <c r="V6">
        <v>1337</v>
      </c>
      <c r="W6">
        <v>93</v>
      </c>
      <c r="X6">
        <v>612.1</v>
      </c>
      <c r="Y6">
        <v>147</v>
      </c>
      <c r="Z6">
        <v>221</v>
      </c>
      <c r="AA6">
        <v>297.5</v>
      </c>
      <c r="AB6">
        <v>556.5</v>
      </c>
      <c r="AC6" t="s">
        <v>56</v>
      </c>
      <c r="AD6" t="s">
        <v>54</v>
      </c>
      <c r="AE6" t="s">
        <v>54</v>
      </c>
      <c r="AF6" t="s">
        <v>54</v>
      </c>
      <c r="AG6" t="s">
        <v>57</v>
      </c>
      <c r="AH6">
        <v>93</v>
      </c>
      <c r="AI6">
        <v>192</v>
      </c>
      <c r="AJ6">
        <v>270.5</v>
      </c>
      <c r="AK6">
        <v>395</v>
      </c>
      <c r="AL6">
        <v>600.5</v>
      </c>
      <c r="AM6" t="s">
        <v>56</v>
      </c>
      <c r="AN6" t="s">
        <v>56</v>
      </c>
      <c r="AO6" t="s">
        <v>56</v>
      </c>
      <c r="AP6" t="s">
        <v>56</v>
      </c>
      <c r="AQ6" t="s">
        <v>58</v>
      </c>
      <c r="AR6">
        <v>24</v>
      </c>
    </row>
    <row r="7" spans="1:44" hidden="1">
      <c r="A7" t="s">
        <v>65</v>
      </c>
      <c r="B7" t="s">
        <v>66</v>
      </c>
      <c r="C7" t="s">
        <v>67</v>
      </c>
      <c r="D7" t="s">
        <v>75</v>
      </c>
      <c r="E7" t="s">
        <v>69</v>
      </c>
      <c r="F7" t="s">
        <v>48</v>
      </c>
      <c r="G7">
        <v>94</v>
      </c>
      <c r="H7" t="s">
        <v>74</v>
      </c>
      <c r="I7">
        <v>38569.416666666664</v>
      </c>
      <c r="J7">
        <v>2</v>
      </c>
      <c r="K7">
        <v>1.0942922374429158</v>
      </c>
      <c r="L7">
        <v>3.45</v>
      </c>
      <c r="M7">
        <v>1.72</v>
      </c>
      <c r="N7">
        <v>1.0259612811133911</v>
      </c>
      <c r="O7">
        <v>0.51149374014928484</v>
      </c>
      <c r="P7" t="s">
        <v>51</v>
      </c>
      <c r="Q7">
        <v>1</v>
      </c>
      <c r="R7" t="s">
        <v>50</v>
      </c>
      <c r="S7">
        <v>300</v>
      </c>
      <c r="T7" t="s">
        <v>72</v>
      </c>
      <c r="U7" t="s">
        <v>73</v>
      </c>
      <c r="V7">
        <v>1055.5</v>
      </c>
      <c r="W7">
        <v>27</v>
      </c>
      <c r="X7">
        <v>642</v>
      </c>
      <c r="Y7">
        <v>83</v>
      </c>
      <c r="Z7">
        <v>208</v>
      </c>
      <c r="AA7">
        <v>450</v>
      </c>
      <c r="AB7">
        <v>636</v>
      </c>
      <c r="AC7" t="s">
        <v>63</v>
      </c>
      <c r="AD7" t="s">
        <v>63</v>
      </c>
      <c r="AE7" t="s">
        <v>54</v>
      </c>
      <c r="AF7" t="s">
        <v>58</v>
      </c>
      <c r="AG7" t="s">
        <v>58</v>
      </c>
      <c r="AH7">
        <v>78</v>
      </c>
      <c r="AI7">
        <v>164</v>
      </c>
      <c r="AJ7">
        <v>295</v>
      </c>
      <c r="AK7">
        <v>450.5</v>
      </c>
      <c r="AL7">
        <v>642</v>
      </c>
      <c r="AM7" t="s">
        <v>54</v>
      </c>
      <c r="AN7" t="s">
        <v>55</v>
      </c>
      <c r="AO7" t="s">
        <v>57</v>
      </c>
      <c r="AP7" t="s">
        <v>58</v>
      </c>
      <c r="AQ7" t="s">
        <v>58</v>
      </c>
      <c r="AR7">
        <v>25</v>
      </c>
    </row>
    <row r="8" spans="1:44" hidden="1">
      <c r="A8" t="s">
        <v>76</v>
      </c>
      <c r="B8" t="s">
        <v>77</v>
      </c>
      <c r="C8" t="s">
        <v>78</v>
      </c>
      <c r="D8" t="s">
        <v>79</v>
      </c>
      <c r="F8" t="s">
        <v>48</v>
      </c>
      <c r="G8">
        <v>90</v>
      </c>
      <c r="H8" t="s">
        <v>80</v>
      </c>
      <c r="I8">
        <v>37102</v>
      </c>
      <c r="J8">
        <v>1</v>
      </c>
      <c r="K8" t="s">
        <v>50</v>
      </c>
      <c r="L8">
        <v>0</v>
      </c>
      <c r="M8">
        <v>4.7807970900000001</v>
      </c>
      <c r="N8">
        <v>0</v>
      </c>
      <c r="O8">
        <v>8.0539034535040432</v>
      </c>
      <c r="P8" t="s">
        <v>60</v>
      </c>
      <c r="Q8" t="s">
        <v>50</v>
      </c>
      <c r="R8" t="s">
        <v>50</v>
      </c>
      <c r="S8" t="s">
        <v>81</v>
      </c>
      <c r="T8" t="s">
        <v>82</v>
      </c>
      <c r="U8" t="s">
        <v>83</v>
      </c>
      <c r="V8">
        <v>342</v>
      </c>
      <c r="W8">
        <v>87.5</v>
      </c>
      <c r="X8">
        <v>242.5</v>
      </c>
      <c r="Y8">
        <v>106</v>
      </c>
      <c r="Z8">
        <v>173.5</v>
      </c>
      <c r="AA8">
        <v>237.5</v>
      </c>
      <c r="AB8">
        <v>237.5</v>
      </c>
      <c r="AC8" t="s">
        <v>56</v>
      </c>
      <c r="AD8" t="s">
        <v>63</v>
      </c>
      <c r="AE8" t="s">
        <v>63</v>
      </c>
      <c r="AF8" t="s">
        <v>63</v>
      </c>
      <c r="AG8" t="s">
        <v>63</v>
      </c>
      <c r="AH8">
        <v>87.5</v>
      </c>
      <c r="AI8">
        <v>150</v>
      </c>
      <c r="AJ8">
        <v>183</v>
      </c>
      <c r="AK8">
        <v>287</v>
      </c>
      <c r="AL8">
        <v>342</v>
      </c>
      <c r="AM8" t="s">
        <v>56</v>
      </c>
      <c r="AN8" t="s">
        <v>54</v>
      </c>
      <c r="AO8" t="s">
        <v>54</v>
      </c>
      <c r="AP8" t="s">
        <v>54</v>
      </c>
      <c r="AQ8" t="s">
        <v>54</v>
      </c>
      <c r="AR8">
        <v>12</v>
      </c>
    </row>
    <row r="9" spans="1:44" hidden="1">
      <c r="A9" t="s">
        <v>76</v>
      </c>
      <c r="B9" t="s">
        <v>77</v>
      </c>
      <c r="C9" t="s">
        <v>78</v>
      </c>
      <c r="D9" t="s">
        <v>79</v>
      </c>
      <c r="F9" t="s">
        <v>48</v>
      </c>
      <c r="G9">
        <v>93</v>
      </c>
      <c r="H9" t="s">
        <v>70</v>
      </c>
      <c r="I9">
        <v>38171</v>
      </c>
      <c r="J9">
        <v>2</v>
      </c>
      <c r="K9">
        <v>2.9287671232876713</v>
      </c>
      <c r="L9">
        <v>1.17</v>
      </c>
      <c r="M9">
        <v>0.35163900256199998</v>
      </c>
      <c r="N9">
        <v>1.9710242587601079</v>
      </c>
      <c r="O9">
        <v>0.59238376442385443</v>
      </c>
      <c r="P9" t="s">
        <v>60</v>
      </c>
      <c r="Q9" t="s">
        <v>50</v>
      </c>
      <c r="R9" t="s">
        <v>50</v>
      </c>
      <c r="S9">
        <v>200</v>
      </c>
      <c r="T9" t="s">
        <v>82</v>
      </c>
      <c r="U9" t="s">
        <v>83</v>
      </c>
      <c r="V9">
        <v>507</v>
      </c>
      <c r="W9">
        <v>55.5</v>
      </c>
      <c r="X9">
        <v>407.5</v>
      </c>
      <c r="Y9">
        <v>111.5</v>
      </c>
      <c r="Z9">
        <v>159.5</v>
      </c>
      <c r="AA9">
        <v>198</v>
      </c>
      <c r="AB9">
        <v>366</v>
      </c>
      <c r="AC9" t="s">
        <v>63</v>
      </c>
      <c r="AD9" t="s">
        <v>63</v>
      </c>
      <c r="AE9" t="s">
        <v>63</v>
      </c>
      <c r="AF9" t="s">
        <v>63</v>
      </c>
      <c r="AG9" t="s">
        <v>54</v>
      </c>
      <c r="AH9">
        <v>55.5</v>
      </c>
      <c r="AI9">
        <v>111.5</v>
      </c>
      <c r="AJ9">
        <v>159.5</v>
      </c>
      <c r="AK9">
        <v>257</v>
      </c>
      <c r="AL9">
        <v>366</v>
      </c>
      <c r="AM9" t="s">
        <v>63</v>
      </c>
      <c r="AN9" t="s">
        <v>63</v>
      </c>
      <c r="AO9" t="s">
        <v>63</v>
      </c>
      <c r="AP9" t="s">
        <v>54</v>
      </c>
      <c r="AQ9" t="s">
        <v>54</v>
      </c>
      <c r="AR9">
        <v>25</v>
      </c>
    </row>
    <row r="10" spans="1:44">
      <c r="A10" t="s">
        <v>76</v>
      </c>
      <c r="B10" t="s">
        <v>77</v>
      </c>
      <c r="C10" t="s">
        <v>78</v>
      </c>
      <c r="D10" t="s">
        <v>79</v>
      </c>
      <c r="F10" t="s">
        <v>48</v>
      </c>
      <c r="G10">
        <v>97</v>
      </c>
      <c r="H10" t="s">
        <v>84</v>
      </c>
      <c r="I10">
        <v>39706.208333333336</v>
      </c>
      <c r="J10">
        <v>3</v>
      </c>
      <c r="K10">
        <v>4.2060502283105086</v>
      </c>
      <c r="L10">
        <v>0</v>
      </c>
      <c r="M10">
        <v>0</v>
      </c>
      <c r="N10">
        <v>0</v>
      </c>
      <c r="O10">
        <v>0</v>
      </c>
      <c r="P10" t="s">
        <v>51</v>
      </c>
      <c r="Q10">
        <v>1</v>
      </c>
      <c r="R10" t="s">
        <v>50</v>
      </c>
      <c r="S10">
        <v>250</v>
      </c>
      <c r="T10" t="s">
        <v>85</v>
      </c>
      <c r="U10" t="s">
        <v>86</v>
      </c>
      <c r="V10">
        <v>1211</v>
      </c>
      <c r="W10">
        <v>44.5</v>
      </c>
      <c r="X10">
        <v>737.4</v>
      </c>
      <c r="Y10">
        <v>104</v>
      </c>
      <c r="Z10">
        <v>157.5</v>
      </c>
      <c r="AA10">
        <v>264</v>
      </c>
      <c r="AB10">
        <v>640</v>
      </c>
      <c r="AC10" t="s">
        <v>63</v>
      </c>
      <c r="AD10" t="s">
        <v>63</v>
      </c>
      <c r="AE10" t="s">
        <v>63</v>
      </c>
      <c r="AF10" t="s">
        <v>54</v>
      </c>
      <c r="AG10" t="s">
        <v>58</v>
      </c>
      <c r="AH10">
        <v>69.5</v>
      </c>
      <c r="AI10">
        <v>186</v>
      </c>
      <c r="AJ10">
        <v>341</v>
      </c>
      <c r="AK10">
        <v>582.5</v>
      </c>
      <c r="AL10">
        <v>838.5</v>
      </c>
      <c r="AM10" t="s">
        <v>54</v>
      </c>
      <c r="AN10" t="s">
        <v>56</v>
      </c>
      <c r="AO10" t="s">
        <v>87</v>
      </c>
      <c r="AP10" t="s">
        <v>64</v>
      </c>
      <c r="AQ10" t="s">
        <v>64</v>
      </c>
      <c r="AR10">
        <v>35</v>
      </c>
    </row>
    <row r="11" spans="1:44">
      <c r="A11" t="s">
        <v>76</v>
      </c>
      <c r="B11" t="s">
        <v>77</v>
      </c>
      <c r="C11" t="s">
        <v>78</v>
      </c>
      <c r="D11" t="s">
        <v>79</v>
      </c>
      <c r="F11" t="s">
        <v>48</v>
      </c>
      <c r="G11">
        <v>112</v>
      </c>
      <c r="H11" t="s">
        <v>88</v>
      </c>
      <c r="I11">
        <v>45142.708333333336</v>
      </c>
      <c r="J11">
        <v>4</v>
      </c>
      <c r="K11">
        <v>14.894520547945206</v>
      </c>
      <c r="L11">
        <v>0</v>
      </c>
      <c r="M11">
        <v>0.3</v>
      </c>
      <c r="N11">
        <v>0</v>
      </c>
      <c r="O11">
        <v>0.50539083557951481</v>
      </c>
      <c r="P11" t="s">
        <v>51</v>
      </c>
      <c r="Q11">
        <v>2</v>
      </c>
      <c r="R11">
        <v>14.894520547945206</v>
      </c>
      <c r="S11">
        <v>300</v>
      </c>
      <c r="T11" t="s">
        <v>89</v>
      </c>
      <c r="U11" t="s">
        <v>90</v>
      </c>
      <c r="V11">
        <v>864</v>
      </c>
      <c r="W11">
        <v>112</v>
      </c>
      <c r="X11">
        <v>782</v>
      </c>
      <c r="Y11">
        <v>225</v>
      </c>
      <c r="Z11">
        <v>384</v>
      </c>
      <c r="AA11">
        <v>542</v>
      </c>
      <c r="AB11">
        <v>783.5</v>
      </c>
      <c r="AC11" t="s">
        <v>87</v>
      </c>
      <c r="AD11" t="s">
        <v>87</v>
      </c>
      <c r="AE11" t="s">
        <v>64</v>
      </c>
      <c r="AF11" t="s">
        <v>64</v>
      </c>
      <c r="AG11" t="s">
        <v>64</v>
      </c>
      <c r="AH11">
        <v>112.5</v>
      </c>
      <c r="AI11">
        <v>225</v>
      </c>
      <c r="AJ11">
        <v>384</v>
      </c>
      <c r="AK11">
        <v>542</v>
      </c>
      <c r="AL11">
        <v>783.5</v>
      </c>
      <c r="AM11" t="s">
        <v>87</v>
      </c>
      <c r="AN11" t="s">
        <v>87</v>
      </c>
      <c r="AO11" t="s">
        <v>64</v>
      </c>
      <c r="AP11" t="s">
        <v>64</v>
      </c>
      <c r="AQ11" t="s">
        <v>64</v>
      </c>
      <c r="AR11">
        <v>39</v>
      </c>
    </row>
    <row r="12" spans="1:44" hidden="1">
      <c r="A12" t="s">
        <v>76</v>
      </c>
      <c r="B12" t="s">
        <v>77</v>
      </c>
      <c r="C12" t="s">
        <v>78</v>
      </c>
      <c r="D12" t="s">
        <v>91</v>
      </c>
      <c r="E12" t="s">
        <v>92</v>
      </c>
      <c r="F12" t="s">
        <v>48</v>
      </c>
      <c r="G12">
        <v>90</v>
      </c>
      <c r="H12" t="s">
        <v>80</v>
      </c>
      <c r="I12">
        <v>37102</v>
      </c>
      <c r="J12">
        <v>1</v>
      </c>
      <c r="K12" t="s">
        <v>50</v>
      </c>
      <c r="L12">
        <v>1.35</v>
      </c>
      <c r="M12">
        <v>3.43</v>
      </c>
      <c r="N12">
        <v>1.1721802552748113</v>
      </c>
      <c r="O12">
        <v>2.9782061300685942</v>
      </c>
      <c r="P12" t="s">
        <v>60</v>
      </c>
      <c r="Q12" t="s">
        <v>50</v>
      </c>
      <c r="R12" t="s">
        <v>50</v>
      </c>
      <c r="S12" t="s">
        <v>81</v>
      </c>
      <c r="T12" t="s">
        <v>82</v>
      </c>
      <c r="U12" t="s">
        <v>83</v>
      </c>
      <c r="V12">
        <v>342</v>
      </c>
      <c r="W12">
        <v>87.5</v>
      </c>
      <c r="X12">
        <v>242.5</v>
      </c>
      <c r="Y12">
        <v>106</v>
      </c>
      <c r="Z12">
        <v>173.5</v>
      </c>
      <c r="AA12">
        <v>237.5</v>
      </c>
      <c r="AB12">
        <v>237.5</v>
      </c>
      <c r="AC12" t="s">
        <v>56</v>
      </c>
      <c r="AD12" t="s">
        <v>63</v>
      </c>
      <c r="AE12" t="s">
        <v>63</v>
      </c>
      <c r="AF12" t="s">
        <v>63</v>
      </c>
      <c r="AG12" t="s">
        <v>63</v>
      </c>
      <c r="AH12">
        <v>87.5</v>
      </c>
      <c r="AI12">
        <v>150</v>
      </c>
      <c r="AJ12">
        <v>183</v>
      </c>
      <c r="AK12">
        <v>287</v>
      </c>
      <c r="AL12">
        <v>342</v>
      </c>
      <c r="AM12" t="s">
        <v>56</v>
      </c>
      <c r="AN12" t="s">
        <v>54</v>
      </c>
      <c r="AO12" t="s">
        <v>54</v>
      </c>
      <c r="AP12" t="s">
        <v>54</v>
      </c>
      <c r="AQ12" t="s">
        <v>54</v>
      </c>
      <c r="AR12">
        <v>12</v>
      </c>
    </row>
    <row r="13" spans="1:44" hidden="1">
      <c r="A13" t="s">
        <v>76</v>
      </c>
      <c r="B13" t="s">
        <v>77</v>
      </c>
      <c r="C13" t="s">
        <v>78</v>
      </c>
      <c r="D13" t="s">
        <v>91</v>
      </c>
      <c r="E13" t="s">
        <v>92</v>
      </c>
      <c r="F13" t="s">
        <v>48</v>
      </c>
      <c r="G13">
        <v>93</v>
      </c>
      <c r="H13" t="s">
        <v>70</v>
      </c>
      <c r="I13">
        <v>38171</v>
      </c>
      <c r="J13">
        <v>2</v>
      </c>
      <c r="K13">
        <v>2.9287671232876713</v>
      </c>
      <c r="L13">
        <v>1.1599999999999999</v>
      </c>
      <c r="M13">
        <v>0</v>
      </c>
      <c r="N13">
        <v>1.0072067378657634</v>
      </c>
      <c r="O13">
        <v>0</v>
      </c>
      <c r="P13" t="s">
        <v>60</v>
      </c>
      <c r="Q13" t="s">
        <v>50</v>
      </c>
      <c r="R13" t="s">
        <v>50</v>
      </c>
      <c r="S13">
        <v>200</v>
      </c>
      <c r="T13" t="s">
        <v>82</v>
      </c>
      <c r="U13" t="s">
        <v>83</v>
      </c>
      <c r="V13">
        <v>507</v>
      </c>
      <c r="W13">
        <v>55.5</v>
      </c>
      <c r="X13">
        <v>407.5</v>
      </c>
      <c r="Y13">
        <v>111.5</v>
      </c>
      <c r="Z13">
        <v>159.5</v>
      </c>
      <c r="AA13">
        <v>198</v>
      </c>
      <c r="AB13">
        <v>366</v>
      </c>
      <c r="AC13" t="s">
        <v>63</v>
      </c>
      <c r="AD13" t="s">
        <v>63</v>
      </c>
      <c r="AE13" t="s">
        <v>63</v>
      </c>
      <c r="AF13" t="s">
        <v>63</v>
      </c>
      <c r="AG13" t="s">
        <v>54</v>
      </c>
      <c r="AH13">
        <v>55.5</v>
      </c>
      <c r="AI13">
        <v>111.5</v>
      </c>
      <c r="AJ13">
        <v>159.5</v>
      </c>
      <c r="AK13">
        <v>257</v>
      </c>
      <c r="AL13">
        <v>366</v>
      </c>
      <c r="AM13" t="s">
        <v>63</v>
      </c>
      <c r="AN13" t="s">
        <v>63</v>
      </c>
      <c r="AO13" t="s">
        <v>63</v>
      </c>
      <c r="AP13" t="s">
        <v>54</v>
      </c>
      <c r="AQ13" t="s">
        <v>54</v>
      </c>
      <c r="AR13">
        <v>25</v>
      </c>
    </row>
    <row r="14" spans="1:44">
      <c r="A14" t="s">
        <v>76</v>
      </c>
      <c r="B14" t="s">
        <v>77</v>
      </c>
      <c r="C14" t="s">
        <v>78</v>
      </c>
      <c r="D14" t="s">
        <v>91</v>
      </c>
      <c r="E14" t="s">
        <v>92</v>
      </c>
      <c r="F14" t="s">
        <v>48</v>
      </c>
      <c r="G14">
        <v>97</v>
      </c>
      <c r="H14" t="s">
        <v>84</v>
      </c>
      <c r="I14">
        <v>39706.333333333336</v>
      </c>
      <c r="J14">
        <v>3</v>
      </c>
      <c r="K14">
        <v>4.2063926940639336</v>
      </c>
      <c r="L14">
        <v>0</v>
      </c>
      <c r="M14">
        <v>0.27</v>
      </c>
      <c r="N14">
        <v>0</v>
      </c>
      <c r="O14">
        <v>0.23443605105496224</v>
      </c>
      <c r="P14" t="s">
        <v>51</v>
      </c>
      <c r="Q14">
        <v>1</v>
      </c>
      <c r="R14" t="s">
        <v>50</v>
      </c>
      <c r="S14">
        <v>300</v>
      </c>
      <c r="T14" t="s">
        <v>85</v>
      </c>
      <c r="U14" t="s">
        <v>86</v>
      </c>
      <c r="V14">
        <v>1211</v>
      </c>
      <c r="W14">
        <v>55.5</v>
      </c>
      <c r="X14">
        <v>917.8</v>
      </c>
      <c r="Y14">
        <v>186</v>
      </c>
      <c r="Z14">
        <v>290</v>
      </c>
      <c r="AA14">
        <v>377</v>
      </c>
      <c r="AB14">
        <v>762</v>
      </c>
      <c r="AC14" t="s">
        <v>63</v>
      </c>
      <c r="AD14" t="s">
        <v>56</v>
      </c>
      <c r="AE14" t="s">
        <v>57</v>
      </c>
      <c r="AF14" t="s">
        <v>56</v>
      </c>
      <c r="AG14" t="s">
        <v>64</v>
      </c>
      <c r="AH14">
        <v>69.5</v>
      </c>
      <c r="AI14">
        <v>186</v>
      </c>
      <c r="AJ14">
        <v>341</v>
      </c>
      <c r="AK14">
        <v>582.5</v>
      </c>
      <c r="AL14">
        <v>838.5</v>
      </c>
      <c r="AM14" t="s">
        <v>54</v>
      </c>
      <c r="AN14" t="s">
        <v>56</v>
      </c>
      <c r="AO14" t="s">
        <v>87</v>
      </c>
      <c r="AP14" t="s">
        <v>64</v>
      </c>
      <c r="AQ14" t="s">
        <v>64</v>
      </c>
      <c r="AR14">
        <v>38</v>
      </c>
    </row>
    <row r="15" spans="1:44">
      <c r="A15" t="s">
        <v>76</v>
      </c>
      <c r="B15" t="s">
        <v>77</v>
      </c>
      <c r="C15" t="s">
        <v>78</v>
      </c>
      <c r="D15" t="s">
        <v>91</v>
      </c>
      <c r="E15" t="s">
        <v>92</v>
      </c>
      <c r="F15" t="s">
        <v>48</v>
      </c>
      <c r="G15">
        <v>112</v>
      </c>
      <c r="H15" t="s">
        <v>88</v>
      </c>
      <c r="I15">
        <v>45142.625</v>
      </c>
      <c r="J15">
        <v>4</v>
      </c>
      <c r="K15">
        <v>14.89394977168949</v>
      </c>
      <c r="L15">
        <v>0</v>
      </c>
      <c r="M15">
        <v>0</v>
      </c>
      <c r="N15">
        <v>0</v>
      </c>
      <c r="O15">
        <v>0</v>
      </c>
      <c r="P15" t="s">
        <v>51</v>
      </c>
      <c r="Q15">
        <v>2</v>
      </c>
      <c r="R15">
        <v>14.89394977168949</v>
      </c>
      <c r="S15">
        <v>300</v>
      </c>
      <c r="T15" t="s">
        <v>89</v>
      </c>
      <c r="U15" t="s">
        <v>90</v>
      </c>
      <c r="V15">
        <v>864</v>
      </c>
      <c r="W15">
        <v>49</v>
      </c>
      <c r="X15">
        <v>648</v>
      </c>
      <c r="Y15">
        <v>115</v>
      </c>
      <c r="Z15">
        <v>260.5</v>
      </c>
      <c r="AA15">
        <v>425.5</v>
      </c>
      <c r="AB15">
        <v>628</v>
      </c>
      <c r="AC15" t="s">
        <v>63</v>
      </c>
      <c r="AD15" t="s">
        <v>63</v>
      </c>
      <c r="AE15" t="s">
        <v>57</v>
      </c>
      <c r="AF15" t="s">
        <v>87</v>
      </c>
      <c r="AG15" t="s">
        <v>64</v>
      </c>
      <c r="AH15">
        <v>112.5</v>
      </c>
      <c r="AI15">
        <v>225</v>
      </c>
      <c r="AJ15">
        <v>384</v>
      </c>
      <c r="AK15">
        <v>542</v>
      </c>
      <c r="AL15">
        <v>783.5</v>
      </c>
      <c r="AM15" t="s">
        <v>87</v>
      </c>
      <c r="AN15" t="s">
        <v>87</v>
      </c>
      <c r="AO15" t="s">
        <v>64</v>
      </c>
      <c r="AP15" t="s">
        <v>64</v>
      </c>
      <c r="AQ15" t="s">
        <v>64</v>
      </c>
      <c r="AR15">
        <v>37</v>
      </c>
    </row>
    <row r="16" spans="1:44" hidden="1">
      <c r="A16" t="s">
        <v>76</v>
      </c>
      <c r="B16" t="s">
        <v>77</v>
      </c>
      <c r="C16" t="s">
        <v>93</v>
      </c>
      <c r="D16" t="s">
        <v>94</v>
      </c>
      <c r="F16" t="s">
        <v>48</v>
      </c>
      <c r="G16">
        <v>94</v>
      </c>
      <c r="H16" t="s">
        <v>95</v>
      </c>
      <c r="I16">
        <v>38552.833333333336</v>
      </c>
      <c r="J16">
        <v>1</v>
      </c>
      <c r="K16" t="s">
        <v>50</v>
      </c>
      <c r="L16">
        <v>0</v>
      </c>
      <c r="M16">
        <v>0</v>
      </c>
      <c r="N16">
        <v>0</v>
      </c>
      <c r="O16">
        <v>0</v>
      </c>
      <c r="P16" t="s">
        <v>51</v>
      </c>
      <c r="Q16">
        <v>1</v>
      </c>
      <c r="R16" t="s">
        <v>50</v>
      </c>
      <c r="S16">
        <v>300</v>
      </c>
      <c r="T16" t="s">
        <v>96</v>
      </c>
      <c r="U16" t="s">
        <v>97</v>
      </c>
      <c r="V16">
        <v>580</v>
      </c>
      <c r="W16">
        <v>48.5</v>
      </c>
      <c r="X16">
        <v>251.4</v>
      </c>
      <c r="Y16">
        <v>78</v>
      </c>
      <c r="Z16">
        <v>105.5</v>
      </c>
      <c r="AA16">
        <v>158</v>
      </c>
      <c r="AB16">
        <v>229.5</v>
      </c>
      <c r="AC16" t="s">
        <v>63</v>
      </c>
      <c r="AD16" t="s">
        <v>63</v>
      </c>
      <c r="AE16" t="s">
        <v>63</v>
      </c>
      <c r="AF16" t="s">
        <v>63</v>
      </c>
      <c r="AG16" t="s">
        <v>63</v>
      </c>
      <c r="AH16">
        <v>48.5</v>
      </c>
      <c r="AI16">
        <v>78</v>
      </c>
      <c r="AJ16">
        <v>105.5</v>
      </c>
      <c r="AK16">
        <v>158</v>
      </c>
      <c r="AL16">
        <v>278.5</v>
      </c>
      <c r="AM16" t="s">
        <v>63</v>
      </c>
      <c r="AN16" t="s">
        <v>63</v>
      </c>
      <c r="AO16" t="s">
        <v>63</v>
      </c>
      <c r="AP16" t="s">
        <v>63</v>
      </c>
      <c r="AQ16" t="s">
        <v>63</v>
      </c>
      <c r="AR16">
        <v>29</v>
      </c>
    </row>
    <row r="17" spans="1:44">
      <c r="A17" t="s">
        <v>76</v>
      </c>
      <c r="B17" t="s">
        <v>77</v>
      </c>
      <c r="C17" t="s">
        <v>93</v>
      </c>
      <c r="D17" t="s">
        <v>94</v>
      </c>
      <c r="F17" t="s">
        <v>48</v>
      </c>
      <c r="G17">
        <v>112</v>
      </c>
      <c r="H17" t="s">
        <v>88</v>
      </c>
      <c r="I17">
        <v>45143.416666666664</v>
      </c>
      <c r="J17">
        <v>2</v>
      </c>
      <c r="K17">
        <v>18.056392694063913</v>
      </c>
      <c r="L17">
        <v>0</v>
      </c>
      <c r="M17">
        <v>0.12</v>
      </c>
      <c r="N17">
        <v>0</v>
      </c>
      <c r="O17">
        <v>0.12039731112671816</v>
      </c>
      <c r="P17" t="s">
        <v>51</v>
      </c>
      <c r="Q17">
        <v>2</v>
      </c>
      <c r="R17">
        <v>18.056392694063913</v>
      </c>
      <c r="S17">
        <v>300</v>
      </c>
      <c r="T17" t="s">
        <v>96</v>
      </c>
      <c r="U17" t="s">
        <v>97</v>
      </c>
      <c r="V17">
        <v>792.5</v>
      </c>
      <c r="W17">
        <v>6</v>
      </c>
      <c r="X17">
        <v>695</v>
      </c>
      <c r="Y17">
        <v>34.5</v>
      </c>
      <c r="Z17">
        <v>34.5</v>
      </c>
      <c r="AA17">
        <v>46</v>
      </c>
      <c r="AB17">
        <v>445</v>
      </c>
      <c r="AC17" t="s">
        <v>63</v>
      </c>
      <c r="AD17" t="s">
        <v>63</v>
      </c>
      <c r="AE17" t="s">
        <v>63</v>
      </c>
      <c r="AF17" t="s">
        <v>63</v>
      </c>
      <c r="AG17" t="s">
        <v>55</v>
      </c>
      <c r="AH17">
        <v>89.5</v>
      </c>
      <c r="AI17">
        <v>247</v>
      </c>
      <c r="AJ17">
        <v>334.5</v>
      </c>
      <c r="AK17">
        <v>529.5</v>
      </c>
      <c r="AL17">
        <v>710</v>
      </c>
      <c r="AM17" t="s">
        <v>56</v>
      </c>
      <c r="AN17" t="s">
        <v>87</v>
      </c>
      <c r="AO17" t="s">
        <v>87</v>
      </c>
      <c r="AP17" t="s">
        <v>64</v>
      </c>
      <c r="AQ17" t="s">
        <v>64</v>
      </c>
      <c r="AR17">
        <v>42</v>
      </c>
    </row>
    <row r="18" spans="1:44" hidden="1">
      <c r="A18" t="s">
        <v>76</v>
      </c>
      <c r="B18" t="s">
        <v>98</v>
      </c>
      <c r="C18" t="s">
        <v>99</v>
      </c>
      <c r="D18" t="s">
        <v>100</v>
      </c>
      <c r="E18" t="s">
        <v>101</v>
      </c>
      <c r="F18" t="s">
        <v>48</v>
      </c>
      <c r="G18">
        <v>85</v>
      </c>
      <c r="H18" t="s">
        <v>102</v>
      </c>
      <c r="I18">
        <v>35277</v>
      </c>
      <c r="J18">
        <v>1</v>
      </c>
      <c r="K18" t="s">
        <v>50</v>
      </c>
      <c r="L18">
        <v>0.64</v>
      </c>
      <c r="M18">
        <v>7.79</v>
      </c>
      <c r="N18">
        <v>0.58055152394775034</v>
      </c>
      <c r="O18">
        <v>7.066400580551524</v>
      </c>
      <c r="P18" t="s">
        <v>51</v>
      </c>
      <c r="Q18">
        <v>1</v>
      </c>
      <c r="R18" t="s">
        <v>50</v>
      </c>
      <c r="S18" t="s">
        <v>81</v>
      </c>
      <c r="T18" t="s">
        <v>103</v>
      </c>
      <c r="U18" t="s">
        <v>104</v>
      </c>
      <c r="V18">
        <v>803</v>
      </c>
      <c r="W18">
        <v>71</v>
      </c>
      <c r="X18">
        <v>489.9</v>
      </c>
      <c r="Y18">
        <v>157</v>
      </c>
      <c r="Z18">
        <v>248.5</v>
      </c>
      <c r="AA18">
        <v>341</v>
      </c>
      <c r="AB18">
        <v>408.5</v>
      </c>
      <c r="AC18" t="s">
        <v>54</v>
      </c>
      <c r="AD18" t="s">
        <v>56</v>
      </c>
      <c r="AE18" t="s">
        <v>57</v>
      </c>
      <c r="AF18" t="s">
        <v>57</v>
      </c>
      <c r="AG18" t="s">
        <v>56</v>
      </c>
      <c r="AH18">
        <v>71</v>
      </c>
      <c r="AI18">
        <v>211.5</v>
      </c>
      <c r="AJ18">
        <v>386</v>
      </c>
      <c r="AK18">
        <v>587</v>
      </c>
      <c r="AL18">
        <v>754</v>
      </c>
      <c r="AM18" t="s">
        <v>54</v>
      </c>
      <c r="AN18" t="s">
        <v>87</v>
      </c>
      <c r="AO18" t="s">
        <v>64</v>
      </c>
      <c r="AP18" t="s">
        <v>64</v>
      </c>
      <c r="AQ18" t="s">
        <v>64</v>
      </c>
      <c r="AR18">
        <v>19</v>
      </c>
    </row>
    <row r="19" spans="1:44" hidden="1">
      <c r="A19" t="s">
        <v>76</v>
      </c>
      <c r="B19" t="s">
        <v>98</v>
      </c>
      <c r="C19" t="s">
        <v>99</v>
      </c>
      <c r="D19" t="s">
        <v>100</v>
      </c>
      <c r="E19" t="s">
        <v>101</v>
      </c>
      <c r="F19" t="s">
        <v>48</v>
      </c>
      <c r="G19">
        <v>90</v>
      </c>
      <c r="H19" t="s">
        <v>80</v>
      </c>
      <c r="I19">
        <v>37102</v>
      </c>
      <c r="J19">
        <v>2</v>
      </c>
      <c r="K19">
        <v>5</v>
      </c>
      <c r="L19">
        <v>33.58</v>
      </c>
      <c r="M19">
        <v>22.55</v>
      </c>
      <c r="N19">
        <v>30.460812772133529</v>
      </c>
      <c r="O19">
        <v>20.455370101596518</v>
      </c>
      <c r="P19" t="s">
        <v>60</v>
      </c>
      <c r="Q19" t="s">
        <v>50</v>
      </c>
      <c r="R19" t="s">
        <v>50</v>
      </c>
      <c r="S19" t="s">
        <v>81</v>
      </c>
      <c r="T19" t="s">
        <v>105</v>
      </c>
      <c r="U19" t="s">
        <v>106</v>
      </c>
      <c r="V19">
        <v>485.5</v>
      </c>
      <c r="W19">
        <v>130.5</v>
      </c>
      <c r="X19">
        <v>306.39999999999998</v>
      </c>
      <c r="Y19">
        <v>246</v>
      </c>
      <c r="Z19">
        <v>265</v>
      </c>
      <c r="AA19">
        <v>297.5</v>
      </c>
      <c r="AB19">
        <v>297.5</v>
      </c>
      <c r="AC19" t="s">
        <v>64</v>
      </c>
      <c r="AD19" t="s">
        <v>64</v>
      </c>
      <c r="AE19" t="s">
        <v>57</v>
      </c>
      <c r="AF19" t="s">
        <v>55</v>
      </c>
      <c r="AG19" t="s">
        <v>54</v>
      </c>
      <c r="AH19">
        <v>130.5</v>
      </c>
      <c r="AI19">
        <v>285.5</v>
      </c>
      <c r="AJ19">
        <v>403</v>
      </c>
      <c r="AK19">
        <v>454.5</v>
      </c>
      <c r="AL19">
        <v>485.5</v>
      </c>
      <c r="AM19" t="s">
        <v>64</v>
      </c>
      <c r="AN19" t="s">
        <v>64</v>
      </c>
      <c r="AO19" t="s">
        <v>64</v>
      </c>
      <c r="AP19" t="s">
        <v>64</v>
      </c>
      <c r="AQ19" t="s">
        <v>57</v>
      </c>
      <c r="AR19">
        <v>9</v>
      </c>
    </row>
    <row r="20" spans="1:44" hidden="1">
      <c r="A20" t="s">
        <v>76</v>
      </c>
      <c r="B20" t="s">
        <v>98</v>
      </c>
      <c r="C20" t="s">
        <v>107</v>
      </c>
      <c r="D20" t="s">
        <v>108</v>
      </c>
      <c r="E20" t="s">
        <v>109</v>
      </c>
      <c r="F20" t="s">
        <v>48</v>
      </c>
      <c r="G20">
        <v>85</v>
      </c>
      <c r="H20" t="s">
        <v>102</v>
      </c>
      <c r="I20">
        <v>35277</v>
      </c>
      <c r="J20">
        <v>1</v>
      </c>
      <c r="K20" t="s">
        <v>50</v>
      </c>
      <c r="L20">
        <v>4.57</v>
      </c>
      <c r="M20">
        <v>2.72</v>
      </c>
      <c r="N20">
        <v>1.3426959689740277</v>
      </c>
      <c r="O20">
        <v>0.79915383711364441</v>
      </c>
      <c r="P20" t="s">
        <v>51</v>
      </c>
      <c r="Q20">
        <v>1</v>
      </c>
      <c r="R20" t="s">
        <v>50</v>
      </c>
      <c r="S20" t="s">
        <v>81</v>
      </c>
      <c r="T20" t="s">
        <v>103</v>
      </c>
      <c r="U20" t="s">
        <v>104</v>
      </c>
      <c r="V20">
        <v>803</v>
      </c>
      <c r="W20">
        <v>71</v>
      </c>
      <c r="X20">
        <v>489.9</v>
      </c>
      <c r="Y20">
        <v>157</v>
      </c>
      <c r="Z20">
        <v>248.5</v>
      </c>
      <c r="AA20">
        <v>341</v>
      </c>
      <c r="AB20">
        <v>408.5</v>
      </c>
      <c r="AC20" t="s">
        <v>54</v>
      </c>
      <c r="AD20" t="s">
        <v>56</v>
      </c>
      <c r="AE20" t="s">
        <v>57</v>
      </c>
      <c r="AF20" t="s">
        <v>57</v>
      </c>
      <c r="AG20" t="s">
        <v>56</v>
      </c>
      <c r="AH20">
        <v>71</v>
      </c>
      <c r="AI20">
        <v>211.5</v>
      </c>
      <c r="AJ20">
        <v>386</v>
      </c>
      <c r="AK20">
        <v>587</v>
      </c>
      <c r="AL20">
        <v>754</v>
      </c>
      <c r="AM20" t="s">
        <v>54</v>
      </c>
      <c r="AN20" t="s">
        <v>87</v>
      </c>
      <c r="AO20" t="s">
        <v>64</v>
      </c>
      <c r="AP20" t="s">
        <v>64</v>
      </c>
      <c r="AQ20" t="s">
        <v>64</v>
      </c>
      <c r="AR20">
        <v>19</v>
      </c>
    </row>
    <row r="21" spans="1:44" hidden="1">
      <c r="A21" t="s">
        <v>76</v>
      </c>
      <c r="B21" t="s">
        <v>98</v>
      </c>
      <c r="C21" t="s">
        <v>107</v>
      </c>
      <c r="D21" t="s">
        <v>108</v>
      </c>
      <c r="E21" t="s">
        <v>109</v>
      </c>
      <c r="F21" t="s">
        <v>48</v>
      </c>
      <c r="G21">
        <v>90</v>
      </c>
      <c r="H21" t="s">
        <v>80</v>
      </c>
      <c r="I21">
        <v>37102</v>
      </c>
      <c r="J21">
        <v>2</v>
      </c>
      <c r="K21">
        <v>5</v>
      </c>
      <c r="L21">
        <v>7.0000000000000007E-2</v>
      </c>
      <c r="M21">
        <v>59.499482720000003</v>
      </c>
      <c r="N21">
        <v>2.0566459043365848E-2</v>
      </c>
      <c r="O21">
        <v>17.481338206604772</v>
      </c>
      <c r="P21" t="s">
        <v>60</v>
      </c>
      <c r="Q21" t="s">
        <v>50</v>
      </c>
      <c r="R21" t="s">
        <v>50</v>
      </c>
      <c r="S21" t="s">
        <v>81</v>
      </c>
      <c r="T21" t="s">
        <v>105</v>
      </c>
      <c r="U21" t="s">
        <v>106</v>
      </c>
      <c r="V21">
        <v>485.5</v>
      </c>
      <c r="W21">
        <v>130.5</v>
      </c>
      <c r="X21">
        <v>306.39999999999998</v>
      </c>
      <c r="Y21">
        <v>246</v>
      </c>
      <c r="Z21">
        <v>265</v>
      </c>
      <c r="AA21">
        <v>297.5</v>
      </c>
      <c r="AB21">
        <v>297.5</v>
      </c>
      <c r="AC21" t="s">
        <v>64</v>
      </c>
      <c r="AD21" t="s">
        <v>64</v>
      </c>
      <c r="AE21" t="s">
        <v>57</v>
      </c>
      <c r="AF21" t="s">
        <v>55</v>
      </c>
      <c r="AG21" t="s">
        <v>54</v>
      </c>
      <c r="AH21">
        <v>130.5</v>
      </c>
      <c r="AI21">
        <v>285.5</v>
      </c>
      <c r="AJ21">
        <v>403</v>
      </c>
      <c r="AK21">
        <v>454.5</v>
      </c>
      <c r="AL21">
        <v>485.5</v>
      </c>
      <c r="AM21" t="s">
        <v>64</v>
      </c>
      <c r="AN21" t="s">
        <v>64</v>
      </c>
      <c r="AO21" t="s">
        <v>64</v>
      </c>
      <c r="AP21" t="s">
        <v>64</v>
      </c>
      <c r="AQ21" t="s">
        <v>57</v>
      </c>
      <c r="AR21">
        <v>9</v>
      </c>
    </row>
    <row r="22" spans="1:44" hidden="1">
      <c r="A22" t="s">
        <v>76</v>
      </c>
      <c r="B22" t="s">
        <v>98</v>
      </c>
      <c r="C22" t="s">
        <v>107</v>
      </c>
      <c r="D22" t="s">
        <v>108</v>
      </c>
      <c r="E22" t="s">
        <v>109</v>
      </c>
      <c r="F22" t="s">
        <v>48</v>
      </c>
      <c r="G22">
        <v>94</v>
      </c>
      <c r="H22" t="s">
        <v>74</v>
      </c>
      <c r="I22">
        <v>38569.5</v>
      </c>
      <c r="J22">
        <v>3</v>
      </c>
      <c r="K22">
        <v>4.0205479452054798</v>
      </c>
      <c r="L22">
        <v>1.79</v>
      </c>
      <c r="M22">
        <v>1.63</v>
      </c>
      <c r="N22">
        <v>0.52591373839464095</v>
      </c>
      <c r="O22">
        <v>0.47890468915266182</v>
      </c>
      <c r="P22" t="s">
        <v>51</v>
      </c>
      <c r="Q22">
        <v>1</v>
      </c>
      <c r="R22" t="s">
        <v>50</v>
      </c>
      <c r="S22">
        <v>300</v>
      </c>
      <c r="T22" t="s">
        <v>105</v>
      </c>
      <c r="U22" t="s">
        <v>106</v>
      </c>
      <c r="V22">
        <v>321</v>
      </c>
      <c r="W22">
        <v>2.5</v>
      </c>
      <c r="X22">
        <v>323.5</v>
      </c>
      <c r="Y22">
        <v>2.5</v>
      </c>
      <c r="Z22">
        <v>45</v>
      </c>
      <c r="AA22">
        <v>81</v>
      </c>
      <c r="AB22">
        <v>291</v>
      </c>
      <c r="AC22" t="s">
        <v>63</v>
      </c>
      <c r="AD22" t="s">
        <v>63</v>
      </c>
      <c r="AE22" t="s">
        <v>63</v>
      </c>
      <c r="AF22" t="s">
        <v>63</v>
      </c>
      <c r="AG22" t="s">
        <v>63</v>
      </c>
      <c r="AH22">
        <v>50.5</v>
      </c>
      <c r="AI22">
        <v>96.5</v>
      </c>
      <c r="AJ22">
        <v>149.5</v>
      </c>
      <c r="AK22">
        <v>223.5</v>
      </c>
      <c r="AL22">
        <v>321</v>
      </c>
      <c r="AM22" t="s">
        <v>63</v>
      </c>
      <c r="AN22" t="s">
        <v>63</v>
      </c>
      <c r="AO22" t="s">
        <v>63</v>
      </c>
      <c r="AP22" t="s">
        <v>63</v>
      </c>
      <c r="AQ22" t="s">
        <v>54</v>
      </c>
      <c r="AR22">
        <v>23</v>
      </c>
    </row>
    <row r="23" spans="1:44">
      <c r="A23" t="s">
        <v>76</v>
      </c>
      <c r="B23" t="s">
        <v>98</v>
      </c>
      <c r="C23" t="s">
        <v>107</v>
      </c>
      <c r="D23" t="s">
        <v>108</v>
      </c>
      <c r="E23" t="s">
        <v>109</v>
      </c>
      <c r="F23" t="s">
        <v>48</v>
      </c>
      <c r="G23">
        <v>95</v>
      </c>
      <c r="H23" t="s">
        <v>110</v>
      </c>
      <c r="I23">
        <v>38878.5</v>
      </c>
      <c r="J23">
        <v>4</v>
      </c>
      <c r="K23">
        <v>0.84657534246575339</v>
      </c>
      <c r="L23">
        <v>1.63</v>
      </c>
      <c r="M23">
        <v>5</v>
      </c>
      <c r="N23">
        <v>0.47890468915266182</v>
      </c>
      <c r="O23">
        <v>1.4690327888118462</v>
      </c>
      <c r="P23" t="s">
        <v>51</v>
      </c>
      <c r="Q23">
        <v>2</v>
      </c>
      <c r="R23">
        <v>0.84657534246575339</v>
      </c>
      <c r="S23">
        <v>200</v>
      </c>
      <c r="T23" t="s">
        <v>105</v>
      </c>
      <c r="U23" t="s">
        <v>106</v>
      </c>
      <c r="V23">
        <v>445.5</v>
      </c>
      <c r="W23">
        <v>3.5</v>
      </c>
      <c r="X23">
        <v>401.6</v>
      </c>
      <c r="Y23">
        <v>24</v>
      </c>
      <c r="Z23">
        <v>93</v>
      </c>
      <c r="AA23">
        <v>138</v>
      </c>
      <c r="AB23">
        <v>263</v>
      </c>
      <c r="AC23" t="s">
        <v>63</v>
      </c>
      <c r="AD23" t="s">
        <v>63</v>
      </c>
      <c r="AE23" t="s">
        <v>63</v>
      </c>
      <c r="AF23" t="s">
        <v>63</v>
      </c>
      <c r="AG23" t="s">
        <v>63</v>
      </c>
      <c r="AH23">
        <v>41</v>
      </c>
      <c r="AI23">
        <v>83</v>
      </c>
      <c r="AJ23">
        <v>139</v>
      </c>
      <c r="AK23">
        <v>196.5</v>
      </c>
      <c r="AL23">
        <v>309</v>
      </c>
      <c r="AM23" t="s">
        <v>63</v>
      </c>
      <c r="AN23" t="s">
        <v>63</v>
      </c>
      <c r="AO23" t="s">
        <v>63</v>
      </c>
      <c r="AP23" t="s">
        <v>63</v>
      </c>
      <c r="AQ23" t="s">
        <v>54</v>
      </c>
      <c r="AR23">
        <v>33</v>
      </c>
    </row>
    <row r="24" spans="1:44" hidden="1">
      <c r="A24" t="s">
        <v>76</v>
      </c>
      <c r="B24" t="s">
        <v>98</v>
      </c>
      <c r="C24" t="s">
        <v>111</v>
      </c>
      <c r="D24" t="s">
        <v>112</v>
      </c>
      <c r="E24" t="s">
        <v>113</v>
      </c>
      <c r="F24" t="s">
        <v>48</v>
      </c>
      <c r="G24">
        <v>85</v>
      </c>
      <c r="H24" t="s">
        <v>102</v>
      </c>
      <c r="I24">
        <v>35277</v>
      </c>
      <c r="J24">
        <v>1</v>
      </c>
      <c r="K24" t="s">
        <v>50</v>
      </c>
      <c r="L24">
        <v>0.42</v>
      </c>
      <c r="M24">
        <v>0.06</v>
      </c>
      <c r="N24">
        <v>0.61046511627906974</v>
      </c>
      <c r="O24">
        <v>8.7209302325581398E-2</v>
      </c>
      <c r="P24" t="s">
        <v>51</v>
      </c>
      <c r="Q24">
        <v>1</v>
      </c>
      <c r="R24" t="s">
        <v>50</v>
      </c>
      <c r="S24" t="s">
        <v>81</v>
      </c>
      <c r="T24" t="s">
        <v>103</v>
      </c>
      <c r="U24" t="s">
        <v>104</v>
      </c>
      <c r="V24">
        <v>803</v>
      </c>
      <c r="W24">
        <v>71</v>
      </c>
      <c r="X24">
        <v>489.9</v>
      </c>
      <c r="Y24">
        <v>157</v>
      </c>
      <c r="Z24">
        <v>248.5</v>
      </c>
      <c r="AA24">
        <v>341</v>
      </c>
      <c r="AB24">
        <v>408.5</v>
      </c>
      <c r="AC24" t="s">
        <v>54</v>
      </c>
      <c r="AD24" t="s">
        <v>56</v>
      </c>
      <c r="AE24" t="s">
        <v>57</v>
      </c>
      <c r="AF24" t="s">
        <v>57</v>
      </c>
      <c r="AG24" t="s">
        <v>56</v>
      </c>
      <c r="AH24">
        <v>71</v>
      </c>
      <c r="AI24">
        <v>211.5</v>
      </c>
      <c r="AJ24">
        <v>386</v>
      </c>
      <c r="AK24">
        <v>587</v>
      </c>
      <c r="AL24">
        <v>754</v>
      </c>
      <c r="AM24" t="s">
        <v>54</v>
      </c>
      <c r="AN24" t="s">
        <v>87</v>
      </c>
      <c r="AO24" t="s">
        <v>64</v>
      </c>
      <c r="AP24" t="s">
        <v>64</v>
      </c>
      <c r="AQ24" t="s">
        <v>64</v>
      </c>
      <c r="AR24">
        <v>19</v>
      </c>
    </row>
    <row r="25" spans="1:44" hidden="1">
      <c r="A25" t="s">
        <v>76</v>
      </c>
      <c r="B25" t="s">
        <v>98</v>
      </c>
      <c r="C25" t="s">
        <v>111</v>
      </c>
      <c r="D25" t="s">
        <v>112</v>
      </c>
      <c r="E25" t="s">
        <v>113</v>
      </c>
      <c r="F25" t="s">
        <v>48</v>
      </c>
      <c r="G25">
        <v>90</v>
      </c>
      <c r="H25" t="s">
        <v>80</v>
      </c>
      <c r="I25">
        <v>37102</v>
      </c>
      <c r="J25">
        <v>2</v>
      </c>
      <c r="K25">
        <v>5</v>
      </c>
      <c r="L25">
        <v>1.83</v>
      </c>
      <c r="M25">
        <v>15.03</v>
      </c>
      <c r="N25">
        <v>2.6598837209302331</v>
      </c>
      <c r="O25">
        <v>21.845930232558139</v>
      </c>
      <c r="P25" t="s">
        <v>60</v>
      </c>
      <c r="Q25" t="s">
        <v>50</v>
      </c>
      <c r="R25" t="s">
        <v>50</v>
      </c>
      <c r="S25" t="s">
        <v>81</v>
      </c>
      <c r="T25" t="s">
        <v>105</v>
      </c>
      <c r="U25" t="s">
        <v>106</v>
      </c>
      <c r="V25">
        <v>485.5</v>
      </c>
      <c r="W25">
        <v>130.5</v>
      </c>
      <c r="X25">
        <v>306.39999999999998</v>
      </c>
      <c r="Y25">
        <v>246</v>
      </c>
      <c r="Z25">
        <v>265</v>
      </c>
      <c r="AA25">
        <v>297.5</v>
      </c>
      <c r="AB25">
        <v>297.5</v>
      </c>
      <c r="AC25" t="s">
        <v>64</v>
      </c>
      <c r="AD25" t="s">
        <v>64</v>
      </c>
      <c r="AE25" t="s">
        <v>57</v>
      </c>
      <c r="AF25" t="s">
        <v>55</v>
      </c>
      <c r="AG25" t="s">
        <v>54</v>
      </c>
      <c r="AH25">
        <v>130.5</v>
      </c>
      <c r="AI25">
        <v>285.5</v>
      </c>
      <c r="AJ25">
        <v>403</v>
      </c>
      <c r="AK25">
        <v>454.5</v>
      </c>
      <c r="AL25">
        <v>485.5</v>
      </c>
      <c r="AM25" t="s">
        <v>64</v>
      </c>
      <c r="AN25" t="s">
        <v>64</v>
      </c>
      <c r="AO25" t="s">
        <v>64</v>
      </c>
      <c r="AP25" t="s">
        <v>64</v>
      </c>
      <c r="AQ25" t="s">
        <v>57</v>
      </c>
      <c r="AR25">
        <v>9</v>
      </c>
    </row>
    <row r="26" spans="1:44" hidden="1">
      <c r="A26" t="s">
        <v>76</v>
      </c>
      <c r="B26" t="s">
        <v>98</v>
      </c>
      <c r="C26" t="s">
        <v>114</v>
      </c>
      <c r="D26" t="s">
        <v>115</v>
      </c>
      <c r="E26" t="s">
        <v>116</v>
      </c>
      <c r="F26" t="s">
        <v>48</v>
      </c>
      <c r="G26">
        <v>85</v>
      </c>
      <c r="H26" t="s">
        <v>102</v>
      </c>
      <c r="I26">
        <v>35278.083333333336</v>
      </c>
      <c r="J26">
        <v>1</v>
      </c>
      <c r="K26" t="s">
        <v>50</v>
      </c>
      <c r="L26">
        <v>3.5</v>
      </c>
      <c r="M26">
        <v>2.02</v>
      </c>
      <c r="N26">
        <v>2.6229016786570742</v>
      </c>
      <c r="O26">
        <v>1.51378896882494</v>
      </c>
      <c r="P26" t="s">
        <v>51</v>
      </c>
      <c r="Q26">
        <v>1</v>
      </c>
      <c r="R26" t="s">
        <v>50</v>
      </c>
      <c r="S26" t="s">
        <v>81</v>
      </c>
      <c r="T26" t="s">
        <v>103</v>
      </c>
      <c r="U26" t="s">
        <v>104</v>
      </c>
      <c r="V26">
        <v>803</v>
      </c>
      <c r="W26">
        <v>71</v>
      </c>
      <c r="X26">
        <v>489.9</v>
      </c>
      <c r="Y26">
        <v>157</v>
      </c>
      <c r="Z26">
        <v>248.5</v>
      </c>
      <c r="AA26">
        <v>341</v>
      </c>
      <c r="AB26">
        <v>408.5</v>
      </c>
      <c r="AC26" t="s">
        <v>54</v>
      </c>
      <c r="AD26" t="s">
        <v>56</v>
      </c>
      <c r="AE26" t="s">
        <v>57</v>
      </c>
      <c r="AF26" t="s">
        <v>57</v>
      </c>
      <c r="AG26" t="s">
        <v>56</v>
      </c>
      <c r="AH26">
        <v>71</v>
      </c>
      <c r="AI26">
        <v>211.5</v>
      </c>
      <c r="AJ26">
        <v>386</v>
      </c>
      <c r="AK26">
        <v>587</v>
      </c>
      <c r="AL26">
        <v>754</v>
      </c>
      <c r="AM26" t="s">
        <v>54</v>
      </c>
      <c r="AN26" t="s">
        <v>87</v>
      </c>
      <c r="AO26" t="s">
        <v>64</v>
      </c>
      <c r="AP26" t="s">
        <v>64</v>
      </c>
      <c r="AQ26" t="s">
        <v>64</v>
      </c>
      <c r="AR26">
        <v>19</v>
      </c>
    </row>
    <row r="27" spans="1:44" hidden="1">
      <c r="A27" t="s">
        <v>76</v>
      </c>
      <c r="B27" t="s">
        <v>98</v>
      </c>
      <c r="C27" t="s">
        <v>114</v>
      </c>
      <c r="D27" t="s">
        <v>115</v>
      </c>
      <c r="E27" t="s">
        <v>116</v>
      </c>
      <c r="F27" t="s">
        <v>48</v>
      </c>
      <c r="G27">
        <v>90</v>
      </c>
      <c r="H27" t="s">
        <v>80</v>
      </c>
      <c r="I27">
        <v>37102</v>
      </c>
      <c r="J27">
        <v>2</v>
      </c>
      <c r="K27">
        <v>4.9970319634703131</v>
      </c>
      <c r="L27">
        <v>4.26</v>
      </c>
      <c r="M27">
        <v>20.70321152</v>
      </c>
      <c r="N27">
        <v>3.1924460431654671</v>
      </c>
      <c r="O27">
        <v>15.514996642685851</v>
      </c>
      <c r="P27" t="s">
        <v>60</v>
      </c>
      <c r="Q27" t="s">
        <v>50</v>
      </c>
      <c r="R27" t="s">
        <v>50</v>
      </c>
      <c r="S27" t="s">
        <v>81</v>
      </c>
      <c r="T27" t="s">
        <v>105</v>
      </c>
      <c r="U27" t="s">
        <v>106</v>
      </c>
      <c r="V27">
        <v>485.5</v>
      </c>
      <c r="W27">
        <v>130.5</v>
      </c>
      <c r="X27">
        <v>306.39999999999998</v>
      </c>
      <c r="Y27">
        <v>246</v>
      </c>
      <c r="Z27">
        <v>265</v>
      </c>
      <c r="AA27">
        <v>297.5</v>
      </c>
      <c r="AB27">
        <v>297.5</v>
      </c>
      <c r="AC27" t="s">
        <v>64</v>
      </c>
      <c r="AD27" t="s">
        <v>64</v>
      </c>
      <c r="AE27" t="s">
        <v>57</v>
      </c>
      <c r="AF27" t="s">
        <v>55</v>
      </c>
      <c r="AG27" t="s">
        <v>54</v>
      </c>
      <c r="AH27">
        <v>130.5</v>
      </c>
      <c r="AI27">
        <v>285.5</v>
      </c>
      <c r="AJ27">
        <v>403</v>
      </c>
      <c r="AK27">
        <v>454.5</v>
      </c>
      <c r="AL27">
        <v>485.5</v>
      </c>
      <c r="AM27" t="s">
        <v>64</v>
      </c>
      <c r="AN27" t="s">
        <v>64</v>
      </c>
      <c r="AO27" t="s">
        <v>64</v>
      </c>
      <c r="AP27" t="s">
        <v>64</v>
      </c>
      <c r="AQ27" t="s">
        <v>57</v>
      </c>
      <c r="AR27">
        <v>9</v>
      </c>
    </row>
    <row r="28" spans="1:44" hidden="1">
      <c r="A28" t="s">
        <v>76</v>
      </c>
      <c r="B28" t="s">
        <v>98</v>
      </c>
      <c r="C28" t="s">
        <v>114</v>
      </c>
      <c r="D28" t="s">
        <v>117</v>
      </c>
      <c r="F28" t="s">
        <v>48</v>
      </c>
      <c r="G28">
        <v>85</v>
      </c>
      <c r="H28" t="s">
        <v>102</v>
      </c>
      <c r="I28">
        <v>35278.083333333336</v>
      </c>
      <c r="J28">
        <v>1</v>
      </c>
      <c r="K28" t="s">
        <v>50</v>
      </c>
      <c r="L28">
        <v>1.08</v>
      </c>
      <c r="M28">
        <v>0.37</v>
      </c>
      <c r="N28">
        <v>1.2746370824973445</v>
      </c>
      <c r="O28">
        <v>0.43668122270742354</v>
      </c>
      <c r="P28" t="s">
        <v>51</v>
      </c>
      <c r="Q28">
        <v>1</v>
      </c>
      <c r="R28" t="s">
        <v>50</v>
      </c>
      <c r="S28" t="s">
        <v>81</v>
      </c>
      <c r="T28" t="s">
        <v>103</v>
      </c>
      <c r="U28" t="s">
        <v>104</v>
      </c>
      <c r="V28">
        <v>803</v>
      </c>
      <c r="W28">
        <v>71</v>
      </c>
      <c r="X28">
        <v>489.9</v>
      </c>
      <c r="Y28">
        <v>157</v>
      </c>
      <c r="Z28">
        <v>248.5</v>
      </c>
      <c r="AA28">
        <v>341</v>
      </c>
      <c r="AB28">
        <v>408.5</v>
      </c>
      <c r="AC28" t="s">
        <v>54</v>
      </c>
      <c r="AD28" t="s">
        <v>56</v>
      </c>
      <c r="AE28" t="s">
        <v>57</v>
      </c>
      <c r="AF28" t="s">
        <v>57</v>
      </c>
      <c r="AG28" t="s">
        <v>56</v>
      </c>
      <c r="AH28">
        <v>71</v>
      </c>
      <c r="AI28">
        <v>211.5</v>
      </c>
      <c r="AJ28">
        <v>386</v>
      </c>
      <c r="AK28">
        <v>587</v>
      </c>
      <c r="AL28">
        <v>754</v>
      </c>
      <c r="AM28" t="s">
        <v>54</v>
      </c>
      <c r="AN28" t="s">
        <v>87</v>
      </c>
      <c r="AO28" t="s">
        <v>64</v>
      </c>
      <c r="AP28" t="s">
        <v>64</v>
      </c>
      <c r="AQ28" t="s">
        <v>64</v>
      </c>
      <c r="AR28">
        <v>19</v>
      </c>
    </row>
    <row r="29" spans="1:44" hidden="1">
      <c r="A29" t="s">
        <v>76</v>
      </c>
      <c r="B29" t="s">
        <v>98</v>
      </c>
      <c r="C29" t="s">
        <v>114</v>
      </c>
      <c r="D29" t="s">
        <v>117</v>
      </c>
      <c r="F29" t="s">
        <v>48</v>
      </c>
      <c r="G29">
        <v>90</v>
      </c>
      <c r="H29" t="s">
        <v>80</v>
      </c>
      <c r="I29">
        <v>37102</v>
      </c>
      <c r="J29">
        <v>2</v>
      </c>
      <c r="K29">
        <v>4.9970319634703131</v>
      </c>
      <c r="L29">
        <v>0.48</v>
      </c>
      <c r="M29">
        <v>8.0858440199999997</v>
      </c>
      <c r="N29">
        <v>0.56650536999881973</v>
      </c>
      <c r="O29">
        <v>9.5430709547975923</v>
      </c>
      <c r="P29" t="s">
        <v>60</v>
      </c>
      <c r="Q29" t="s">
        <v>50</v>
      </c>
      <c r="R29" t="s">
        <v>50</v>
      </c>
      <c r="S29" t="s">
        <v>81</v>
      </c>
      <c r="T29" t="s">
        <v>105</v>
      </c>
      <c r="U29" t="s">
        <v>106</v>
      </c>
      <c r="V29">
        <v>485.5</v>
      </c>
      <c r="W29">
        <v>130.5</v>
      </c>
      <c r="X29">
        <v>306.39999999999998</v>
      </c>
      <c r="Y29">
        <v>246</v>
      </c>
      <c r="Z29">
        <v>265</v>
      </c>
      <c r="AA29">
        <v>297.5</v>
      </c>
      <c r="AB29">
        <v>297.5</v>
      </c>
      <c r="AC29" t="s">
        <v>64</v>
      </c>
      <c r="AD29" t="s">
        <v>64</v>
      </c>
      <c r="AE29" t="s">
        <v>57</v>
      </c>
      <c r="AF29" t="s">
        <v>55</v>
      </c>
      <c r="AG29" t="s">
        <v>54</v>
      </c>
      <c r="AH29">
        <v>130.5</v>
      </c>
      <c r="AI29">
        <v>285.5</v>
      </c>
      <c r="AJ29">
        <v>403</v>
      </c>
      <c r="AK29">
        <v>454.5</v>
      </c>
      <c r="AL29">
        <v>485.5</v>
      </c>
      <c r="AM29" t="s">
        <v>64</v>
      </c>
      <c r="AN29" t="s">
        <v>64</v>
      </c>
      <c r="AO29" t="s">
        <v>64</v>
      </c>
      <c r="AP29" t="s">
        <v>64</v>
      </c>
      <c r="AQ29" t="s">
        <v>57</v>
      </c>
      <c r="AR29">
        <v>9</v>
      </c>
    </row>
    <row r="30" spans="1:44" hidden="1">
      <c r="A30" t="s">
        <v>76</v>
      </c>
      <c r="B30" t="s">
        <v>118</v>
      </c>
      <c r="C30" t="s">
        <v>119</v>
      </c>
      <c r="D30" t="s">
        <v>120</v>
      </c>
      <c r="E30" t="s">
        <v>121</v>
      </c>
      <c r="F30" t="s">
        <v>48</v>
      </c>
      <c r="G30">
        <v>90</v>
      </c>
      <c r="H30" t="s">
        <v>80</v>
      </c>
      <c r="I30">
        <v>37102.25</v>
      </c>
      <c r="J30">
        <v>1</v>
      </c>
      <c r="K30" t="s">
        <v>50</v>
      </c>
      <c r="L30">
        <v>3.7</v>
      </c>
      <c r="M30">
        <v>5.8128246800000003</v>
      </c>
      <c r="N30">
        <v>0.92571743100903192</v>
      </c>
      <c r="O30">
        <v>1.4543332782906755</v>
      </c>
      <c r="P30" t="s">
        <v>60</v>
      </c>
      <c r="Q30" t="s">
        <v>50</v>
      </c>
      <c r="R30" t="s">
        <v>50</v>
      </c>
      <c r="S30" t="s">
        <v>81</v>
      </c>
      <c r="T30" t="s">
        <v>122</v>
      </c>
      <c r="U30" t="s">
        <v>123</v>
      </c>
      <c r="V30">
        <v>459.5</v>
      </c>
      <c r="W30">
        <v>100.5</v>
      </c>
      <c r="X30">
        <v>284.8</v>
      </c>
      <c r="Y30">
        <v>185</v>
      </c>
      <c r="Z30">
        <v>228.5</v>
      </c>
      <c r="AA30">
        <v>265.5</v>
      </c>
      <c r="AB30">
        <v>265.5</v>
      </c>
      <c r="AC30" t="s">
        <v>57</v>
      </c>
      <c r="AD30" t="s">
        <v>57</v>
      </c>
      <c r="AE30" t="s">
        <v>56</v>
      </c>
      <c r="AF30" t="s">
        <v>54</v>
      </c>
      <c r="AG30" t="s">
        <v>63</v>
      </c>
      <c r="AH30">
        <v>100.5</v>
      </c>
      <c r="AI30">
        <v>251</v>
      </c>
      <c r="AJ30">
        <v>340</v>
      </c>
      <c r="AK30">
        <v>420</v>
      </c>
      <c r="AL30">
        <v>459.5</v>
      </c>
      <c r="AM30" t="s">
        <v>57</v>
      </c>
      <c r="AN30" t="s">
        <v>64</v>
      </c>
      <c r="AO30" t="s">
        <v>64</v>
      </c>
      <c r="AP30" t="s">
        <v>58</v>
      </c>
      <c r="AQ30" t="s">
        <v>56</v>
      </c>
      <c r="AR30">
        <v>9</v>
      </c>
    </row>
    <row r="31" spans="1:44">
      <c r="A31" t="s">
        <v>76</v>
      </c>
      <c r="B31" t="s">
        <v>118</v>
      </c>
      <c r="C31" t="s">
        <v>119</v>
      </c>
      <c r="D31" t="s">
        <v>120</v>
      </c>
      <c r="E31" t="s">
        <v>121</v>
      </c>
      <c r="F31" t="s">
        <v>48</v>
      </c>
      <c r="G31">
        <v>97</v>
      </c>
      <c r="H31" t="s">
        <v>124</v>
      </c>
      <c r="I31">
        <v>39647.083333333336</v>
      </c>
      <c r="J31">
        <v>2</v>
      </c>
      <c r="K31">
        <v>6.9721461187214677</v>
      </c>
      <c r="L31">
        <v>0</v>
      </c>
      <c r="M31">
        <v>2.04</v>
      </c>
      <c r="N31">
        <v>0</v>
      </c>
      <c r="O31">
        <v>0.51039555655633118</v>
      </c>
      <c r="P31" t="s">
        <v>51</v>
      </c>
      <c r="Q31">
        <v>1</v>
      </c>
      <c r="R31" t="s">
        <v>50</v>
      </c>
      <c r="S31">
        <v>250</v>
      </c>
      <c r="T31" t="s">
        <v>122</v>
      </c>
      <c r="U31" t="s">
        <v>123</v>
      </c>
      <c r="V31">
        <v>404</v>
      </c>
      <c r="W31">
        <v>109</v>
      </c>
      <c r="X31">
        <v>272.60000000000002</v>
      </c>
      <c r="Y31">
        <v>212.5</v>
      </c>
      <c r="Z31">
        <v>234</v>
      </c>
      <c r="AA31">
        <v>242</v>
      </c>
      <c r="AB31">
        <v>242</v>
      </c>
      <c r="AC31" t="s">
        <v>58</v>
      </c>
      <c r="AD31" t="s">
        <v>58</v>
      </c>
      <c r="AE31" t="s">
        <v>56</v>
      </c>
      <c r="AF31" t="s">
        <v>54</v>
      </c>
      <c r="AG31" t="s">
        <v>63</v>
      </c>
      <c r="AH31">
        <v>108</v>
      </c>
      <c r="AI31">
        <v>222.5</v>
      </c>
      <c r="AJ31">
        <v>309</v>
      </c>
      <c r="AK31">
        <v>376</v>
      </c>
      <c r="AL31">
        <v>404</v>
      </c>
      <c r="AM31" t="s">
        <v>58</v>
      </c>
      <c r="AN31" t="s">
        <v>87</v>
      </c>
      <c r="AO31" t="s">
        <v>58</v>
      </c>
      <c r="AP31" t="s">
        <v>57</v>
      </c>
      <c r="AQ31" t="s">
        <v>55</v>
      </c>
      <c r="AR31">
        <v>11</v>
      </c>
    </row>
    <row r="32" spans="1:44" hidden="1">
      <c r="A32" t="s">
        <v>76</v>
      </c>
      <c r="B32" t="s">
        <v>118</v>
      </c>
      <c r="C32" t="s">
        <v>125</v>
      </c>
      <c r="D32" t="s">
        <v>126</v>
      </c>
      <c r="F32" t="s">
        <v>127</v>
      </c>
      <c r="G32">
        <v>90</v>
      </c>
      <c r="H32" t="s">
        <v>80</v>
      </c>
      <c r="I32">
        <v>37102.291666666664</v>
      </c>
      <c r="J32">
        <v>1</v>
      </c>
      <c r="K32" t="s">
        <v>50</v>
      </c>
      <c r="L32">
        <v>0</v>
      </c>
      <c r="M32">
        <v>0</v>
      </c>
      <c r="N32">
        <v>0</v>
      </c>
      <c r="O32">
        <v>0</v>
      </c>
      <c r="P32" t="s">
        <v>60</v>
      </c>
      <c r="Q32" t="s">
        <v>50</v>
      </c>
      <c r="R32" t="s">
        <v>50</v>
      </c>
      <c r="S32" t="s">
        <v>81</v>
      </c>
      <c r="T32" t="s">
        <v>103</v>
      </c>
      <c r="U32" t="s">
        <v>104</v>
      </c>
      <c r="V32">
        <v>465</v>
      </c>
      <c r="W32">
        <v>125.5</v>
      </c>
      <c r="X32">
        <v>340.9</v>
      </c>
      <c r="Y32">
        <v>129.5</v>
      </c>
      <c r="Z32">
        <v>146.5</v>
      </c>
      <c r="AA32">
        <v>182</v>
      </c>
      <c r="AB32">
        <v>182</v>
      </c>
      <c r="AC32" t="s">
        <v>64</v>
      </c>
      <c r="AD32" t="s">
        <v>54</v>
      </c>
      <c r="AE32" t="s">
        <v>63</v>
      </c>
      <c r="AF32" t="s">
        <v>63</v>
      </c>
      <c r="AG32" t="s">
        <v>63</v>
      </c>
      <c r="AH32">
        <v>125.5</v>
      </c>
      <c r="AI32">
        <v>244</v>
      </c>
      <c r="AJ32">
        <v>368</v>
      </c>
      <c r="AK32">
        <v>429.5</v>
      </c>
      <c r="AL32">
        <v>465</v>
      </c>
      <c r="AM32" t="s">
        <v>64</v>
      </c>
      <c r="AN32" t="s">
        <v>64</v>
      </c>
      <c r="AO32" t="s">
        <v>64</v>
      </c>
      <c r="AP32" t="s">
        <v>64</v>
      </c>
      <c r="AQ32" t="s">
        <v>57</v>
      </c>
      <c r="AR32">
        <v>9</v>
      </c>
    </row>
    <row r="33" spans="1:44">
      <c r="A33" t="s">
        <v>76</v>
      </c>
      <c r="B33" t="s">
        <v>118</v>
      </c>
      <c r="C33" t="s">
        <v>125</v>
      </c>
      <c r="D33" t="s">
        <v>126</v>
      </c>
      <c r="F33" t="s">
        <v>127</v>
      </c>
      <c r="G33">
        <v>113</v>
      </c>
      <c r="H33" t="s">
        <v>59</v>
      </c>
      <c r="I33">
        <v>45498.125</v>
      </c>
      <c r="J33">
        <v>2</v>
      </c>
      <c r="K33">
        <v>23.002283105022837</v>
      </c>
      <c r="L33">
        <v>0</v>
      </c>
      <c r="M33">
        <v>0</v>
      </c>
      <c r="N33">
        <v>0</v>
      </c>
      <c r="O33">
        <v>0</v>
      </c>
      <c r="P33" t="s">
        <v>51</v>
      </c>
      <c r="Q33">
        <v>1</v>
      </c>
      <c r="R33" t="s">
        <v>50</v>
      </c>
      <c r="S33">
        <v>300</v>
      </c>
      <c r="T33" t="s">
        <v>128</v>
      </c>
      <c r="U33" t="s">
        <v>104</v>
      </c>
      <c r="V33">
        <v>613.5</v>
      </c>
      <c r="W33">
        <v>52.5</v>
      </c>
      <c r="X33">
        <v>336.5</v>
      </c>
      <c r="Y33">
        <v>148</v>
      </c>
      <c r="Z33">
        <v>193.5</v>
      </c>
      <c r="AA33">
        <v>297</v>
      </c>
      <c r="AB33">
        <v>337.5</v>
      </c>
      <c r="AC33" t="s">
        <v>63</v>
      </c>
      <c r="AD33" t="s">
        <v>55</v>
      </c>
      <c r="AE33" t="s">
        <v>55</v>
      </c>
      <c r="AF33" t="s">
        <v>56</v>
      </c>
      <c r="AG33" t="s">
        <v>54</v>
      </c>
      <c r="AH33">
        <v>53</v>
      </c>
      <c r="AI33">
        <v>148.5</v>
      </c>
      <c r="AJ33">
        <v>231</v>
      </c>
      <c r="AK33">
        <v>332.5</v>
      </c>
      <c r="AL33">
        <v>526.5</v>
      </c>
      <c r="AM33" t="s">
        <v>63</v>
      </c>
      <c r="AN33" t="s">
        <v>55</v>
      </c>
      <c r="AO33" t="s">
        <v>56</v>
      </c>
      <c r="AP33" t="s">
        <v>57</v>
      </c>
      <c r="AQ33" t="s">
        <v>87</v>
      </c>
      <c r="AR33">
        <v>38</v>
      </c>
    </row>
    <row r="34" spans="1:44" hidden="1">
      <c r="A34" t="s">
        <v>76</v>
      </c>
      <c r="B34" t="s">
        <v>118</v>
      </c>
      <c r="C34" t="s">
        <v>129</v>
      </c>
      <c r="D34" t="s">
        <v>130</v>
      </c>
      <c r="E34" t="s">
        <v>131</v>
      </c>
      <c r="F34" t="s">
        <v>48</v>
      </c>
      <c r="G34">
        <v>85</v>
      </c>
      <c r="H34" t="s">
        <v>102</v>
      </c>
      <c r="I34">
        <v>35278.041666666664</v>
      </c>
      <c r="J34">
        <v>1</v>
      </c>
      <c r="K34" t="s">
        <v>50</v>
      </c>
      <c r="L34">
        <v>0.43</v>
      </c>
      <c r="M34">
        <v>2.33</v>
      </c>
      <c r="N34">
        <v>0.22916222553826479</v>
      </c>
      <c r="O34">
        <v>1.2417395011724581</v>
      </c>
      <c r="P34" t="s">
        <v>51</v>
      </c>
      <c r="Q34">
        <v>1</v>
      </c>
      <c r="R34" t="s">
        <v>50</v>
      </c>
      <c r="S34" t="s">
        <v>81</v>
      </c>
      <c r="T34" t="s">
        <v>103</v>
      </c>
      <c r="U34" t="s">
        <v>104</v>
      </c>
      <c r="V34">
        <v>803</v>
      </c>
      <c r="W34">
        <v>71</v>
      </c>
      <c r="X34">
        <v>489.9</v>
      </c>
      <c r="Y34">
        <v>157</v>
      </c>
      <c r="Z34">
        <v>248.5</v>
      </c>
      <c r="AA34">
        <v>341</v>
      </c>
      <c r="AB34">
        <v>408.5</v>
      </c>
      <c r="AC34" t="s">
        <v>54</v>
      </c>
      <c r="AD34" t="s">
        <v>56</v>
      </c>
      <c r="AE34" t="s">
        <v>57</v>
      </c>
      <c r="AF34" t="s">
        <v>57</v>
      </c>
      <c r="AG34" t="s">
        <v>56</v>
      </c>
      <c r="AH34">
        <v>71</v>
      </c>
      <c r="AI34">
        <v>211.5</v>
      </c>
      <c r="AJ34">
        <v>386</v>
      </c>
      <c r="AK34">
        <v>587</v>
      </c>
      <c r="AL34">
        <v>754</v>
      </c>
      <c r="AM34" t="s">
        <v>54</v>
      </c>
      <c r="AN34" t="s">
        <v>87</v>
      </c>
      <c r="AO34" t="s">
        <v>64</v>
      </c>
      <c r="AP34" t="s">
        <v>64</v>
      </c>
      <c r="AQ34" t="s">
        <v>64</v>
      </c>
      <c r="AR34">
        <v>19</v>
      </c>
    </row>
    <row r="35" spans="1:44" hidden="1">
      <c r="A35" t="s">
        <v>76</v>
      </c>
      <c r="B35" t="s">
        <v>118</v>
      </c>
      <c r="C35" t="s">
        <v>129</v>
      </c>
      <c r="D35" t="s">
        <v>130</v>
      </c>
      <c r="E35" t="s">
        <v>131</v>
      </c>
      <c r="F35" t="s">
        <v>48</v>
      </c>
      <c r="G35">
        <v>90</v>
      </c>
      <c r="H35" t="s">
        <v>80</v>
      </c>
      <c r="I35">
        <v>37102</v>
      </c>
      <c r="J35">
        <v>2</v>
      </c>
      <c r="K35">
        <v>4.9971461187214681</v>
      </c>
      <c r="L35">
        <v>0</v>
      </c>
      <c r="M35">
        <v>4.0253105700000003</v>
      </c>
      <c r="N35">
        <v>0</v>
      </c>
      <c r="O35">
        <v>2.1452305318695375</v>
      </c>
      <c r="P35" t="s">
        <v>60</v>
      </c>
      <c r="Q35" t="s">
        <v>50</v>
      </c>
      <c r="R35" t="s">
        <v>50</v>
      </c>
      <c r="S35" t="s">
        <v>81</v>
      </c>
      <c r="T35" t="s">
        <v>103</v>
      </c>
      <c r="U35" t="s">
        <v>104</v>
      </c>
      <c r="V35">
        <v>465</v>
      </c>
      <c r="W35">
        <v>125.5</v>
      </c>
      <c r="X35">
        <v>340.9</v>
      </c>
      <c r="Y35">
        <v>129.5</v>
      </c>
      <c r="Z35">
        <v>146.5</v>
      </c>
      <c r="AA35">
        <v>182</v>
      </c>
      <c r="AB35">
        <v>182</v>
      </c>
      <c r="AC35" t="s">
        <v>64</v>
      </c>
      <c r="AD35" t="s">
        <v>54</v>
      </c>
      <c r="AE35" t="s">
        <v>63</v>
      </c>
      <c r="AF35" t="s">
        <v>63</v>
      </c>
      <c r="AG35" t="s">
        <v>63</v>
      </c>
      <c r="AH35">
        <v>125.5</v>
      </c>
      <c r="AI35">
        <v>244</v>
      </c>
      <c r="AJ35">
        <v>368</v>
      </c>
      <c r="AK35">
        <v>429.5</v>
      </c>
      <c r="AL35">
        <v>465</v>
      </c>
      <c r="AM35" t="s">
        <v>64</v>
      </c>
      <c r="AN35" t="s">
        <v>64</v>
      </c>
      <c r="AO35" t="s">
        <v>64</v>
      </c>
      <c r="AP35" t="s">
        <v>64</v>
      </c>
      <c r="AQ35" t="s">
        <v>57</v>
      </c>
      <c r="AR35">
        <v>9</v>
      </c>
    </row>
    <row r="36" spans="1:44">
      <c r="A36" t="s">
        <v>76</v>
      </c>
      <c r="B36" t="s">
        <v>118</v>
      </c>
      <c r="C36" t="s">
        <v>129</v>
      </c>
      <c r="D36" t="s">
        <v>130</v>
      </c>
      <c r="E36" t="s">
        <v>131</v>
      </c>
      <c r="F36" t="s">
        <v>48</v>
      </c>
      <c r="G36">
        <v>97</v>
      </c>
      <c r="H36" t="s">
        <v>84</v>
      </c>
      <c r="I36">
        <v>39706.791666666664</v>
      </c>
      <c r="J36">
        <v>3</v>
      </c>
      <c r="K36">
        <v>7.136415525114149</v>
      </c>
      <c r="L36">
        <v>0.84</v>
      </c>
      <c r="M36">
        <v>0.57999999999999996</v>
      </c>
      <c r="N36">
        <v>0.4476657429119591</v>
      </c>
      <c r="O36">
        <v>0.30910253677254318</v>
      </c>
      <c r="P36" t="s">
        <v>51</v>
      </c>
      <c r="Q36">
        <v>1</v>
      </c>
      <c r="R36" t="s">
        <v>50</v>
      </c>
      <c r="S36">
        <v>250</v>
      </c>
      <c r="T36" t="s">
        <v>103</v>
      </c>
      <c r="U36" t="s">
        <v>104</v>
      </c>
      <c r="V36">
        <v>598</v>
      </c>
      <c r="W36">
        <v>2.5</v>
      </c>
      <c r="X36">
        <v>552.5</v>
      </c>
      <c r="Y36">
        <v>6</v>
      </c>
      <c r="Z36">
        <v>12</v>
      </c>
      <c r="AA36">
        <v>30.5</v>
      </c>
      <c r="AB36">
        <v>30.5</v>
      </c>
      <c r="AC36" t="s">
        <v>63</v>
      </c>
      <c r="AD36" t="s">
        <v>63</v>
      </c>
      <c r="AE36" t="s">
        <v>63</v>
      </c>
      <c r="AF36" t="s">
        <v>63</v>
      </c>
      <c r="AG36" t="s">
        <v>63</v>
      </c>
      <c r="AH36">
        <v>43</v>
      </c>
      <c r="AI36">
        <v>118</v>
      </c>
      <c r="AJ36">
        <v>197</v>
      </c>
      <c r="AK36">
        <v>296.5</v>
      </c>
      <c r="AL36">
        <v>475</v>
      </c>
      <c r="AM36" t="s">
        <v>63</v>
      </c>
      <c r="AN36" t="s">
        <v>54</v>
      </c>
      <c r="AO36" t="s">
        <v>55</v>
      </c>
      <c r="AP36" t="s">
        <v>56</v>
      </c>
      <c r="AQ36" t="s">
        <v>57</v>
      </c>
      <c r="AR36">
        <v>38</v>
      </c>
    </row>
    <row r="37" spans="1:44" hidden="1">
      <c r="A37" t="s">
        <v>76</v>
      </c>
      <c r="B37" t="s">
        <v>118</v>
      </c>
      <c r="C37" t="s">
        <v>129</v>
      </c>
      <c r="D37" t="s">
        <v>132</v>
      </c>
      <c r="E37" t="s">
        <v>133</v>
      </c>
      <c r="F37" t="s">
        <v>48</v>
      </c>
      <c r="G37">
        <v>85</v>
      </c>
      <c r="H37" t="s">
        <v>102</v>
      </c>
      <c r="I37">
        <v>35278</v>
      </c>
      <c r="J37">
        <v>1</v>
      </c>
      <c r="K37" t="s">
        <v>50</v>
      </c>
      <c r="L37">
        <v>0.33</v>
      </c>
      <c r="M37">
        <v>0.18</v>
      </c>
      <c r="N37">
        <v>0.20521111871152292</v>
      </c>
      <c r="O37">
        <v>0.21176470588235291</v>
      </c>
      <c r="P37" t="s">
        <v>51</v>
      </c>
      <c r="Q37">
        <v>1</v>
      </c>
      <c r="R37" t="s">
        <v>50</v>
      </c>
      <c r="S37" t="s">
        <v>81</v>
      </c>
      <c r="T37" t="s">
        <v>103</v>
      </c>
      <c r="U37" t="s">
        <v>104</v>
      </c>
      <c r="V37">
        <v>803</v>
      </c>
      <c r="W37">
        <v>71</v>
      </c>
      <c r="X37">
        <v>489.9</v>
      </c>
      <c r="Y37">
        <v>157</v>
      </c>
      <c r="Z37">
        <v>248.5</v>
      </c>
      <c r="AA37">
        <v>341</v>
      </c>
      <c r="AB37">
        <v>408.5</v>
      </c>
      <c r="AC37" t="s">
        <v>54</v>
      </c>
      <c r="AD37" t="s">
        <v>56</v>
      </c>
      <c r="AE37" t="s">
        <v>57</v>
      </c>
      <c r="AF37" t="s">
        <v>57</v>
      </c>
      <c r="AG37" t="s">
        <v>56</v>
      </c>
      <c r="AH37">
        <v>71</v>
      </c>
      <c r="AI37">
        <v>211.5</v>
      </c>
      <c r="AJ37">
        <v>386</v>
      </c>
      <c r="AK37">
        <v>587</v>
      </c>
      <c r="AL37">
        <v>754</v>
      </c>
      <c r="AM37" t="s">
        <v>54</v>
      </c>
      <c r="AN37" t="s">
        <v>87</v>
      </c>
      <c r="AO37" t="s">
        <v>64</v>
      </c>
      <c r="AP37" t="s">
        <v>64</v>
      </c>
      <c r="AQ37" t="s">
        <v>64</v>
      </c>
      <c r="AR37">
        <v>19</v>
      </c>
    </row>
    <row r="38" spans="1:44" hidden="1">
      <c r="A38" t="s">
        <v>76</v>
      </c>
      <c r="B38" t="s">
        <v>118</v>
      </c>
      <c r="C38" t="s">
        <v>129</v>
      </c>
      <c r="D38" t="s">
        <v>132</v>
      </c>
      <c r="E38" t="s">
        <v>133</v>
      </c>
      <c r="F38" t="s">
        <v>48</v>
      </c>
      <c r="G38">
        <v>90</v>
      </c>
      <c r="H38" t="s">
        <v>80</v>
      </c>
      <c r="I38">
        <v>37102</v>
      </c>
      <c r="J38">
        <v>2</v>
      </c>
      <c r="K38">
        <v>4.9972602739726026</v>
      </c>
      <c r="L38">
        <v>0</v>
      </c>
      <c r="M38">
        <v>8.4433681400000005</v>
      </c>
      <c r="N38">
        <v>0</v>
      </c>
      <c r="O38">
        <v>9.3815201555555561</v>
      </c>
      <c r="P38" t="s">
        <v>60</v>
      </c>
      <c r="Q38" t="s">
        <v>50</v>
      </c>
      <c r="R38" t="s">
        <v>50</v>
      </c>
      <c r="S38" t="s">
        <v>81</v>
      </c>
      <c r="T38" t="s">
        <v>103</v>
      </c>
      <c r="U38" t="s">
        <v>104</v>
      </c>
      <c r="V38">
        <v>465</v>
      </c>
      <c r="W38">
        <v>125.5</v>
      </c>
      <c r="X38">
        <v>340.9</v>
      </c>
      <c r="Y38">
        <v>129.5</v>
      </c>
      <c r="Z38">
        <v>146.5</v>
      </c>
      <c r="AA38">
        <v>182</v>
      </c>
      <c r="AB38">
        <v>182</v>
      </c>
      <c r="AC38" t="s">
        <v>64</v>
      </c>
      <c r="AD38" t="s">
        <v>54</v>
      </c>
      <c r="AE38" t="s">
        <v>63</v>
      </c>
      <c r="AF38" t="s">
        <v>63</v>
      </c>
      <c r="AG38" t="s">
        <v>63</v>
      </c>
      <c r="AH38">
        <v>125.5</v>
      </c>
      <c r="AI38">
        <v>244</v>
      </c>
      <c r="AJ38">
        <v>368</v>
      </c>
      <c r="AK38">
        <v>429.5</v>
      </c>
      <c r="AL38">
        <v>465</v>
      </c>
      <c r="AM38" t="s">
        <v>64</v>
      </c>
      <c r="AN38" t="s">
        <v>64</v>
      </c>
      <c r="AO38" t="s">
        <v>64</v>
      </c>
      <c r="AP38" t="s">
        <v>64</v>
      </c>
      <c r="AQ38" t="s">
        <v>57</v>
      </c>
      <c r="AR38">
        <v>9</v>
      </c>
    </row>
    <row r="39" spans="1:44">
      <c r="A39" t="s">
        <v>76</v>
      </c>
      <c r="B39" t="s">
        <v>118</v>
      </c>
      <c r="C39" t="s">
        <v>129</v>
      </c>
      <c r="D39" t="s">
        <v>132</v>
      </c>
      <c r="E39" t="s">
        <v>133</v>
      </c>
      <c r="F39" t="s">
        <v>48</v>
      </c>
      <c r="G39">
        <v>101</v>
      </c>
      <c r="H39" t="s">
        <v>134</v>
      </c>
      <c r="I39">
        <v>41032.666666666664</v>
      </c>
      <c r="J39">
        <v>3</v>
      </c>
      <c r="K39">
        <v>10.76894977168949</v>
      </c>
      <c r="L39">
        <v>1.62</v>
      </c>
      <c r="M39">
        <v>2.13</v>
      </c>
      <c r="N39">
        <v>1.0074000373111125</v>
      </c>
      <c r="O39">
        <v>1.3245444935016477</v>
      </c>
      <c r="P39" t="s">
        <v>51</v>
      </c>
      <c r="Q39">
        <v>1</v>
      </c>
      <c r="R39" t="s">
        <v>50</v>
      </c>
      <c r="S39">
        <v>250</v>
      </c>
      <c r="T39" t="s">
        <v>135</v>
      </c>
      <c r="U39" t="s">
        <v>133</v>
      </c>
      <c r="V39">
        <v>138</v>
      </c>
      <c r="W39">
        <v>38.5</v>
      </c>
      <c r="X39">
        <v>121.4</v>
      </c>
      <c r="Y39">
        <v>92</v>
      </c>
      <c r="Z39">
        <v>138</v>
      </c>
      <c r="AA39">
        <v>138</v>
      </c>
      <c r="AB39">
        <v>138</v>
      </c>
      <c r="AC39" t="s">
        <v>63</v>
      </c>
      <c r="AD39" t="s">
        <v>63</v>
      </c>
      <c r="AE39" t="s">
        <v>63</v>
      </c>
      <c r="AF39" t="s">
        <v>63</v>
      </c>
      <c r="AG39" t="s">
        <v>63</v>
      </c>
      <c r="AH39">
        <v>46.5</v>
      </c>
      <c r="AI39">
        <v>92</v>
      </c>
      <c r="AJ39">
        <v>138</v>
      </c>
      <c r="AK39">
        <v>138</v>
      </c>
      <c r="AL39">
        <v>138</v>
      </c>
      <c r="AM39" t="s">
        <v>63</v>
      </c>
      <c r="AN39" t="s">
        <v>63</v>
      </c>
      <c r="AO39" t="s">
        <v>63</v>
      </c>
      <c r="AP39" t="s">
        <v>63</v>
      </c>
      <c r="AQ39" t="s">
        <v>63</v>
      </c>
      <c r="AR39">
        <v>138</v>
      </c>
    </row>
    <row r="40" spans="1:44" hidden="1">
      <c r="A40" t="s">
        <v>76</v>
      </c>
      <c r="B40" t="s">
        <v>118</v>
      </c>
      <c r="C40" t="s">
        <v>129</v>
      </c>
      <c r="D40" t="s">
        <v>136</v>
      </c>
      <c r="F40" t="s">
        <v>48</v>
      </c>
      <c r="G40">
        <v>85</v>
      </c>
      <c r="H40" t="s">
        <v>102</v>
      </c>
      <c r="I40">
        <v>35277.458333333336</v>
      </c>
      <c r="J40">
        <v>1</v>
      </c>
      <c r="K40" t="s">
        <v>50</v>
      </c>
      <c r="L40">
        <v>0.06</v>
      </c>
      <c r="M40">
        <v>0.91</v>
      </c>
      <c r="N40">
        <v>3.3370411568409343E-2</v>
      </c>
      <c r="O40">
        <v>0.5061179087875417</v>
      </c>
      <c r="P40" t="s">
        <v>51</v>
      </c>
      <c r="Q40">
        <v>1</v>
      </c>
      <c r="R40" t="s">
        <v>50</v>
      </c>
      <c r="S40" t="s">
        <v>81</v>
      </c>
      <c r="T40" t="s">
        <v>103</v>
      </c>
      <c r="U40" t="s">
        <v>104</v>
      </c>
      <c r="V40">
        <v>803</v>
      </c>
      <c r="W40">
        <v>71</v>
      </c>
      <c r="X40">
        <v>489.9</v>
      </c>
      <c r="Y40">
        <v>157</v>
      </c>
      <c r="Z40">
        <v>248.5</v>
      </c>
      <c r="AA40">
        <v>341</v>
      </c>
      <c r="AB40">
        <v>408.5</v>
      </c>
      <c r="AC40" t="s">
        <v>54</v>
      </c>
      <c r="AD40" t="s">
        <v>56</v>
      </c>
      <c r="AE40" t="s">
        <v>57</v>
      </c>
      <c r="AF40" t="s">
        <v>57</v>
      </c>
      <c r="AG40" t="s">
        <v>56</v>
      </c>
      <c r="AH40">
        <v>71</v>
      </c>
      <c r="AI40">
        <v>211.5</v>
      </c>
      <c r="AJ40">
        <v>386</v>
      </c>
      <c r="AK40">
        <v>587</v>
      </c>
      <c r="AL40">
        <v>754</v>
      </c>
      <c r="AM40" t="s">
        <v>54</v>
      </c>
      <c r="AN40" t="s">
        <v>87</v>
      </c>
      <c r="AO40" t="s">
        <v>64</v>
      </c>
      <c r="AP40" t="s">
        <v>64</v>
      </c>
      <c r="AQ40" t="s">
        <v>64</v>
      </c>
      <c r="AR40">
        <v>19</v>
      </c>
    </row>
    <row r="41" spans="1:44" hidden="1">
      <c r="A41" t="s">
        <v>76</v>
      </c>
      <c r="B41" t="s">
        <v>118</v>
      </c>
      <c r="C41" t="s">
        <v>129</v>
      </c>
      <c r="D41" t="s">
        <v>136</v>
      </c>
      <c r="F41" t="s">
        <v>48</v>
      </c>
      <c r="G41">
        <v>90</v>
      </c>
      <c r="H41" t="s">
        <v>80</v>
      </c>
      <c r="I41">
        <v>37102</v>
      </c>
      <c r="J41">
        <v>2</v>
      </c>
      <c r="K41">
        <v>4.9987442922374363</v>
      </c>
      <c r="L41">
        <v>0</v>
      </c>
      <c r="M41">
        <v>10.127449439999999</v>
      </c>
      <c r="N41">
        <v>0</v>
      </c>
      <c r="O41">
        <v>5.6326192658509449</v>
      </c>
      <c r="P41" t="s">
        <v>60</v>
      </c>
      <c r="Q41" t="s">
        <v>50</v>
      </c>
      <c r="R41" t="s">
        <v>50</v>
      </c>
      <c r="S41" t="s">
        <v>81</v>
      </c>
      <c r="T41" t="s">
        <v>103</v>
      </c>
      <c r="U41" t="s">
        <v>104</v>
      </c>
      <c r="V41">
        <v>465</v>
      </c>
      <c r="W41">
        <v>125.5</v>
      </c>
      <c r="X41">
        <v>340.9</v>
      </c>
      <c r="Y41">
        <v>129.5</v>
      </c>
      <c r="Z41">
        <v>146.5</v>
      </c>
      <c r="AA41">
        <v>182</v>
      </c>
      <c r="AB41">
        <v>182</v>
      </c>
      <c r="AC41" t="s">
        <v>64</v>
      </c>
      <c r="AD41" t="s">
        <v>54</v>
      </c>
      <c r="AE41" t="s">
        <v>63</v>
      </c>
      <c r="AF41" t="s">
        <v>63</v>
      </c>
      <c r="AG41" t="s">
        <v>63</v>
      </c>
      <c r="AH41">
        <v>125.5</v>
      </c>
      <c r="AI41">
        <v>244</v>
      </c>
      <c r="AJ41">
        <v>368</v>
      </c>
      <c r="AK41">
        <v>429.5</v>
      </c>
      <c r="AL41">
        <v>465</v>
      </c>
      <c r="AM41" t="s">
        <v>64</v>
      </c>
      <c r="AN41" t="s">
        <v>64</v>
      </c>
      <c r="AO41" t="s">
        <v>64</v>
      </c>
      <c r="AP41" t="s">
        <v>64</v>
      </c>
      <c r="AQ41" t="s">
        <v>57</v>
      </c>
      <c r="AR41">
        <v>9</v>
      </c>
    </row>
    <row r="42" spans="1:44" hidden="1">
      <c r="A42" t="s">
        <v>76</v>
      </c>
      <c r="B42" t="s">
        <v>118</v>
      </c>
      <c r="C42" t="s">
        <v>137</v>
      </c>
      <c r="D42" t="s">
        <v>138</v>
      </c>
      <c r="E42" t="s">
        <v>139</v>
      </c>
      <c r="F42" t="s">
        <v>48</v>
      </c>
      <c r="G42">
        <v>85</v>
      </c>
      <c r="H42" t="s">
        <v>102</v>
      </c>
      <c r="I42">
        <v>35277</v>
      </c>
      <c r="J42">
        <v>1</v>
      </c>
      <c r="K42" t="s">
        <v>50</v>
      </c>
      <c r="L42">
        <v>12.2</v>
      </c>
      <c r="M42">
        <v>66.849999999999994</v>
      </c>
      <c r="N42">
        <v>0.77529232333502796</v>
      </c>
      <c r="O42">
        <v>4.2482206405693956</v>
      </c>
      <c r="P42" t="s">
        <v>51</v>
      </c>
      <c r="Q42">
        <v>1</v>
      </c>
      <c r="R42" t="s">
        <v>50</v>
      </c>
      <c r="S42" t="s">
        <v>81</v>
      </c>
      <c r="T42" t="s">
        <v>140</v>
      </c>
      <c r="U42" t="s">
        <v>141</v>
      </c>
      <c r="V42">
        <v>881</v>
      </c>
      <c r="W42">
        <v>68</v>
      </c>
      <c r="X42">
        <v>650.29999999999995</v>
      </c>
      <c r="Y42">
        <v>155</v>
      </c>
      <c r="Z42">
        <v>276</v>
      </c>
      <c r="AA42">
        <v>487</v>
      </c>
      <c r="AB42">
        <v>628.5</v>
      </c>
      <c r="AC42" t="s">
        <v>54</v>
      </c>
      <c r="AD42" t="s">
        <v>54</v>
      </c>
      <c r="AE42" t="s">
        <v>56</v>
      </c>
      <c r="AF42" t="s">
        <v>87</v>
      </c>
      <c r="AG42" t="s">
        <v>58</v>
      </c>
      <c r="AH42">
        <v>68</v>
      </c>
      <c r="AI42">
        <v>158</v>
      </c>
      <c r="AJ42">
        <v>279.5</v>
      </c>
      <c r="AK42">
        <v>523.5</v>
      </c>
      <c r="AL42">
        <v>822</v>
      </c>
      <c r="AM42" t="s">
        <v>54</v>
      </c>
      <c r="AN42" t="s">
        <v>55</v>
      </c>
      <c r="AO42" t="s">
        <v>56</v>
      </c>
      <c r="AP42" t="s">
        <v>64</v>
      </c>
      <c r="AQ42" t="s">
        <v>64</v>
      </c>
      <c r="AR42">
        <v>19</v>
      </c>
    </row>
    <row r="43" spans="1:44" hidden="1">
      <c r="A43" t="s">
        <v>76</v>
      </c>
      <c r="B43" t="s">
        <v>118</v>
      </c>
      <c r="C43" t="s">
        <v>137</v>
      </c>
      <c r="D43" t="s">
        <v>138</v>
      </c>
      <c r="E43" t="s">
        <v>139</v>
      </c>
      <c r="F43" t="s">
        <v>48</v>
      </c>
      <c r="G43">
        <v>90</v>
      </c>
      <c r="H43" t="s">
        <v>80</v>
      </c>
      <c r="I43">
        <v>37102</v>
      </c>
      <c r="J43">
        <v>2</v>
      </c>
      <c r="K43">
        <v>5</v>
      </c>
      <c r="L43">
        <v>0</v>
      </c>
      <c r="M43">
        <v>61.4</v>
      </c>
      <c r="N43">
        <v>0</v>
      </c>
      <c r="O43">
        <v>3.9018810371123545</v>
      </c>
      <c r="P43" t="s">
        <v>60</v>
      </c>
      <c r="Q43" t="s">
        <v>50</v>
      </c>
      <c r="R43" t="s">
        <v>50</v>
      </c>
      <c r="S43" t="s">
        <v>81</v>
      </c>
      <c r="T43" t="s">
        <v>140</v>
      </c>
      <c r="U43" t="s">
        <v>141</v>
      </c>
      <c r="V43">
        <v>587</v>
      </c>
      <c r="W43">
        <v>77</v>
      </c>
      <c r="X43">
        <v>260.8</v>
      </c>
      <c r="Y43">
        <v>181.5</v>
      </c>
      <c r="Z43">
        <v>219</v>
      </c>
      <c r="AA43">
        <v>219</v>
      </c>
      <c r="AB43">
        <v>219</v>
      </c>
      <c r="AC43" t="s">
        <v>54</v>
      </c>
      <c r="AD43" t="s">
        <v>56</v>
      </c>
      <c r="AE43" t="s">
        <v>54</v>
      </c>
      <c r="AF43" t="s">
        <v>63</v>
      </c>
      <c r="AG43" t="s">
        <v>63</v>
      </c>
      <c r="AH43">
        <v>77</v>
      </c>
      <c r="AI43">
        <v>203.5</v>
      </c>
      <c r="AJ43">
        <v>347.5</v>
      </c>
      <c r="AK43">
        <v>536</v>
      </c>
      <c r="AL43">
        <v>587</v>
      </c>
      <c r="AM43" t="s">
        <v>54</v>
      </c>
      <c r="AN43" t="s">
        <v>57</v>
      </c>
      <c r="AO43" t="s">
        <v>87</v>
      </c>
      <c r="AP43" t="s">
        <v>64</v>
      </c>
      <c r="AQ43" t="s">
        <v>57</v>
      </c>
      <c r="AR43">
        <v>5</v>
      </c>
    </row>
    <row r="44" spans="1:44" hidden="1">
      <c r="A44" t="s">
        <v>76</v>
      </c>
      <c r="B44" t="s">
        <v>118</v>
      </c>
      <c r="C44" t="s">
        <v>142</v>
      </c>
      <c r="D44" t="s">
        <v>143</v>
      </c>
      <c r="E44" t="s">
        <v>144</v>
      </c>
      <c r="F44" t="s">
        <v>48</v>
      </c>
      <c r="G44">
        <v>85</v>
      </c>
      <c r="H44" t="s">
        <v>102</v>
      </c>
      <c r="I44">
        <v>35278.041666666664</v>
      </c>
      <c r="J44">
        <v>1</v>
      </c>
      <c r="K44" t="s">
        <v>50</v>
      </c>
      <c r="L44">
        <v>0.16</v>
      </c>
      <c r="M44">
        <v>2.91</v>
      </c>
      <c r="N44">
        <v>7.4871314927468416E-2</v>
      </c>
      <c r="O44">
        <v>1.3617220402433319</v>
      </c>
      <c r="P44" t="s">
        <v>51</v>
      </c>
      <c r="Q44">
        <v>1</v>
      </c>
      <c r="R44" t="s">
        <v>50</v>
      </c>
      <c r="S44" t="s">
        <v>81</v>
      </c>
      <c r="T44" t="s">
        <v>145</v>
      </c>
      <c r="U44" t="s">
        <v>146</v>
      </c>
      <c r="V44">
        <v>671.5</v>
      </c>
      <c r="W44">
        <v>65.5</v>
      </c>
      <c r="X44">
        <v>454.1</v>
      </c>
      <c r="Y44">
        <v>181</v>
      </c>
      <c r="Z44">
        <v>266.5</v>
      </c>
      <c r="AA44">
        <v>346</v>
      </c>
      <c r="AB44">
        <v>443</v>
      </c>
      <c r="AC44" t="s">
        <v>54</v>
      </c>
      <c r="AD44" t="s">
        <v>57</v>
      </c>
      <c r="AE44" t="s">
        <v>57</v>
      </c>
      <c r="AF44" t="s">
        <v>57</v>
      </c>
      <c r="AG44" t="s">
        <v>57</v>
      </c>
      <c r="AH44">
        <v>65.5</v>
      </c>
      <c r="AI44">
        <v>181</v>
      </c>
      <c r="AJ44">
        <v>337.5</v>
      </c>
      <c r="AK44">
        <v>478</v>
      </c>
      <c r="AL44">
        <v>615</v>
      </c>
      <c r="AM44" t="s">
        <v>54</v>
      </c>
      <c r="AN44" t="s">
        <v>57</v>
      </c>
      <c r="AO44" t="s">
        <v>64</v>
      </c>
      <c r="AP44" t="s">
        <v>64</v>
      </c>
      <c r="AQ44" t="s">
        <v>64</v>
      </c>
      <c r="AR44">
        <v>20</v>
      </c>
    </row>
    <row r="45" spans="1:44" hidden="1">
      <c r="A45" t="s">
        <v>76</v>
      </c>
      <c r="B45" t="s">
        <v>118</v>
      </c>
      <c r="C45" t="s">
        <v>142</v>
      </c>
      <c r="D45" t="s">
        <v>143</v>
      </c>
      <c r="E45" t="s">
        <v>144</v>
      </c>
      <c r="F45" t="s">
        <v>48</v>
      </c>
      <c r="G45">
        <v>90</v>
      </c>
      <c r="H45" t="s">
        <v>80</v>
      </c>
      <c r="I45">
        <v>37102</v>
      </c>
      <c r="J45">
        <v>2</v>
      </c>
      <c r="K45">
        <v>4.9971461187214681</v>
      </c>
      <c r="L45">
        <v>12.43</v>
      </c>
      <c r="M45">
        <v>23.76</v>
      </c>
      <c r="N45">
        <v>5.816565278427702</v>
      </c>
      <c r="O45">
        <v>11.118390266729062</v>
      </c>
      <c r="P45" t="s">
        <v>60</v>
      </c>
      <c r="Q45" t="s">
        <v>50</v>
      </c>
      <c r="R45" t="s">
        <v>50</v>
      </c>
      <c r="S45" t="s">
        <v>81</v>
      </c>
      <c r="T45" t="s">
        <v>147</v>
      </c>
      <c r="U45" t="s">
        <v>142</v>
      </c>
      <c r="V45">
        <v>629</v>
      </c>
      <c r="W45">
        <v>91.5</v>
      </c>
      <c r="X45">
        <v>458.6</v>
      </c>
      <c r="Y45">
        <v>218.5</v>
      </c>
      <c r="Z45">
        <v>335</v>
      </c>
      <c r="AA45">
        <v>406</v>
      </c>
      <c r="AB45">
        <v>406</v>
      </c>
      <c r="AC45" t="s">
        <v>56</v>
      </c>
      <c r="AD45" t="s">
        <v>57</v>
      </c>
      <c r="AE45" t="s">
        <v>58</v>
      </c>
      <c r="AF45" t="s">
        <v>56</v>
      </c>
      <c r="AG45" t="s">
        <v>54</v>
      </c>
      <c r="AH45">
        <v>91.5</v>
      </c>
      <c r="AI45">
        <v>219</v>
      </c>
      <c r="AJ45">
        <v>375</v>
      </c>
      <c r="AK45">
        <v>544</v>
      </c>
      <c r="AL45">
        <v>629</v>
      </c>
      <c r="AM45" t="s">
        <v>56</v>
      </c>
      <c r="AN45" t="s">
        <v>57</v>
      </c>
      <c r="AO45" t="s">
        <v>87</v>
      </c>
      <c r="AP45" t="s">
        <v>64</v>
      </c>
      <c r="AQ45" t="s">
        <v>57</v>
      </c>
      <c r="AR45">
        <v>9</v>
      </c>
    </row>
    <row r="46" spans="1:44" hidden="1">
      <c r="A46" t="s">
        <v>76</v>
      </c>
      <c r="B46" t="s">
        <v>118</v>
      </c>
      <c r="C46" t="s">
        <v>142</v>
      </c>
      <c r="D46" t="s">
        <v>148</v>
      </c>
      <c r="E46" t="s">
        <v>149</v>
      </c>
      <c r="F46" t="s">
        <v>48</v>
      </c>
      <c r="G46">
        <v>85</v>
      </c>
      <c r="H46" t="s">
        <v>102</v>
      </c>
      <c r="I46">
        <v>35278</v>
      </c>
      <c r="J46">
        <v>1</v>
      </c>
      <c r="K46" t="s">
        <v>50</v>
      </c>
      <c r="L46">
        <v>3.76</v>
      </c>
      <c r="M46">
        <v>16.5</v>
      </c>
      <c r="N46">
        <v>0.44497568018556427</v>
      </c>
      <c r="O46">
        <v>1.9526858306015458</v>
      </c>
      <c r="P46" t="s">
        <v>51</v>
      </c>
      <c r="Q46">
        <v>1</v>
      </c>
      <c r="R46" t="s">
        <v>50</v>
      </c>
      <c r="S46" t="s">
        <v>81</v>
      </c>
      <c r="T46" t="s">
        <v>150</v>
      </c>
      <c r="U46" t="s">
        <v>151</v>
      </c>
      <c r="V46">
        <v>714</v>
      </c>
      <c r="W46">
        <v>112.5</v>
      </c>
      <c r="X46">
        <v>522.4</v>
      </c>
      <c r="Y46">
        <v>138</v>
      </c>
      <c r="Z46">
        <v>237</v>
      </c>
      <c r="AA46">
        <v>371</v>
      </c>
      <c r="AB46">
        <v>485</v>
      </c>
      <c r="AC46" t="s">
        <v>58</v>
      </c>
      <c r="AD46" t="s">
        <v>54</v>
      </c>
      <c r="AE46" t="s">
        <v>55</v>
      </c>
      <c r="AF46" t="s">
        <v>56</v>
      </c>
      <c r="AG46" t="s">
        <v>55</v>
      </c>
      <c r="AH46">
        <v>112.5</v>
      </c>
      <c r="AI46">
        <v>199.5</v>
      </c>
      <c r="AJ46">
        <v>319.5</v>
      </c>
      <c r="AK46">
        <v>483</v>
      </c>
      <c r="AL46">
        <v>737</v>
      </c>
      <c r="AM46" t="s">
        <v>58</v>
      </c>
      <c r="AN46" t="s">
        <v>56</v>
      </c>
      <c r="AO46" t="s">
        <v>57</v>
      </c>
      <c r="AP46" t="s">
        <v>58</v>
      </c>
      <c r="AQ46" t="s">
        <v>64</v>
      </c>
      <c r="AR46">
        <v>21</v>
      </c>
    </row>
    <row r="47" spans="1:44" hidden="1">
      <c r="A47" t="s">
        <v>76</v>
      </c>
      <c r="B47" t="s">
        <v>118</v>
      </c>
      <c r="C47" t="s">
        <v>142</v>
      </c>
      <c r="D47" t="s">
        <v>148</v>
      </c>
      <c r="E47" t="s">
        <v>149</v>
      </c>
      <c r="F47" t="s">
        <v>48</v>
      </c>
      <c r="G47">
        <v>87</v>
      </c>
      <c r="H47" t="s">
        <v>152</v>
      </c>
      <c r="I47">
        <v>35924</v>
      </c>
      <c r="J47">
        <v>2</v>
      </c>
      <c r="K47">
        <v>1.7698630136986302</v>
      </c>
      <c r="L47">
        <v>4.43</v>
      </c>
      <c r="M47">
        <v>5.07</v>
      </c>
      <c r="N47">
        <v>0.5242665593675665</v>
      </c>
      <c r="O47">
        <v>0.6000071006757477</v>
      </c>
      <c r="P47" t="s">
        <v>51</v>
      </c>
      <c r="Q47">
        <v>2</v>
      </c>
      <c r="R47">
        <v>1.7698630136986302</v>
      </c>
      <c r="S47" t="s">
        <v>81</v>
      </c>
      <c r="T47" t="s">
        <v>150</v>
      </c>
      <c r="U47" t="s">
        <v>151</v>
      </c>
      <c r="V47">
        <v>13.5</v>
      </c>
      <c r="W47">
        <v>13.5</v>
      </c>
      <c r="X47">
        <v>13.5</v>
      </c>
      <c r="Y47">
        <v>13.5</v>
      </c>
      <c r="Z47">
        <v>13.5</v>
      </c>
      <c r="AA47">
        <v>13.5</v>
      </c>
      <c r="AB47">
        <v>13.5</v>
      </c>
      <c r="AC47" t="s">
        <v>63</v>
      </c>
      <c r="AD47" t="s">
        <v>63</v>
      </c>
      <c r="AE47" t="s">
        <v>63</v>
      </c>
      <c r="AF47" t="s">
        <v>63</v>
      </c>
      <c r="AG47" t="s">
        <v>63</v>
      </c>
      <c r="AH47">
        <v>13.5</v>
      </c>
      <c r="AI47">
        <v>13.5</v>
      </c>
      <c r="AJ47">
        <v>13.5</v>
      </c>
      <c r="AK47">
        <v>13.5</v>
      </c>
      <c r="AL47">
        <v>13.5</v>
      </c>
      <c r="AM47" t="s">
        <v>63</v>
      </c>
      <c r="AN47" t="s">
        <v>63</v>
      </c>
      <c r="AO47" t="s">
        <v>63</v>
      </c>
      <c r="AP47" t="s">
        <v>63</v>
      </c>
      <c r="AQ47" t="s">
        <v>63</v>
      </c>
      <c r="AR47">
        <v>1</v>
      </c>
    </row>
    <row r="48" spans="1:44" hidden="1">
      <c r="A48" t="s">
        <v>76</v>
      </c>
      <c r="B48" t="s">
        <v>118</v>
      </c>
      <c r="C48" t="s">
        <v>142</v>
      </c>
      <c r="D48" t="s">
        <v>148</v>
      </c>
      <c r="E48" t="s">
        <v>149</v>
      </c>
      <c r="F48" t="s">
        <v>48</v>
      </c>
      <c r="G48">
        <v>88</v>
      </c>
      <c r="H48" t="s">
        <v>152</v>
      </c>
      <c r="I48">
        <v>36308</v>
      </c>
      <c r="J48">
        <v>3</v>
      </c>
      <c r="K48">
        <v>1.0520547945205478</v>
      </c>
      <c r="L48">
        <v>6</v>
      </c>
      <c r="M48">
        <v>14.71</v>
      </c>
      <c r="N48">
        <v>0.71006757476419835</v>
      </c>
      <c r="O48">
        <v>1.7408490041302267</v>
      </c>
      <c r="P48" t="s">
        <v>51</v>
      </c>
      <c r="Q48">
        <v>3</v>
      </c>
      <c r="R48">
        <v>1.0520547945205478</v>
      </c>
      <c r="S48" t="s">
        <v>81</v>
      </c>
      <c r="T48" t="s">
        <v>147</v>
      </c>
      <c r="U48" t="s">
        <v>142</v>
      </c>
      <c r="V48">
        <v>236</v>
      </c>
      <c r="W48">
        <v>22.5</v>
      </c>
      <c r="X48">
        <v>170.7</v>
      </c>
      <c r="Y48">
        <v>48.5</v>
      </c>
      <c r="Z48">
        <v>84.5</v>
      </c>
      <c r="AA48">
        <v>114.5</v>
      </c>
      <c r="AB48">
        <v>166.5</v>
      </c>
      <c r="AC48" t="s">
        <v>63</v>
      </c>
      <c r="AD48" t="s">
        <v>63</v>
      </c>
      <c r="AE48" t="s">
        <v>63</v>
      </c>
      <c r="AF48" t="s">
        <v>63</v>
      </c>
      <c r="AG48" t="s">
        <v>63</v>
      </c>
      <c r="AH48">
        <v>22.5</v>
      </c>
      <c r="AI48">
        <v>51.5</v>
      </c>
      <c r="AJ48">
        <v>92</v>
      </c>
      <c r="AK48">
        <v>128.5</v>
      </c>
      <c r="AL48">
        <v>199</v>
      </c>
      <c r="AM48" t="s">
        <v>63</v>
      </c>
      <c r="AN48" t="s">
        <v>63</v>
      </c>
      <c r="AO48" t="s">
        <v>63</v>
      </c>
      <c r="AP48" t="s">
        <v>63</v>
      </c>
      <c r="AQ48" t="s">
        <v>63</v>
      </c>
      <c r="AR48">
        <v>21</v>
      </c>
    </row>
    <row r="49" spans="1:44" hidden="1">
      <c r="A49" t="s">
        <v>76</v>
      </c>
      <c r="B49" t="s">
        <v>118</v>
      </c>
      <c r="C49" t="s">
        <v>142</v>
      </c>
      <c r="D49" t="s">
        <v>148</v>
      </c>
      <c r="E49" t="s">
        <v>149</v>
      </c>
      <c r="F49" t="s">
        <v>48</v>
      </c>
      <c r="G49">
        <v>90</v>
      </c>
      <c r="H49" t="s">
        <v>80</v>
      </c>
      <c r="I49">
        <v>37102</v>
      </c>
      <c r="J49">
        <v>4</v>
      </c>
      <c r="K49">
        <v>2.1753424657534248</v>
      </c>
      <c r="L49">
        <v>14.56</v>
      </c>
      <c r="M49">
        <v>37.299999999999997</v>
      </c>
      <c r="N49">
        <v>1.7230973147611215</v>
      </c>
      <c r="O49">
        <v>4.4142534231174331</v>
      </c>
      <c r="P49" t="s">
        <v>60</v>
      </c>
      <c r="Q49" t="s">
        <v>50</v>
      </c>
      <c r="R49" t="s">
        <v>50</v>
      </c>
      <c r="S49" t="s">
        <v>81</v>
      </c>
      <c r="T49" t="s">
        <v>147</v>
      </c>
      <c r="U49" t="s">
        <v>142</v>
      </c>
      <c r="V49">
        <v>517</v>
      </c>
      <c r="W49">
        <v>91.5</v>
      </c>
      <c r="X49">
        <v>458.6</v>
      </c>
      <c r="Y49">
        <v>218.5</v>
      </c>
      <c r="Z49">
        <v>335</v>
      </c>
      <c r="AA49">
        <v>406</v>
      </c>
      <c r="AB49">
        <v>406</v>
      </c>
      <c r="AC49" t="s">
        <v>56</v>
      </c>
      <c r="AD49" t="s">
        <v>57</v>
      </c>
      <c r="AE49" t="s">
        <v>58</v>
      </c>
      <c r="AF49" t="s">
        <v>56</v>
      </c>
      <c r="AG49" t="s">
        <v>54</v>
      </c>
      <c r="AH49">
        <v>91.5</v>
      </c>
      <c r="AI49">
        <v>219</v>
      </c>
      <c r="AJ49">
        <v>375</v>
      </c>
      <c r="AK49">
        <v>544</v>
      </c>
      <c r="AL49">
        <v>629</v>
      </c>
      <c r="AM49" t="s">
        <v>56</v>
      </c>
      <c r="AN49" t="s">
        <v>57</v>
      </c>
      <c r="AO49" t="s">
        <v>87</v>
      </c>
      <c r="AP49" t="s">
        <v>64</v>
      </c>
      <c r="AQ49" t="s">
        <v>57</v>
      </c>
      <c r="AR49">
        <v>9</v>
      </c>
    </row>
    <row r="50" spans="1:44" hidden="1">
      <c r="A50" t="s">
        <v>76</v>
      </c>
      <c r="B50" t="s">
        <v>118</v>
      </c>
      <c r="C50" t="s">
        <v>142</v>
      </c>
      <c r="D50" t="s">
        <v>148</v>
      </c>
      <c r="E50" t="s">
        <v>149</v>
      </c>
      <c r="F50" t="s">
        <v>48</v>
      </c>
      <c r="G50">
        <v>93</v>
      </c>
      <c r="H50" t="s">
        <v>70</v>
      </c>
      <c r="I50">
        <v>38170</v>
      </c>
      <c r="J50">
        <v>5</v>
      </c>
      <c r="K50">
        <v>2.9260273972602739</v>
      </c>
      <c r="L50">
        <v>23.43</v>
      </c>
      <c r="M50">
        <v>56.34</v>
      </c>
      <c r="N50">
        <v>2.7728138794541946</v>
      </c>
      <c r="O50">
        <v>6.6675345270358228</v>
      </c>
      <c r="P50" t="s">
        <v>60</v>
      </c>
      <c r="Q50" t="s">
        <v>50</v>
      </c>
      <c r="R50" t="s">
        <v>50</v>
      </c>
      <c r="S50">
        <v>200</v>
      </c>
      <c r="T50" t="s">
        <v>147</v>
      </c>
      <c r="U50" t="s">
        <v>142</v>
      </c>
      <c r="V50">
        <v>1254</v>
      </c>
      <c r="W50">
        <v>72.5</v>
      </c>
      <c r="X50">
        <v>494.5</v>
      </c>
      <c r="Y50">
        <v>104.5</v>
      </c>
      <c r="Z50">
        <v>149</v>
      </c>
      <c r="AA50">
        <v>275.5</v>
      </c>
      <c r="AB50">
        <v>481</v>
      </c>
      <c r="AC50" t="s">
        <v>54</v>
      </c>
      <c r="AD50" t="s">
        <v>63</v>
      </c>
      <c r="AE50" t="s">
        <v>63</v>
      </c>
      <c r="AF50" t="s">
        <v>63</v>
      </c>
      <c r="AG50" t="s">
        <v>55</v>
      </c>
      <c r="AH50">
        <v>72.5</v>
      </c>
      <c r="AI50">
        <v>162.5</v>
      </c>
      <c r="AJ50">
        <v>285.5</v>
      </c>
      <c r="AK50">
        <v>408.5</v>
      </c>
      <c r="AL50">
        <v>684.5</v>
      </c>
      <c r="AM50" t="s">
        <v>54</v>
      </c>
      <c r="AN50" t="s">
        <v>55</v>
      </c>
      <c r="AO50" t="s">
        <v>56</v>
      </c>
      <c r="AP50" t="s">
        <v>56</v>
      </c>
      <c r="AQ50" t="s">
        <v>58</v>
      </c>
      <c r="AR50">
        <v>20</v>
      </c>
    </row>
    <row r="51" spans="1:44">
      <c r="A51" t="s">
        <v>76</v>
      </c>
      <c r="B51" t="s">
        <v>118</v>
      </c>
      <c r="C51" t="s">
        <v>142</v>
      </c>
      <c r="D51" t="s">
        <v>148</v>
      </c>
      <c r="E51" t="s">
        <v>149</v>
      </c>
      <c r="F51" t="s">
        <v>48</v>
      </c>
      <c r="G51">
        <v>98</v>
      </c>
      <c r="H51" t="s">
        <v>153</v>
      </c>
      <c r="I51">
        <v>40033.625</v>
      </c>
      <c r="J51">
        <v>6</v>
      </c>
      <c r="K51">
        <v>5.1058219178082194</v>
      </c>
      <c r="L51">
        <v>57.6</v>
      </c>
      <c r="M51">
        <v>73.25</v>
      </c>
      <c r="N51">
        <v>6.8166487177363049</v>
      </c>
      <c r="O51">
        <v>8.6687416419129217</v>
      </c>
      <c r="P51" t="s">
        <v>51</v>
      </c>
      <c r="Q51">
        <v>1</v>
      </c>
      <c r="R51" t="s">
        <v>50</v>
      </c>
      <c r="S51">
        <v>250</v>
      </c>
      <c r="T51" t="s">
        <v>147</v>
      </c>
      <c r="U51" t="s">
        <v>142</v>
      </c>
      <c r="V51">
        <v>1919</v>
      </c>
      <c r="W51">
        <v>34</v>
      </c>
      <c r="X51">
        <v>576.1</v>
      </c>
      <c r="Y51">
        <v>91.5</v>
      </c>
      <c r="Z51">
        <v>152</v>
      </c>
      <c r="AA51">
        <v>289.5</v>
      </c>
      <c r="AB51">
        <v>423</v>
      </c>
      <c r="AC51" t="s">
        <v>63</v>
      </c>
      <c r="AD51" t="s">
        <v>63</v>
      </c>
      <c r="AE51" t="s">
        <v>63</v>
      </c>
      <c r="AF51" t="s">
        <v>54</v>
      </c>
      <c r="AG51" t="s">
        <v>54</v>
      </c>
      <c r="AH51">
        <v>95</v>
      </c>
      <c r="AI51">
        <v>255.5</v>
      </c>
      <c r="AJ51">
        <v>392</v>
      </c>
      <c r="AK51">
        <v>653</v>
      </c>
      <c r="AL51">
        <v>1138.5</v>
      </c>
      <c r="AM51" t="s">
        <v>56</v>
      </c>
      <c r="AN51" t="s">
        <v>87</v>
      </c>
      <c r="AO51" t="s">
        <v>64</v>
      </c>
      <c r="AP51" t="s">
        <v>64</v>
      </c>
      <c r="AQ51" t="s">
        <v>64</v>
      </c>
      <c r="AR51">
        <v>39</v>
      </c>
    </row>
    <row r="52" spans="1:44" hidden="1">
      <c r="A52" t="s">
        <v>76</v>
      </c>
      <c r="B52" t="s">
        <v>118</v>
      </c>
      <c r="C52" t="s">
        <v>142</v>
      </c>
      <c r="D52" t="s">
        <v>154</v>
      </c>
      <c r="E52" t="s">
        <v>155</v>
      </c>
      <c r="F52" t="s">
        <v>48</v>
      </c>
      <c r="G52">
        <v>90</v>
      </c>
      <c r="H52" t="s">
        <v>80</v>
      </c>
      <c r="I52">
        <v>37102.291666666664</v>
      </c>
      <c r="J52">
        <v>1</v>
      </c>
      <c r="K52" t="s">
        <v>50</v>
      </c>
      <c r="L52">
        <v>5.19</v>
      </c>
      <c r="M52">
        <v>7.3701950400000005</v>
      </c>
      <c r="N52">
        <v>0.78633980788460967</v>
      </c>
      <c r="O52">
        <v>1.116662379927881</v>
      </c>
      <c r="P52" t="s">
        <v>60</v>
      </c>
      <c r="Q52" t="s">
        <v>50</v>
      </c>
      <c r="R52" t="s">
        <v>50</v>
      </c>
      <c r="S52" t="s">
        <v>81</v>
      </c>
      <c r="T52" t="s">
        <v>147</v>
      </c>
      <c r="U52" t="s">
        <v>142</v>
      </c>
      <c r="V52">
        <v>629</v>
      </c>
      <c r="W52">
        <v>91.5</v>
      </c>
      <c r="X52">
        <v>458.6</v>
      </c>
      <c r="Y52">
        <v>218.5</v>
      </c>
      <c r="Z52">
        <v>335</v>
      </c>
      <c r="AA52">
        <v>406</v>
      </c>
      <c r="AB52">
        <v>406</v>
      </c>
      <c r="AC52" t="s">
        <v>56</v>
      </c>
      <c r="AD52" t="s">
        <v>57</v>
      </c>
      <c r="AE52" t="s">
        <v>58</v>
      </c>
      <c r="AF52" t="s">
        <v>56</v>
      </c>
      <c r="AG52" t="s">
        <v>54</v>
      </c>
      <c r="AH52">
        <v>91.5</v>
      </c>
      <c r="AI52">
        <v>219</v>
      </c>
      <c r="AJ52">
        <v>375</v>
      </c>
      <c r="AK52">
        <v>544</v>
      </c>
      <c r="AL52">
        <v>629</v>
      </c>
      <c r="AM52" t="s">
        <v>56</v>
      </c>
      <c r="AN52" t="s">
        <v>57</v>
      </c>
      <c r="AO52" t="s">
        <v>87</v>
      </c>
      <c r="AP52" t="s">
        <v>64</v>
      </c>
      <c r="AQ52" t="s">
        <v>57</v>
      </c>
      <c r="AR52">
        <v>9</v>
      </c>
    </row>
    <row r="53" spans="1:44">
      <c r="A53" t="s">
        <v>76</v>
      </c>
      <c r="B53" t="s">
        <v>118</v>
      </c>
      <c r="C53" t="s">
        <v>142</v>
      </c>
      <c r="D53" t="s">
        <v>154</v>
      </c>
      <c r="E53" t="s">
        <v>155</v>
      </c>
      <c r="F53" t="s">
        <v>48</v>
      </c>
      <c r="G53">
        <v>98</v>
      </c>
      <c r="H53" t="s">
        <v>153</v>
      </c>
      <c r="I53">
        <v>40033.875</v>
      </c>
      <c r="J53">
        <v>2</v>
      </c>
      <c r="K53">
        <v>8.0317351598173587</v>
      </c>
      <c r="L53">
        <v>0</v>
      </c>
      <c r="M53">
        <v>9.8000000000000007</v>
      </c>
      <c r="N53">
        <v>0</v>
      </c>
      <c r="O53">
        <v>1.4848034908033092</v>
      </c>
      <c r="P53" t="s">
        <v>51</v>
      </c>
      <c r="Q53">
        <v>1</v>
      </c>
      <c r="R53" t="s">
        <v>50</v>
      </c>
      <c r="S53">
        <v>250</v>
      </c>
      <c r="T53" t="s">
        <v>147</v>
      </c>
      <c r="U53" t="s">
        <v>142</v>
      </c>
      <c r="V53">
        <v>1919</v>
      </c>
      <c r="W53">
        <v>38</v>
      </c>
      <c r="X53">
        <v>786.9</v>
      </c>
      <c r="Y53">
        <v>122.5</v>
      </c>
      <c r="Z53">
        <v>240.5</v>
      </c>
      <c r="AA53">
        <v>392.5</v>
      </c>
      <c r="AB53">
        <v>604.5</v>
      </c>
      <c r="AC53" t="s">
        <v>63</v>
      </c>
      <c r="AD53" t="s">
        <v>63</v>
      </c>
      <c r="AE53" t="s">
        <v>55</v>
      </c>
      <c r="AF53" t="s">
        <v>56</v>
      </c>
      <c r="AG53" t="s">
        <v>57</v>
      </c>
      <c r="AH53">
        <v>95</v>
      </c>
      <c r="AI53">
        <v>255.5</v>
      </c>
      <c r="AJ53">
        <v>392</v>
      </c>
      <c r="AK53">
        <v>653</v>
      </c>
      <c r="AL53">
        <v>1138.5</v>
      </c>
      <c r="AM53" t="s">
        <v>56</v>
      </c>
      <c r="AN53" t="s">
        <v>87</v>
      </c>
      <c r="AO53" t="s">
        <v>64</v>
      </c>
      <c r="AP53" t="s">
        <v>64</v>
      </c>
      <c r="AQ53" t="s">
        <v>64</v>
      </c>
      <c r="AR53">
        <v>45</v>
      </c>
    </row>
    <row r="54" spans="1:44" hidden="1">
      <c r="A54" t="s">
        <v>76</v>
      </c>
      <c r="B54" t="s">
        <v>118</v>
      </c>
      <c r="C54" t="s">
        <v>156</v>
      </c>
      <c r="D54" t="s">
        <v>157</v>
      </c>
      <c r="E54" t="s">
        <v>158</v>
      </c>
      <c r="F54" t="s">
        <v>48</v>
      </c>
      <c r="G54">
        <v>90</v>
      </c>
      <c r="H54" t="s">
        <v>80</v>
      </c>
      <c r="I54">
        <v>37102</v>
      </c>
      <c r="J54">
        <v>1</v>
      </c>
      <c r="K54" t="s">
        <v>50</v>
      </c>
      <c r="L54">
        <v>0.53</v>
      </c>
      <c r="M54">
        <v>1.9153226200000002</v>
      </c>
      <c r="N54">
        <v>0.12265963109537367</v>
      </c>
      <c r="O54">
        <v>0.44326936980721615</v>
      </c>
      <c r="P54" t="s">
        <v>60</v>
      </c>
      <c r="Q54" t="s">
        <v>50</v>
      </c>
      <c r="R54" t="s">
        <v>50</v>
      </c>
      <c r="S54" t="s">
        <v>81</v>
      </c>
      <c r="T54" t="s">
        <v>145</v>
      </c>
      <c r="U54" t="s">
        <v>146</v>
      </c>
      <c r="V54">
        <v>430.5</v>
      </c>
      <c r="W54">
        <v>66.5</v>
      </c>
      <c r="X54">
        <v>200.7</v>
      </c>
      <c r="Y54">
        <v>104</v>
      </c>
      <c r="Z54">
        <v>139</v>
      </c>
      <c r="AA54">
        <v>172</v>
      </c>
      <c r="AB54">
        <v>172</v>
      </c>
      <c r="AC54" t="s">
        <v>54</v>
      </c>
      <c r="AD54" t="s">
        <v>63</v>
      </c>
      <c r="AE54" t="s">
        <v>63</v>
      </c>
      <c r="AF54" t="s">
        <v>63</v>
      </c>
      <c r="AG54" t="s">
        <v>63</v>
      </c>
      <c r="AH54">
        <v>66.5</v>
      </c>
      <c r="AI54">
        <v>191.5</v>
      </c>
      <c r="AJ54">
        <v>291.5</v>
      </c>
      <c r="AK54">
        <v>378</v>
      </c>
      <c r="AL54">
        <v>430.5</v>
      </c>
      <c r="AM54" t="s">
        <v>54</v>
      </c>
      <c r="AN54" t="s">
        <v>57</v>
      </c>
      <c r="AO54" t="s">
        <v>58</v>
      </c>
      <c r="AP54" t="s">
        <v>58</v>
      </c>
      <c r="AQ54" t="s">
        <v>56</v>
      </c>
      <c r="AR54">
        <v>7</v>
      </c>
    </row>
    <row r="55" spans="1:44">
      <c r="A55" t="s">
        <v>76</v>
      </c>
      <c r="B55" t="s">
        <v>118</v>
      </c>
      <c r="C55" t="s">
        <v>156</v>
      </c>
      <c r="D55" t="s">
        <v>157</v>
      </c>
      <c r="E55" t="s">
        <v>158</v>
      </c>
      <c r="F55" t="s">
        <v>48</v>
      </c>
      <c r="G55">
        <v>98</v>
      </c>
      <c r="H55" t="s">
        <v>153</v>
      </c>
      <c r="I55">
        <v>40034.083333333336</v>
      </c>
      <c r="J55">
        <v>2</v>
      </c>
      <c r="K55">
        <v>8.033105022831057</v>
      </c>
      <c r="L55">
        <v>0</v>
      </c>
      <c r="M55">
        <v>21.8</v>
      </c>
      <c r="N55">
        <v>0</v>
      </c>
      <c r="O55">
        <v>5.0452452035455577</v>
      </c>
      <c r="P55" t="s">
        <v>51</v>
      </c>
      <c r="Q55">
        <v>1</v>
      </c>
      <c r="R55" t="s">
        <v>50</v>
      </c>
      <c r="S55">
        <v>250</v>
      </c>
      <c r="T55" t="s">
        <v>147</v>
      </c>
      <c r="U55" t="s">
        <v>142</v>
      </c>
      <c r="V55">
        <v>1919</v>
      </c>
      <c r="W55">
        <v>89</v>
      </c>
      <c r="X55">
        <v>1087.9000000000001</v>
      </c>
      <c r="Y55">
        <v>226.5</v>
      </c>
      <c r="Z55">
        <v>349</v>
      </c>
      <c r="AA55">
        <v>585.5</v>
      </c>
      <c r="AB55">
        <v>857</v>
      </c>
      <c r="AC55" t="s">
        <v>55</v>
      </c>
      <c r="AD55" t="s">
        <v>58</v>
      </c>
      <c r="AE55" t="s">
        <v>58</v>
      </c>
      <c r="AF55" t="s">
        <v>64</v>
      </c>
      <c r="AG55" t="s">
        <v>64</v>
      </c>
      <c r="AH55">
        <v>95</v>
      </c>
      <c r="AI55">
        <v>255.5</v>
      </c>
      <c r="AJ55">
        <v>392</v>
      </c>
      <c r="AK55">
        <v>653</v>
      </c>
      <c r="AL55">
        <v>1138.5</v>
      </c>
      <c r="AM55" t="s">
        <v>56</v>
      </c>
      <c r="AN55" t="s">
        <v>87</v>
      </c>
      <c r="AO55" t="s">
        <v>64</v>
      </c>
      <c r="AP55" t="s">
        <v>64</v>
      </c>
      <c r="AQ55" t="s">
        <v>64</v>
      </c>
      <c r="AR55">
        <v>49</v>
      </c>
    </row>
    <row r="56" spans="1:44">
      <c r="A56" t="s">
        <v>76</v>
      </c>
      <c r="B56" t="s">
        <v>118</v>
      </c>
      <c r="C56" t="s">
        <v>156</v>
      </c>
      <c r="D56" t="s">
        <v>157</v>
      </c>
      <c r="E56" t="s">
        <v>158</v>
      </c>
      <c r="F56" t="s">
        <v>48</v>
      </c>
      <c r="G56">
        <v>101</v>
      </c>
      <c r="H56" t="s">
        <v>159</v>
      </c>
      <c r="I56">
        <v>41071.791666666664</v>
      </c>
      <c r="J56">
        <v>3</v>
      </c>
      <c r="K56">
        <v>2.8430365296803521</v>
      </c>
      <c r="L56">
        <v>22.2</v>
      </c>
      <c r="M56">
        <v>18.079999999999998</v>
      </c>
      <c r="N56">
        <v>5.1378185100326323</v>
      </c>
      <c r="O56">
        <v>4.1843134532157649</v>
      </c>
      <c r="P56" t="s">
        <v>51</v>
      </c>
      <c r="Q56">
        <v>2</v>
      </c>
      <c r="R56">
        <v>2.8430365296803521</v>
      </c>
      <c r="S56">
        <v>250</v>
      </c>
      <c r="T56" t="s">
        <v>160</v>
      </c>
      <c r="U56" t="s">
        <v>161</v>
      </c>
      <c r="V56">
        <v>656.5</v>
      </c>
      <c r="W56">
        <v>18.5</v>
      </c>
      <c r="X56">
        <v>434.8</v>
      </c>
      <c r="Y56">
        <v>59</v>
      </c>
      <c r="Z56">
        <v>129</v>
      </c>
      <c r="AA56">
        <v>237.5</v>
      </c>
      <c r="AB56">
        <v>307</v>
      </c>
      <c r="AC56" t="s">
        <v>63</v>
      </c>
      <c r="AD56" t="s">
        <v>63</v>
      </c>
      <c r="AE56" t="s">
        <v>63</v>
      </c>
      <c r="AF56" t="s">
        <v>63</v>
      </c>
      <c r="AG56" t="s">
        <v>63</v>
      </c>
      <c r="AH56">
        <v>32</v>
      </c>
      <c r="AI56">
        <v>80.5</v>
      </c>
      <c r="AJ56">
        <v>150.5</v>
      </c>
      <c r="AK56">
        <v>244</v>
      </c>
      <c r="AL56">
        <v>353</v>
      </c>
      <c r="AM56" t="s">
        <v>63</v>
      </c>
      <c r="AN56" t="s">
        <v>63</v>
      </c>
      <c r="AO56" t="s">
        <v>63</v>
      </c>
      <c r="AP56" t="s">
        <v>54</v>
      </c>
      <c r="AQ56" t="s">
        <v>54</v>
      </c>
      <c r="AR56">
        <v>40</v>
      </c>
    </row>
    <row r="57" spans="1:44">
      <c r="A57" t="s">
        <v>76</v>
      </c>
      <c r="B57" t="s">
        <v>118</v>
      </c>
      <c r="C57" t="s">
        <v>162</v>
      </c>
      <c r="D57" t="s">
        <v>163</v>
      </c>
      <c r="E57" t="s">
        <v>164</v>
      </c>
      <c r="F57" t="s">
        <v>48</v>
      </c>
      <c r="G57">
        <v>112</v>
      </c>
      <c r="H57" t="s">
        <v>165</v>
      </c>
      <c r="I57">
        <v>45162.708333333336</v>
      </c>
      <c r="J57">
        <v>1</v>
      </c>
      <c r="K57" t="s">
        <v>50</v>
      </c>
      <c r="L57">
        <v>0</v>
      </c>
      <c r="M57">
        <v>0</v>
      </c>
      <c r="N57">
        <v>0</v>
      </c>
      <c r="O57">
        <v>0</v>
      </c>
      <c r="P57" t="s">
        <v>51</v>
      </c>
      <c r="Q57">
        <v>1</v>
      </c>
      <c r="R57" t="s">
        <v>50</v>
      </c>
      <c r="S57">
        <v>300</v>
      </c>
      <c r="T57" t="s">
        <v>145</v>
      </c>
      <c r="U57" t="s">
        <v>146</v>
      </c>
      <c r="V57">
        <v>42</v>
      </c>
      <c r="W57">
        <v>29</v>
      </c>
      <c r="X57">
        <v>46</v>
      </c>
      <c r="Y57">
        <v>36.5</v>
      </c>
      <c r="Z57">
        <v>36.5</v>
      </c>
      <c r="AA57">
        <v>36.5</v>
      </c>
      <c r="AB57">
        <v>36.5</v>
      </c>
      <c r="AC57" t="s">
        <v>63</v>
      </c>
      <c r="AD57" t="s">
        <v>63</v>
      </c>
      <c r="AE57" t="s">
        <v>63</v>
      </c>
      <c r="AF57" t="s">
        <v>63</v>
      </c>
      <c r="AG57" t="s">
        <v>63</v>
      </c>
      <c r="AH57">
        <v>29</v>
      </c>
      <c r="AI57">
        <v>42</v>
      </c>
      <c r="AJ57">
        <v>42</v>
      </c>
      <c r="AK57">
        <v>42</v>
      </c>
      <c r="AL57">
        <v>42</v>
      </c>
      <c r="AM57" t="s">
        <v>63</v>
      </c>
      <c r="AN57" t="s">
        <v>63</v>
      </c>
      <c r="AO57" t="s">
        <v>63</v>
      </c>
      <c r="AP57" t="s">
        <v>63</v>
      </c>
      <c r="AQ57" t="s">
        <v>63</v>
      </c>
      <c r="AR57">
        <v>3</v>
      </c>
    </row>
    <row r="58" spans="1:44">
      <c r="A58" t="s">
        <v>76</v>
      </c>
      <c r="B58" t="s">
        <v>118</v>
      </c>
      <c r="C58" t="s">
        <v>162</v>
      </c>
      <c r="D58" t="s">
        <v>163</v>
      </c>
      <c r="E58" t="s">
        <v>164</v>
      </c>
      <c r="F58" t="s">
        <v>48</v>
      </c>
      <c r="G58">
        <v>113</v>
      </c>
      <c r="H58" t="s">
        <v>165</v>
      </c>
      <c r="I58">
        <v>45440.5</v>
      </c>
      <c r="J58">
        <v>2</v>
      </c>
      <c r="K58">
        <v>0.761073059360724</v>
      </c>
      <c r="L58">
        <v>0.1</v>
      </c>
      <c r="M58" t="s">
        <v>166</v>
      </c>
      <c r="N58">
        <v>0.12410027302060064</v>
      </c>
      <c r="O58" t="e">
        <v>#VALUE!</v>
      </c>
      <c r="P58" t="s">
        <v>51</v>
      </c>
      <c r="Q58">
        <v>2</v>
      </c>
      <c r="R58">
        <v>0.761073059360724</v>
      </c>
      <c r="S58">
        <v>300</v>
      </c>
      <c r="T58" t="s">
        <v>167</v>
      </c>
      <c r="U58" t="s">
        <v>168</v>
      </c>
      <c r="V58">
        <v>41</v>
      </c>
      <c r="W58">
        <v>18</v>
      </c>
      <c r="X58">
        <v>102</v>
      </c>
      <c r="Y58">
        <v>48.5</v>
      </c>
      <c r="Z58">
        <v>57.5</v>
      </c>
      <c r="AA58">
        <v>60</v>
      </c>
      <c r="AB58">
        <v>67</v>
      </c>
      <c r="AC58" t="s">
        <v>63</v>
      </c>
      <c r="AD58" t="s">
        <v>63</v>
      </c>
      <c r="AE58" t="s">
        <v>63</v>
      </c>
      <c r="AF58" t="s">
        <v>63</v>
      </c>
      <c r="AG58" t="s">
        <v>63</v>
      </c>
      <c r="AH58">
        <v>14</v>
      </c>
      <c r="AI58">
        <v>32</v>
      </c>
      <c r="AJ58">
        <v>41</v>
      </c>
      <c r="AK58">
        <v>41</v>
      </c>
      <c r="AL58">
        <v>41</v>
      </c>
      <c r="AM58" t="s">
        <v>63</v>
      </c>
      <c r="AN58" t="s">
        <v>63</v>
      </c>
      <c r="AO58" t="s">
        <v>63</v>
      </c>
      <c r="AP58" t="s">
        <v>63</v>
      </c>
      <c r="AQ58" t="s">
        <v>63</v>
      </c>
      <c r="AR58">
        <v>6</v>
      </c>
    </row>
    <row r="59" spans="1:44">
      <c r="A59" t="s">
        <v>76</v>
      </c>
      <c r="B59" t="s">
        <v>118</v>
      </c>
      <c r="C59" t="s">
        <v>162</v>
      </c>
      <c r="D59" t="s">
        <v>163</v>
      </c>
      <c r="E59" t="s">
        <v>164</v>
      </c>
      <c r="F59" t="s">
        <v>48</v>
      </c>
      <c r="G59">
        <v>113</v>
      </c>
      <c r="H59" t="s">
        <v>59</v>
      </c>
      <c r="I59">
        <v>45498</v>
      </c>
      <c r="J59">
        <v>3</v>
      </c>
      <c r="K59">
        <v>0.15753424657534246</v>
      </c>
      <c r="L59" t="s">
        <v>166</v>
      </c>
      <c r="M59" t="s">
        <v>166</v>
      </c>
      <c r="N59" t="e">
        <v>#VALUE!</v>
      </c>
      <c r="O59" t="e">
        <v>#VALUE!</v>
      </c>
      <c r="P59" t="s">
        <v>51</v>
      </c>
      <c r="Q59">
        <v>3</v>
      </c>
      <c r="R59">
        <v>0.15753424657534246</v>
      </c>
      <c r="S59">
        <v>300</v>
      </c>
      <c r="T59" t="s">
        <v>167</v>
      </c>
      <c r="U59" t="s">
        <v>168</v>
      </c>
      <c r="V59">
        <v>342</v>
      </c>
      <c r="W59">
        <v>11</v>
      </c>
      <c r="X59">
        <v>93</v>
      </c>
      <c r="Y59">
        <v>22</v>
      </c>
      <c r="Z59">
        <v>52</v>
      </c>
      <c r="AA59">
        <v>99</v>
      </c>
      <c r="AB59">
        <v>120</v>
      </c>
      <c r="AC59" t="s">
        <v>63</v>
      </c>
      <c r="AD59" t="s">
        <v>63</v>
      </c>
      <c r="AE59" t="s">
        <v>63</v>
      </c>
      <c r="AF59" t="s">
        <v>63</v>
      </c>
      <c r="AG59" t="s">
        <v>63</v>
      </c>
      <c r="AH59">
        <v>38</v>
      </c>
      <c r="AI59">
        <v>82</v>
      </c>
      <c r="AJ59">
        <v>126</v>
      </c>
      <c r="AK59">
        <v>177</v>
      </c>
      <c r="AL59">
        <v>284</v>
      </c>
      <c r="AM59" t="s">
        <v>63</v>
      </c>
      <c r="AN59" t="s">
        <v>63</v>
      </c>
      <c r="AO59" t="s">
        <v>63</v>
      </c>
      <c r="AP59" t="s">
        <v>54</v>
      </c>
      <c r="AQ59" t="s">
        <v>56</v>
      </c>
      <c r="AR59">
        <v>15</v>
      </c>
    </row>
    <row r="60" spans="1:44" hidden="1">
      <c r="A60" t="s">
        <v>76</v>
      </c>
      <c r="B60" t="s">
        <v>118</v>
      </c>
      <c r="C60" t="s">
        <v>142</v>
      </c>
      <c r="D60" t="s">
        <v>169</v>
      </c>
      <c r="E60" t="s">
        <v>170</v>
      </c>
      <c r="F60" t="s">
        <v>48</v>
      </c>
      <c r="G60">
        <v>85</v>
      </c>
      <c r="H60" t="s">
        <v>102</v>
      </c>
      <c r="I60">
        <v>35278</v>
      </c>
      <c r="J60">
        <v>1</v>
      </c>
      <c r="K60" t="s">
        <v>50</v>
      </c>
      <c r="L60">
        <v>13.75</v>
      </c>
      <c r="M60">
        <v>20.05</v>
      </c>
      <c r="N60">
        <v>3.6633452336548196</v>
      </c>
      <c r="O60">
        <v>5.3418234134384832</v>
      </c>
      <c r="P60" t="s">
        <v>51</v>
      </c>
      <c r="Q60">
        <v>1</v>
      </c>
      <c r="R60" t="s">
        <v>50</v>
      </c>
      <c r="S60" t="s">
        <v>81</v>
      </c>
      <c r="T60" t="s">
        <v>150</v>
      </c>
      <c r="U60" t="s">
        <v>151</v>
      </c>
      <c r="V60">
        <v>714</v>
      </c>
      <c r="W60">
        <v>112.5</v>
      </c>
      <c r="X60">
        <v>522.4</v>
      </c>
      <c r="Y60">
        <v>138</v>
      </c>
      <c r="Z60">
        <v>237</v>
      </c>
      <c r="AA60">
        <v>371</v>
      </c>
      <c r="AB60">
        <v>485</v>
      </c>
      <c r="AC60" t="s">
        <v>57</v>
      </c>
      <c r="AD60" t="s">
        <v>57</v>
      </c>
      <c r="AE60" t="s">
        <v>87</v>
      </c>
      <c r="AF60" t="s">
        <v>58</v>
      </c>
      <c r="AG60" t="s">
        <v>58</v>
      </c>
      <c r="AH60">
        <v>112.5</v>
      </c>
      <c r="AI60">
        <v>199.5</v>
      </c>
      <c r="AJ60">
        <v>319.5</v>
      </c>
      <c r="AK60">
        <v>483</v>
      </c>
      <c r="AL60">
        <v>737</v>
      </c>
      <c r="AM60" t="s">
        <v>58</v>
      </c>
      <c r="AN60" t="s">
        <v>56</v>
      </c>
      <c r="AO60" t="s">
        <v>57</v>
      </c>
      <c r="AP60" t="s">
        <v>58</v>
      </c>
      <c r="AQ60" t="s">
        <v>64</v>
      </c>
      <c r="AR60">
        <v>21</v>
      </c>
    </row>
    <row r="61" spans="1:44" hidden="1">
      <c r="A61" t="s">
        <v>76</v>
      </c>
      <c r="B61" t="s">
        <v>118</v>
      </c>
      <c r="C61" t="s">
        <v>142</v>
      </c>
      <c r="D61" t="s">
        <v>169</v>
      </c>
      <c r="E61" t="s">
        <v>170</v>
      </c>
      <c r="F61" t="s">
        <v>48</v>
      </c>
      <c r="G61">
        <v>90</v>
      </c>
      <c r="H61" t="s">
        <v>80</v>
      </c>
      <c r="I61">
        <v>37102</v>
      </c>
      <c r="J61">
        <v>2</v>
      </c>
      <c r="K61">
        <v>4.9972602739726026</v>
      </c>
      <c r="L61">
        <v>38.125</v>
      </c>
      <c r="M61">
        <v>44.93</v>
      </c>
      <c r="N61">
        <v>10.157457238770181</v>
      </c>
      <c r="O61">
        <v>11.97048009804444</v>
      </c>
      <c r="P61" t="s">
        <v>60</v>
      </c>
      <c r="Q61" t="s">
        <v>50</v>
      </c>
      <c r="R61" t="s">
        <v>50</v>
      </c>
      <c r="S61" t="s">
        <v>81</v>
      </c>
      <c r="T61" t="s">
        <v>147</v>
      </c>
      <c r="U61" t="s">
        <v>142</v>
      </c>
      <c r="V61">
        <v>517</v>
      </c>
      <c r="W61">
        <v>91.5</v>
      </c>
      <c r="X61">
        <v>458.6</v>
      </c>
      <c r="Y61">
        <v>218.5</v>
      </c>
      <c r="Z61">
        <v>335</v>
      </c>
      <c r="AA61">
        <v>406</v>
      </c>
      <c r="AB61">
        <v>406</v>
      </c>
      <c r="AC61" t="s">
        <v>56</v>
      </c>
      <c r="AD61" t="s">
        <v>57</v>
      </c>
      <c r="AE61" t="s">
        <v>58</v>
      </c>
      <c r="AF61" t="s">
        <v>56</v>
      </c>
      <c r="AG61" t="s">
        <v>54</v>
      </c>
      <c r="AH61">
        <v>91.5</v>
      </c>
      <c r="AI61">
        <v>219</v>
      </c>
      <c r="AJ61">
        <v>375</v>
      </c>
      <c r="AK61">
        <v>544</v>
      </c>
      <c r="AL61">
        <v>629</v>
      </c>
      <c r="AM61" t="s">
        <v>56</v>
      </c>
      <c r="AN61" t="s">
        <v>57</v>
      </c>
      <c r="AO61" t="s">
        <v>87</v>
      </c>
      <c r="AP61" t="s">
        <v>64</v>
      </c>
      <c r="AQ61" t="s">
        <v>57</v>
      </c>
      <c r="AR61">
        <v>9</v>
      </c>
    </row>
    <row r="62" spans="1:44" hidden="1">
      <c r="A62" t="s">
        <v>76</v>
      </c>
      <c r="B62" t="s">
        <v>118</v>
      </c>
      <c r="C62" t="s">
        <v>142</v>
      </c>
      <c r="D62" t="s">
        <v>169</v>
      </c>
      <c r="E62" t="s">
        <v>170</v>
      </c>
      <c r="F62" t="s">
        <v>48</v>
      </c>
      <c r="G62">
        <v>93</v>
      </c>
      <c r="H62" t="s">
        <v>70</v>
      </c>
      <c r="I62">
        <v>38170</v>
      </c>
      <c r="J62">
        <v>3</v>
      </c>
      <c r="K62">
        <v>2.9260273972602739</v>
      </c>
      <c r="L62">
        <v>33.6</v>
      </c>
      <c r="M62">
        <v>51.4</v>
      </c>
      <c r="N62">
        <v>8.9518836255128686</v>
      </c>
      <c r="O62">
        <v>13.694250546171471</v>
      </c>
      <c r="P62" t="s">
        <v>60</v>
      </c>
      <c r="Q62" t="s">
        <v>50</v>
      </c>
      <c r="R62" t="s">
        <v>50</v>
      </c>
      <c r="S62">
        <v>200</v>
      </c>
      <c r="T62" t="s">
        <v>147</v>
      </c>
      <c r="U62" t="s">
        <v>142</v>
      </c>
      <c r="V62">
        <v>1254</v>
      </c>
      <c r="W62">
        <v>72.5</v>
      </c>
      <c r="X62">
        <v>494.5</v>
      </c>
      <c r="Y62">
        <v>104.5</v>
      </c>
      <c r="Z62">
        <v>149</v>
      </c>
      <c r="AA62">
        <v>275.5</v>
      </c>
      <c r="AB62">
        <v>481</v>
      </c>
      <c r="AC62" t="s">
        <v>54</v>
      </c>
      <c r="AD62" t="s">
        <v>63</v>
      </c>
      <c r="AE62" t="s">
        <v>63</v>
      </c>
      <c r="AF62" t="s">
        <v>63</v>
      </c>
      <c r="AG62" t="s">
        <v>55</v>
      </c>
      <c r="AH62">
        <v>72.5</v>
      </c>
      <c r="AI62">
        <v>162.5</v>
      </c>
      <c r="AJ62">
        <v>285.5</v>
      </c>
      <c r="AK62">
        <v>408.5</v>
      </c>
      <c r="AL62">
        <v>684.5</v>
      </c>
      <c r="AM62" t="s">
        <v>54</v>
      </c>
      <c r="AN62" t="s">
        <v>55</v>
      </c>
      <c r="AO62" t="s">
        <v>56</v>
      </c>
      <c r="AP62" t="s">
        <v>56</v>
      </c>
      <c r="AQ62" t="s">
        <v>58</v>
      </c>
      <c r="AR62">
        <v>20</v>
      </c>
    </row>
    <row r="63" spans="1:44">
      <c r="A63" t="s">
        <v>76</v>
      </c>
      <c r="B63" t="s">
        <v>118</v>
      </c>
      <c r="C63" t="s">
        <v>142</v>
      </c>
      <c r="D63" t="s">
        <v>169</v>
      </c>
      <c r="E63" t="s">
        <v>170</v>
      </c>
      <c r="F63" t="s">
        <v>48</v>
      </c>
      <c r="G63">
        <v>98</v>
      </c>
      <c r="H63" t="s">
        <v>153</v>
      </c>
      <c r="I63">
        <v>40033.625</v>
      </c>
      <c r="J63">
        <v>4</v>
      </c>
      <c r="K63">
        <v>5.1058219178082194</v>
      </c>
      <c r="L63">
        <v>58.131931999999999</v>
      </c>
      <c r="M63">
        <v>190</v>
      </c>
      <c r="N63">
        <v>15.487806255661535</v>
      </c>
      <c r="O63">
        <v>50.620770501412061</v>
      </c>
      <c r="P63" t="s">
        <v>51</v>
      </c>
      <c r="Q63">
        <v>1</v>
      </c>
      <c r="R63" t="s">
        <v>50</v>
      </c>
      <c r="S63">
        <v>250</v>
      </c>
      <c r="T63" t="s">
        <v>147</v>
      </c>
      <c r="U63" t="s">
        <v>142</v>
      </c>
      <c r="V63">
        <v>1919</v>
      </c>
      <c r="W63">
        <v>34</v>
      </c>
      <c r="X63">
        <v>576.1</v>
      </c>
      <c r="Y63">
        <v>98</v>
      </c>
      <c r="Z63">
        <v>159</v>
      </c>
      <c r="AA63">
        <v>295.5</v>
      </c>
      <c r="AB63">
        <v>453.5</v>
      </c>
      <c r="AC63" t="s">
        <v>63</v>
      </c>
      <c r="AD63" t="s">
        <v>63</v>
      </c>
      <c r="AE63" t="s">
        <v>63</v>
      </c>
      <c r="AF63" t="s">
        <v>54</v>
      </c>
      <c r="AG63" t="s">
        <v>54</v>
      </c>
      <c r="AH63">
        <v>95</v>
      </c>
      <c r="AI63">
        <v>255.5</v>
      </c>
      <c r="AJ63">
        <v>392</v>
      </c>
      <c r="AK63">
        <v>653</v>
      </c>
      <c r="AL63">
        <v>1138.5</v>
      </c>
      <c r="AM63" t="s">
        <v>56</v>
      </c>
      <c r="AN63" t="s">
        <v>87</v>
      </c>
      <c r="AO63" t="s">
        <v>64</v>
      </c>
      <c r="AP63" t="s">
        <v>64</v>
      </c>
      <c r="AQ63" t="s">
        <v>64</v>
      </c>
      <c r="AR63">
        <v>39</v>
      </c>
    </row>
    <row r="64" spans="1:44">
      <c r="A64" t="s">
        <v>76</v>
      </c>
      <c r="B64" t="s">
        <v>118</v>
      </c>
      <c r="C64" t="s">
        <v>142</v>
      </c>
      <c r="D64" t="s">
        <v>169</v>
      </c>
      <c r="E64" t="s">
        <v>170</v>
      </c>
      <c r="F64" t="s">
        <v>48</v>
      </c>
      <c r="G64">
        <v>100</v>
      </c>
      <c r="H64" t="s">
        <v>171</v>
      </c>
      <c r="I64">
        <v>40742.958333333336</v>
      </c>
      <c r="J64">
        <v>5</v>
      </c>
      <c r="K64">
        <v>1.9433789954337966</v>
      </c>
      <c r="L64">
        <v>134.191002</v>
      </c>
      <c r="M64">
        <v>152.91500299999998</v>
      </c>
      <c r="N64">
        <v>35.751852187350138</v>
      </c>
      <c r="O64">
        <v>40.740396174135455</v>
      </c>
      <c r="P64" t="s">
        <v>51</v>
      </c>
      <c r="Q64">
        <v>2</v>
      </c>
      <c r="R64">
        <v>1.9433789954337966</v>
      </c>
      <c r="S64">
        <v>250</v>
      </c>
      <c r="T64" t="s">
        <v>147</v>
      </c>
      <c r="U64" t="s">
        <v>142</v>
      </c>
      <c r="V64">
        <v>252</v>
      </c>
      <c r="W64">
        <v>15</v>
      </c>
      <c r="X64">
        <v>89.32</v>
      </c>
      <c r="Y64">
        <v>32</v>
      </c>
      <c r="Z64">
        <v>33</v>
      </c>
      <c r="AA64">
        <v>34</v>
      </c>
      <c r="AB64">
        <v>60.5</v>
      </c>
      <c r="AC64" t="s">
        <v>63</v>
      </c>
      <c r="AD64" t="s">
        <v>63</v>
      </c>
      <c r="AE64" t="s">
        <v>63</v>
      </c>
      <c r="AF64" t="s">
        <v>63</v>
      </c>
      <c r="AG64" t="s">
        <v>63</v>
      </c>
      <c r="AH64">
        <v>45</v>
      </c>
      <c r="AI64">
        <v>102.5</v>
      </c>
      <c r="AJ64">
        <v>173.5</v>
      </c>
      <c r="AK64">
        <v>245.5</v>
      </c>
      <c r="AL64">
        <v>252</v>
      </c>
      <c r="AM64" t="s">
        <v>63</v>
      </c>
      <c r="AN64" t="s">
        <v>63</v>
      </c>
      <c r="AO64" t="s">
        <v>63</v>
      </c>
      <c r="AP64" t="s">
        <v>63</v>
      </c>
      <c r="AQ64" t="s">
        <v>63</v>
      </c>
      <c r="AR64">
        <v>2</v>
      </c>
    </row>
    <row r="65" spans="1:44">
      <c r="A65" t="s">
        <v>76</v>
      </c>
      <c r="B65" t="s">
        <v>118</v>
      </c>
      <c r="C65" t="s">
        <v>142</v>
      </c>
      <c r="D65" t="s">
        <v>169</v>
      </c>
      <c r="E65" t="s">
        <v>170</v>
      </c>
      <c r="F65" t="s">
        <v>48</v>
      </c>
      <c r="G65">
        <v>101</v>
      </c>
      <c r="H65" t="s">
        <v>159</v>
      </c>
      <c r="I65">
        <v>41070.791666666664</v>
      </c>
      <c r="J65">
        <v>6</v>
      </c>
      <c r="K65">
        <v>0.8981735159817219</v>
      </c>
      <c r="L65">
        <v>110.2</v>
      </c>
      <c r="M65">
        <v>116.1</v>
      </c>
      <c r="N65">
        <v>29.360046890818992</v>
      </c>
      <c r="O65">
        <v>30.931955027441788</v>
      </c>
      <c r="P65" t="s">
        <v>51</v>
      </c>
      <c r="Q65">
        <v>3</v>
      </c>
      <c r="R65">
        <v>0.8981735159817219</v>
      </c>
      <c r="S65">
        <v>250</v>
      </c>
      <c r="T65" t="s">
        <v>147</v>
      </c>
      <c r="U65" t="s">
        <v>142</v>
      </c>
      <c r="V65">
        <v>949</v>
      </c>
      <c r="W65">
        <v>24.5</v>
      </c>
      <c r="X65">
        <v>228.6</v>
      </c>
      <c r="Y65">
        <v>82</v>
      </c>
      <c r="Z65">
        <v>122.5</v>
      </c>
      <c r="AA65">
        <v>153</v>
      </c>
      <c r="AB65">
        <v>180</v>
      </c>
      <c r="AC65" t="s">
        <v>63</v>
      </c>
      <c r="AD65" t="s">
        <v>63</v>
      </c>
      <c r="AE65" t="s">
        <v>63</v>
      </c>
      <c r="AF65" t="s">
        <v>63</v>
      </c>
      <c r="AG65" t="s">
        <v>63</v>
      </c>
      <c r="AH65">
        <v>39.5</v>
      </c>
      <c r="AI65">
        <v>84</v>
      </c>
      <c r="AJ65">
        <v>151</v>
      </c>
      <c r="AK65">
        <v>279.5</v>
      </c>
      <c r="AL65">
        <v>460.5</v>
      </c>
      <c r="AM65" t="s">
        <v>63</v>
      </c>
      <c r="AN65" t="s">
        <v>63</v>
      </c>
      <c r="AO65" t="s">
        <v>63</v>
      </c>
      <c r="AP65" t="s">
        <v>54</v>
      </c>
      <c r="AQ65" t="s">
        <v>55</v>
      </c>
      <c r="AR65">
        <v>12</v>
      </c>
    </row>
    <row r="66" spans="1:44">
      <c r="A66" t="s">
        <v>76</v>
      </c>
      <c r="B66" t="s">
        <v>118</v>
      </c>
      <c r="C66" t="s">
        <v>142</v>
      </c>
      <c r="D66" t="s">
        <v>169</v>
      </c>
      <c r="E66" t="s">
        <v>170</v>
      </c>
      <c r="F66" t="s">
        <v>48</v>
      </c>
      <c r="G66">
        <v>102</v>
      </c>
      <c r="H66" t="s">
        <v>172</v>
      </c>
      <c r="I66">
        <v>41468.287499999999</v>
      </c>
      <c r="J66">
        <v>7</v>
      </c>
      <c r="K66">
        <v>1.0890296803652995</v>
      </c>
      <c r="L66">
        <v>116.1</v>
      </c>
      <c r="M66">
        <v>129.69999999999999</v>
      </c>
      <c r="N66">
        <v>30.931955027441788</v>
      </c>
      <c r="O66">
        <v>34.55533649491128</v>
      </c>
      <c r="P66" t="s">
        <v>51</v>
      </c>
      <c r="Q66">
        <v>4</v>
      </c>
      <c r="R66">
        <v>1.0890296803652995</v>
      </c>
      <c r="S66">
        <v>250</v>
      </c>
      <c r="T66" t="s">
        <v>147</v>
      </c>
      <c r="U66" t="s">
        <v>142</v>
      </c>
      <c r="V66">
        <v>617.5</v>
      </c>
      <c r="W66">
        <v>59.5</v>
      </c>
      <c r="X66">
        <v>340.7</v>
      </c>
      <c r="Y66">
        <v>136.5</v>
      </c>
      <c r="Z66">
        <v>254.5</v>
      </c>
      <c r="AA66">
        <v>328.5</v>
      </c>
      <c r="AB66">
        <v>332</v>
      </c>
      <c r="AC66" t="s">
        <v>63</v>
      </c>
      <c r="AD66" t="s">
        <v>54</v>
      </c>
      <c r="AE66" t="s">
        <v>55</v>
      </c>
      <c r="AF66" t="s">
        <v>54</v>
      </c>
      <c r="AG66" t="s">
        <v>63</v>
      </c>
      <c r="AH66">
        <v>59.5</v>
      </c>
      <c r="AI66">
        <v>143</v>
      </c>
      <c r="AJ66">
        <v>254.5</v>
      </c>
      <c r="AK66">
        <v>436</v>
      </c>
      <c r="AL66">
        <v>617.5</v>
      </c>
      <c r="AM66" t="s">
        <v>63</v>
      </c>
      <c r="AN66" t="s">
        <v>54</v>
      </c>
      <c r="AO66" t="s">
        <v>55</v>
      </c>
      <c r="AP66" t="s">
        <v>57</v>
      </c>
      <c r="AQ66" t="s">
        <v>57</v>
      </c>
      <c r="AR66">
        <v>12</v>
      </c>
    </row>
    <row r="67" spans="1:44">
      <c r="A67" t="s">
        <v>76</v>
      </c>
      <c r="B67" t="s">
        <v>118</v>
      </c>
      <c r="C67" t="s">
        <v>142</v>
      </c>
      <c r="D67" t="s">
        <v>169</v>
      </c>
      <c r="E67" t="s">
        <v>170</v>
      </c>
      <c r="F67" t="s">
        <v>48</v>
      </c>
      <c r="G67">
        <v>103</v>
      </c>
      <c r="H67" t="s">
        <v>173</v>
      </c>
      <c r="I67">
        <v>41779.536805555559</v>
      </c>
      <c r="J67">
        <v>8</v>
      </c>
      <c r="K67">
        <v>0.85273782343989202</v>
      </c>
      <c r="L67">
        <v>129.69999999999999</v>
      </c>
      <c r="M67">
        <v>97.26</v>
      </c>
      <c r="N67">
        <v>34.55533649491128</v>
      </c>
      <c r="O67">
        <v>25.912505994564931</v>
      </c>
      <c r="P67" t="s">
        <v>51</v>
      </c>
      <c r="Q67">
        <v>5</v>
      </c>
      <c r="R67">
        <v>0.85273782343989202</v>
      </c>
      <c r="S67">
        <v>250</v>
      </c>
      <c r="T67" t="s">
        <v>147</v>
      </c>
      <c r="U67" t="s">
        <v>142</v>
      </c>
      <c r="V67">
        <v>153.5</v>
      </c>
      <c r="W67">
        <v>13</v>
      </c>
      <c r="X67">
        <v>88.9</v>
      </c>
      <c r="Y67">
        <v>42</v>
      </c>
      <c r="Z67">
        <v>42.5</v>
      </c>
      <c r="AA67">
        <v>42.5</v>
      </c>
      <c r="AB67">
        <v>62.5</v>
      </c>
      <c r="AC67" t="s">
        <v>63</v>
      </c>
      <c r="AD67" t="s">
        <v>63</v>
      </c>
      <c r="AE67" t="s">
        <v>63</v>
      </c>
      <c r="AF67" t="s">
        <v>63</v>
      </c>
      <c r="AG67" t="s">
        <v>63</v>
      </c>
      <c r="AH67">
        <v>35.5</v>
      </c>
      <c r="AI67">
        <v>63.5</v>
      </c>
      <c r="AJ67">
        <v>96.5</v>
      </c>
      <c r="AK67">
        <v>153.5</v>
      </c>
      <c r="AL67">
        <v>153.5</v>
      </c>
      <c r="AM67" t="s">
        <v>63</v>
      </c>
      <c r="AN67" t="s">
        <v>63</v>
      </c>
      <c r="AO67" t="s">
        <v>63</v>
      </c>
      <c r="AP67" t="s">
        <v>63</v>
      </c>
      <c r="AQ67" t="s">
        <v>63</v>
      </c>
      <c r="AR67">
        <v>1</v>
      </c>
    </row>
    <row r="68" spans="1:44">
      <c r="A68" t="s">
        <v>174</v>
      </c>
      <c r="B68" t="s">
        <v>175</v>
      </c>
      <c r="C68" t="s">
        <v>176</v>
      </c>
      <c r="D68" t="s">
        <v>177</v>
      </c>
      <c r="F68" t="s">
        <v>127</v>
      </c>
      <c r="G68">
        <v>106</v>
      </c>
      <c r="H68" t="s">
        <v>178</v>
      </c>
      <c r="I68">
        <v>42889.958333333336</v>
      </c>
      <c r="J68">
        <v>1</v>
      </c>
      <c r="K68" t="s">
        <v>50</v>
      </c>
      <c r="L68">
        <v>0</v>
      </c>
      <c r="M68">
        <v>0.63</v>
      </c>
      <c r="N68">
        <v>0</v>
      </c>
      <c r="O68">
        <v>1.4526170163707632</v>
      </c>
      <c r="P68" t="s">
        <v>51</v>
      </c>
      <c r="Q68">
        <v>1</v>
      </c>
      <c r="R68" t="s">
        <v>50</v>
      </c>
      <c r="S68">
        <v>300</v>
      </c>
      <c r="T68" t="s">
        <v>179</v>
      </c>
      <c r="U68" t="s">
        <v>180</v>
      </c>
      <c r="V68">
        <v>124</v>
      </c>
      <c r="W68">
        <v>54</v>
      </c>
      <c r="X68">
        <v>614</v>
      </c>
      <c r="Y68">
        <v>81</v>
      </c>
      <c r="Z68">
        <v>97.5</v>
      </c>
      <c r="AA68">
        <v>97.5</v>
      </c>
      <c r="AB68">
        <v>97.5</v>
      </c>
      <c r="AC68" t="s">
        <v>63</v>
      </c>
      <c r="AD68" t="s">
        <v>63</v>
      </c>
      <c r="AE68" t="s">
        <v>63</v>
      </c>
      <c r="AF68" t="s">
        <v>63</v>
      </c>
      <c r="AG68" t="s">
        <v>63</v>
      </c>
      <c r="AH68">
        <v>54</v>
      </c>
      <c r="AI68">
        <v>81</v>
      </c>
      <c r="AJ68">
        <v>107.5</v>
      </c>
      <c r="AK68">
        <v>124</v>
      </c>
      <c r="AL68">
        <v>124</v>
      </c>
      <c r="AM68" t="s">
        <v>63</v>
      </c>
      <c r="AN68" t="s">
        <v>63</v>
      </c>
      <c r="AO68" t="s">
        <v>63</v>
      </c>
      <c r="AP68" t="s">
        <v>63</v>
      </c>
      <c r="AQ68" t="s">
        <v>63</v>
      </c>
      <c r="AR68">
        <v>5</v>
      </c>
    </row>
    <row r="69" spans="1:44">
      <c r="A69" t="s">
        <v>174</v>
      </c>
      <c r="B69" t="s">
        <v>175</v>
      </c>
      <c r="C69" t="s">
        <v>176</v>
      </c>
      <c r="D69" t="s">
        <v>177</v>
      </c>
      <c r="F69" t="s">
        <v>127</v>
      </c>
      <c r="G69">
        <v>113</v>
      </c>
      <c r="H69" t="s">
        <v>59</v>
      </c>
      <c r="I69">
        <v>45498.208333333336</v>
      </c>
      <c r="J69">
        <v>2</v>
      </c>
      <c r="K69">
        <v>7.1458904109589039</v>
      </c>
      <c r="L69">
        <v>0</v>
      </c>
      <c r="M69">
        <v>1.96</v>
      </c>
      <c r="N69">
        <v>0</v>
      </c>
      <c r="O69">
        <v>4.5192529398201522</v>
      </c>
      <c r="P69" t="s">
        <v>51</v>
      </c>
      <c r="Q69">
        <v>2</v>
      </c>
      <c r="R69">
        <v>7.1458904109589039</v>
      </c>
      <c r="S69">
        <v>400</v>
      </c>
      <c r="T69" t="s">
        <v>181</v>
      </c>
      <c r="U69" t="s">
        <v>182</v>
      </c>
      <c r="V69">
        <v>1103.5</v>
      </c>
      <c r="W69">
        <v>33.5</v>
      </c>
      <c r="X69">
        <v>371.5</v>
      </c>
      <c r="Y69">
        <v>139.5</v>
      </c>
      <c r="Z69">
        <v>266</v>
      </c>
      <c r="AA69">
        <v>312</v>
      </c>
      <c r="AB69">
        <v>342.5</v>
      </c>
      <c r="AC69" t="s">
        <v>63</v>
      </c>
      <c r="AD69" t="s">
        <v>54</v>
      </c>
      <c r="AE69" t="s">
        <v>56</v>
      </c>
      <c r="AF69" t="s">
        <v>55</v>
      </c>
      <c r="AG69" t="s">
        <v>63</v>
      </c>
      <c r="AH69">
        <v>65</v>
      </c>
      <c r="AI69">
        <v>156.5</v>
      </c>
      <c r="AJ69">
        <v>268.5</v>
      </c>
      <c r="AK69">
        <v>493</v>
      </c>
      <c r="AL69">
        <v>852</v>
      </c>
      <c r="AM69" t="s">
        <v>63</v>
      </c>
      <c r="AN69" t="s">
        <v>55</v>
      </c>
      <c r="AO69" t="s">
        <v>56</v>
      </c>
      <c r="AP69" t="s">
        <v>87</v>
      </c>
      <c r="AQ69" t="s">
        <v>64</v>
      </c>
      <c r="AR69">
        <v>18</v>
      </c>
    </row>
    <row r="70" spans="1:44">
      <c r="A70" t="s">
        <v>183</v>
      </c>
      <c r="B70" t="s">
        <v>184</v>
      </c>
      <c r="C70" t="s">
        <v>185</v>
      </c>
      <c r="D70" t="s">
        <v>186</v>
      </c>
      <c r="E70" t="s">
        <v>187</v>
      </c>
      <c r="F70" t="s">
        <v>127</v>
      </c>
      <c r="G70">
        <v>108</v>
      </c>
      <c r="H70" t="s">
        <v>188</v>
      </c>
      <c r="I70">
        <v>43690.333333333336</v>
      </c>
      <c r="J70">
        <v>1</v>
      </c>
      <c r="K70" t="s">
        <v>50</v>
      </c>
      <c r="L70">
        <v>0</v>
      </c>
      <c r="M70">
        <v>1.53</v>
      </c>
      <c r="N70">
        <v>0</v>
      </c>
      <c r="O70">
        <v>7.463414634146341</v>
      </c>
      <c r="P70" t="s">
        <v>51</v>
      </c>
      <c r="Q70">
        <v>1</v>
      </c>
      <c r="R70" t="s">
        <v>50</v>
      </c>
      <c r="S70">
        <v>350</v>
      </c>
      <c r="T70" t="s">
        <v>189</v>
      </c>
      <c r="U70" t="s">
        <v>190</v>
      </c>
      <c r="V70">
        <v>55</v>
      </c>
      <c r="W70">
        <v>6.5</v>
      </c>
      <c r="X70">
        <v>98</v>
      </c>
      <c r="Y70">
        <v>34.5</v>
      </c>
      <c r="Z70">
        <v>37.5</v>
      </c>
      <c r="AA70">
        <v>37.5</v>
      </c>
      <c r="AB70">
        <v>58</v>
      </c>
      <c r="AC70" t="s">
        <v>63</v>
      </c>
      <c r="AD70" t="s">
        <v>63</v>
      </c>
      <c r="AE70" t="s">
        <v>63</v>
      </c>
      <c r="AF70" t="s">
        <v>63</v>
      </c>
      <c r="AG70" t="s">
        <v>63</v>
      </c>
      <c r="AH70">
        <v>16.5</v>
      </c>
      <c r="AI70">
        <v>34.5</v>
      </c>
      <c r="AJ70">
        <v>55</v>
      </c>
      <c r="AK70">
        <v>55</v>
      </c>
      <c r="AL70">
        <v>55</v>
      </c>
      <c r="AM70" t="s">
        <v>63</v>
      </c>
      <c r="AN70" t="s">
        <v>63</v>
      </c>
      <c r="AO70" t="s">
        <v>63</v>
      </c>
      <c r="AP70" t="s">
        <v>63</v>
      </c>
      <c r="AQ70" t="s">
        <v>63</v>
      </c>
      <c r="AR70">
        <v>3</v>
      </c>
    </row>
    <row r="71" spans="1:44">
      <c r="A71" t="s">
        <v>183</v>
      </c>
      <c r="B71" t="s">
        <v>184</v>
      </c>
      <c r="C71" t="s">
        <v>185</v>
      </c>
      <c r="D71" t="s">
        <v>186</v>
      </c>
      <c r="E71" t="s">
        <v>187</v>
      </c>
      <c r="F71" t="s">
        <v>127</v>
      </c>
      <c r="G71">
        <v>108</v>
      </c>
      <c r="H71" t="s">
        <v>191</v>
      </c>
      <c r="I71">
        <v>43693.25</v>
      </c>
      <c r="J71">
        <v>2</v>
      </c>
      <c r="K71">
        <v>7.9908675799020314E-3</v>
      </c>
      <c r="L71">
        <v>0</v>
      </c>
      <c r="M71">
        <v>1.53</v>
      </c>
      <c r="N71">
        <v>0</v>
      </c>
      <c r="O71">
        <v>7.463414634146341</v>
      </c>
      <c r="P71" t="s">
        <v>51</v>
      </c>
      <c r="Q71">
        <v>2</v>
      </c>
      <c r="R71">
        <v>7.9908675799020314E-3</v>
      </c>
      <c r="S71">
        <v>350</v>
      </c>
      <c r="T71" t="s">
        <v>189</v>
      </c>
      <c r="U71" t="s">
        <v>190</v>
      </c>
      <c r="V71">
        <v>106.5</v>
      </c>
      <c r="W71">
        <v>20.5</v>
      </c>
      <c r="X71">
        <v>174</v>
      </c>
      <c r="Y71">
        <v>38</v>
      </c>
      <c r="Z71">
        <v>51</v>
      </c>
      <c r="AA71">
        <v>71.5</v>
      </c>
      <c r="AB71">
        <v>120.5</v>
      </c>
      <c r="AC71" t="s">
        <v>63</v>
      </c>
      <c r="AD71" t="s">
        <v>63</v>
      </c>
      <c r="AE71" t="s">
        <v>63</v>
      </c>
      <c r="AF71" t="s">
        <v>63</v>
      </c>
      <c r="AG71" t="s">
        <v>63</v>
      </c>
      <c r="AH71">
        <v>20.5</v>
      </c>
      <c r="AI71">
        <v>38</v>
      </c>
      <c r="AJ71">
        <v>58.5</v>
      </c>
      <c r="AK71">
        <v>77</v>
      </c>
      <c r="AL71">
        <v>106.5</v>
      </c>
      <c r="AM71" t="s">
        <v>63</v>
      </c>
      <c r="AN71" t="s">
        <v>63</v>
      </c>
      <c r="AO71" t="s">
        <v>63</v>
      </c>
      <c r="AP71" t="s">
        <v>63</v>
      </c>
      <c r="AQ71" t="s">
        <v>63</v>
      </c>
      <c r="AR71">
        <v>10</v>
      </c>
    </row>
    <row r="72" spans="1:44">
      <c r="A72" t="s">
        <v>183</v>
      </c>
      <c r="B72" t="s">
        <v>184</v>
      </c>
      <c r="C72" t="s">
        <v>185</v>
      </c>
      <c r="D72" t="s">
        <v>186</v>
      </c>
      <c r="E72" t="s">
        <v>187</v>
      </c>
      <c r="F72" t="s">
        <v>127</v>
      </c>
      <c r="G72">
        <v>112</v>
      </c>
      <c r="H72" t="s">
        <v>192</v>
      </c>
      <c r="I72">
        <v>45179.833333333336</v>
      </c>
      <c r="J72">
        <v>3</v>
      </c>
      <c r="K72">
        <v>4.0728310502283174</v>
      </c>
      <c r="L72">
        <v>0.38600000000000001</v>
      </c>
      <c r="M72">
        <v>4.0999999999999996</v>
      </c>
      <c r="N72">
        <v>1.8829268292682926</v>
      </c>
      <c r="O72">
        <v>20</v>
      </c>
      <c r="P72" t="s">
        <v>51</v>
      </c>
      <c r="Q72">
        <v>3</v>
      </c>
      <c r="R72">
        <v>4.0728310502283174</v>
      </c>
      <c r="S72">
        <v>300</v>
      </c>
      <c r="T72" t="s">
        <v>189</v>
      </c>
      <c r="U72" t="s">
        <v>190</v>
      </c>
      <c r="V72">
        <v>391</v>
      </c>
      <c r="W72">
        <v>25</v>
      </c>
      <c r="X72">
        <v>391</v>
      </c>
      <c r="Y72">
        <v>173.5</v>
      </c>
      <c r="Z72">
        <v>241.5</v>
      </c>
      <c r="AA72">
        <v>255</v>
      </c>
      <c r="AB72">
        <v>255</v>
      </c>
      <c r="AC72" t="s">
        <v>63</v>
      </c>
      <c r="AD72" t="s">
        <v>56</v>
      </c>
      <c r="AE72" t="s">
        <v>56</v>
      </c>
      <c r="AF72" t="s">
        <v>54</v>
      </c>
      <c r="AG72" t="s">
        <v>63</v>
      </c>
      <c r="AH72">
        <v>123</v>
      </c>
      <c r="AI72">
        <v>181</v>
      </c>
      <c r="AJ72">
        <v>230</v>
      </c>
      <c r="AK72">
        <v>230</v>
      </c>
      <c r="AL72">
        <v>230</v>
      </c>
      <c r="AM72" t="s">
        <v>87</v>
      </c>
      <c r="AN72" t="s">
        <v>56</v>
      </c>
      <c r="AO72" t="s">
        <v>55</v>
      </c>
      <c r="AP72" t="s">
        <v>63</v>
      </c>
      <c r="AQ72" t="s">
        <v>63</v>
      </c>
      <c r="AR72">
        <v>6</v>
      </c>
    </row>
    <row r="73" spans="1:44">
      <c r="A73" t="s">
        <v>183</v>
      </c>
      <c r="B73" t="s">
        <v>184</v>
      </c>
      <c r="C73" t="s">
        <v>185</v>
      </c>
      <c r="D73" t="s">
        <v>186</v>
      </c>
      <c r="E73" t="s">
        <v>187</v>
      </c>
      <c r="F73" t="s">
        <v>127</v>
      </c>
      <c r="G73">
        <v>113</v>
      </c>
      <c r="H73" t="s">
        <v>165</v>
      </c>
      <c r="I73">
        <v>45450.708333333336</v>
      </c>
      <c r="J73">
        <v>4</v>
      </c>
      <c r="K73">
        <v>0.74212328767123292</v>
      </c>
      <c r="L73">
        <v>4.0999999999999996</v>
      </c>
      <c r="M73">
        <v>5</v>
      </c>
      <c r="N73">
        <v>20</v>
      </c>
      <c r="O73">
        <v>24.390243902439025</v>
      </c>
      <c r="P73" t="s">
        <v>51</v>
      </c>
      <c r="Q73">
        <v>4</v>
      </c>
      <c r="R73">
        <v>0.74212328767123292</v>
      </c>
      <c r="S73">
        <v>300</v>
      </c>
      <c r="T73" t="s">
        <v>189</v>
      </c>
      <c r="U73" t="s">
        <v>190</v>
      </c>
      <c r="V73">
        <v>15.5</v>
      </c>
      <c r="W73">
        <v>3.5</v>
      </c>
      <c r="X73">
        <v>15</v>
      </c>
      <c r="Y73">
        <v>10</v>
      </c>
      <c r="Z73">
        <v>10</v>
      </c>
      <c r="AA73">
        <v>10</v>
      </c>
      <c r="AB73">
        <v>11.5</v>
      </c>
      <c r="AC73" t="s">
        <v>63</v>
      </c>
      <c r="AD73" t="s">
        <v>63</v>
      </c>
      <c r="AE73" t="s">
        <v>63</v>
      </c>
      <c r="AF73" t="s">
        <v>63</v>
      </c>
      <c r="AG73" t="s">
        <v>63</v>
      </c>
      <c r="AH73">
        <v>15.5</v>
      </c>
      <c r="AI73">
        <v>15.5</v>
      </c>
      <c r="AJ73">
        <v>15.5</v>
      </c>
      <c r="AK73">
        <v>15.5</v>
      </c>
      <c r="AL73">
        <v>15.5</v>
      </c>
      <c r="AM73" t="s">
        <v>63</v>
      </c>
      <c r="AN73" t="s">
        <v>63</v>
      </c>
      <c r="AO73" t="s">
        <v>63</v>
      </c>
      <c r="AP73" t="s">
        <v>63</v>
      </c>
      <c r="AQ73" t="s">
        <v>63</v>
      </c>
      <c r="AR73">
        <v>1</v>
      </c>
    </row>
    <row r="74" spans="1:44" hidden="1">
      <c r="A74" t="s">
        <v>183</v>
      </c>
      <c r="B74" t="s">
        <v>193</v>
      </c>
      <c r="C74" t="s">
        <v>194</v>
      </c>
      <c r="D74" t="s">
        <v>195</v>
      </c>
      <c r="E74" t="s">
        <v>196</v>
      </c>
      <c r="F74" t="s">
        <v>48</v>
      </c>
      <c r="G74">
        <v>89</v>
      </c>
      <c r="H74" t="s">
        <v>197</v>
      </c>
      <c r="I74">
        <v>36761</v>
      </c>
      <c r="J74">
        <v>1</v>
      </c>
      <c r="K74" t="s">
        <v>50</v>
      </c>
      <c r="L74">
        <v>16.100000000000001</v>
      </c>
      <c r="M74">
        <v>157.69999999999999</v>
      </c>
      <c r="N74">
        <v>1.6931328215374912</v>
      </c>
      <c r="O74">
        <v>16.584288568724364</v>
      </c>
      <c r="P74" t="s">
        <v>60</v>
      </c>
      <c r="Q74" t="s">
        <v>50</v>
      </c>
      <c r="R74" t="s">
        <v>50</v>
      </c>
      <c r="S74" t="s">
        <v>81</v>
      </c>
      <c r="T74" t="s">
        <v>198</v>
      </c>
      <c r="U74" t="s">
        <v>199</v>
      </c>
      <c r="V74">
        <v>147.5</v>
      </c>
      <c r="W74">
        <v>22.5</v>
      </c>
      <c r="X74">
        <v>126</v>
      </c>
      <c r="Y74">
        <v>40.5</v>
      </c>
      <c r="Z74">
        <v>58</v>
      </c>
      <c r="AA74">
        <v>85</v>
      </c>
      <c r="AB74">
        <v>104.5</v>
      </c>
      <c r="AC74" t="s">
        <v>63</v>
      </c>
      <c r="AD74" t="s">
        <v>63</v>
      </c>
      <c r="AE74" t="s">
        <v>63</v>
      </c>
      <c r="AF74" t="s">
        <v>63</v>
      </c>
      <c r="AG74" t="s">
        <v>63</v>
      </c>
      <c r="AH74">
        <v>22.5</v>
      </c>
      <c r="AI74">
        <v>43.5</v>
      </c>
      <c r="AJ74">
        <v>70.5</v>
      </c>
      <c r="AK74">
        <v>95.5</v>
      </c>
      <c r="AL74">
        <v>147.5</v>
      </c>
      <c r="AM74" t="s">
        <v>63</v>
      </c>
      <c r="AN74" t="s">
        <v>63</v>
      </c>
      <c r="AO74" t="s">
        <v>63</v>
      </c>
      <c r="AP74" t="s">
        <v>63</v>
      </c>
      <c r="AQ74" t="s">
        <v>63</v>
      </c>
      <c r="AR74">
        <v>15</v>
      </c>
    </row>
    <row r="75" spans="1:44" hidden="1">
      <c r="A75" t="s">
        <v>183</v>
      </c>
      <c r="B75" t="s">
        <v>193</v>
      </c>
      <c r="C75" t="s">
        <v>194</v>
      </c>
      <c r="D75" t="s">
        <v>195</v>
      </c>
      <c r="E75" t="s">
        <v>196</v>
      </c>
      <c r="F75" t="s">
        <v>48</v>
      </c>
      <c r="G75">
        <v>90</v>
      </c>
      <c r="H75" t="s">
        <v>80</v>
      </c>
      <c r="I75">
        <v>37102</v>
      </c>
      <c r="J75">
        <v>2</v>
      </c>
      <c r="K75">
        <v>0.9342465753424658</v>
      </c>
      <c r="L75">
        <v>0.25</v>
      </c>
      <c r="M75">
        <v>157.73826452</v>
      </c>
      <c r="N75">
        <v>2.6290882322010729E-2</v>
      </c>
      <c r="O75">
        <v>16.588312600694081</v>
      </c>
      <c r="P75" t="s">
        <v>60</v>
      </c>
      <c r="Q75" t="s">
        <v>50</v>
      </c>
      <c r="R75" t="s">
        <v>50</v>
      </c>
      <c r="S75" t="s">
        <v>81</v>
      </c>
      <c r="T75" t="s">
        <v>198</v>
      </c>
      <c r="U75" t="s">
        <v>199</v>
      </c>
      <c r="V75">
        <v>395</v>
      </c>
      <c r="W75">
        <v>58</v>
      </c>
      <c r="X75">
        <v>316.39999999999998</v>
      </c>
      <c r="Y75">
        <v>168.5</v>
      </c>
      <c r="Z75">
        <v>245</v>
      </c>
      <c r="AA75">
        <v>283</v>
      </c>
      <c r="AB75">
        <v>283</v>
      </c>
      <c r="AC75" t="s">
        <v>63</v>
      </c>
      <c r="AD75" t="s">
        <v>55</v>
      </c>
      <c r="AE75" t="s">
        <v>55</v>
      </c>
      <c r="AF75" t="s">
        <v>54</v>
      </c>
      <c r="AG75" t="s">
        <v>63</v>
      </c>
      <c r="AH75">
        <v>58</v>
      </c>
      <c r="AI75">
        <v>168.5</v>
      </c>
      <c r="AJ75">
        <v>267</v>
      </c>
      <c r="AK75">
        <v>358.5</v>
      </c>
      <c r="AL75">
        <v>395</v>
      </c>
      <c r="AM75" t="s">
        <v>63</v>
      </c>
      <c r="AN75" t="s">
        <v>55</v>
      </c>
      <c r="AO75" t="s">
        <v>56</v>
      </c>
      <c r="AP75" t="s">
        <v>56</v>
      </c>
      <c r="AQ75" t="s">
        <v>54</v>
      </c>
      <c r="AR75">
        <v>10</v>
      </c>
    </row>
    <row r="76" spans="1:44" hidden="1">
      <c r="A76" t="s">
        <v>183</v>
      </c>
      <c r="B76" t="s">
        <v>193</v>
      </c>
      <c r="C76" t="s">
        <v>194</v>
      </c>
      <c r="D76" t="s">
        <v>195</v>
      </c>
      <c r="E76" t="s">
        <v>196</v>
      </c>
      <c r="F76" t="s">
        <v>48</v>
      </c>
      <c r="G76">
        <v>90</v>
      </c>
      <c r="H76" t="s">
        <v>200</v>
      </c>
      <c r="I76">
        <v>37152</v>
      </c>
      <c r="J76">
        <v>3</v>
      </c>
      <c r="K76">
        <v>0.13698630136986301</v>
      </c>
      <c r="L76">
        <v>157.73826452</v>
      </c>
      <c r="M76">
        <v>157.73826452</v>
      </c>
      <c r="N76">
        <v>16.588312600694081</v>
      </c>
      <c r="O76">
        <v>16.588312600694081</v>
      </c>
      <c r="P76" t="s">
        <v>60</v>
      </c>
      <c r="Q76" t="s">
        <v>50</v>
      </c>
      <c r="R76" t="s">
        <v>50</v>
      </c>
      <c r="S76" t="s">
        <v>81</v>
      </c>
      <c r="T76" t="s">
        <v>198</v>
      </c>
      <c r="U76" t="s">
        <v>199</v>
      </c>
      <c r="V76">
        <v>653</v>
      </c>
      <c r="W76">
        <v>64</v>
      </c>
      <c r="X76">
        <v>480.1</v>
      </c>
      <c r="Y76">
        <v>127</v>
      </c>
      <c r="Z76">
        <v>173</v>
      </c>
      <c r="AA76">
        <v>267.5</v>
      </c>
      <c r="AB76">
        <v>467</v>
      </c>
      <c r="AC76" t="s">
        <v>63</v>
      </c>
      <c r="AD76" t="s">
        <v>63</v>
      </c>
      <c r="AE76" t="s">
        <v>63</v>
      </c>
      <c r="AF76" t="s">
        <v>54</v>
      </c>
      <c r="AG76" t="s">
        <v>55</v>
      </c>
      <c r="AH76">
        <v>64</v>
      </c>
      <c r="AI76">
        <v>139.5</v>
      </c>
      <c r="AJ76">
        <v>188.5</v>
      </c>
      <c r="AK76">
        <v>289</v>
      </c>
      <c r="AL76">
        <v>503</v>
      </c>
      <c r="AM76" t="s">
        <v>63</v>
      </c>
      <c r="AN76" t="s">
        <v>54</v>
      </c>
      <c r="AO76" t="s">
        <v>63</v>
      </c>
      <c r="AP76" t="s">
        <v>54</v>
      </c>
      <c r="AQ76" t="s">
        <v>56</v>
      </c>
      <c r="AR76">
        <v>19</v>
      </c>
    </row>
    <row r="77" spans="1:44" hidden="1">
      <c r="A77" t="s">
        <v>183</v>
      </c>
      <c r="B77" t="s">
        <v>193</v>
      </c>
      <c r="C77" t="s">
        <v>194</v>
      </c>
      <c r="D77" t="s">
        <v>201</v>
      </c>
      <c r="E77" t="s">
        <v>202</v>
      </c>
      <c r="F77" t="s">
        <v>48</v>
      </c>
      <c r="G77">
        <v>90</v>
      </c>
      <c r="H77" t="s">
        <v>80</v>
      </c>
      <c r="I77">
        <v>37102</v>
      </c>
      <c r="J77">
        <v>1</v>
      </c>
      <c r="K77" t="s">
        <v>50</v>
      </c>
      <c r="L77">
        <v>49.7</v>
      </c>
      <c r="M77">
        <v>396</v>
      </c>
      <c r="N77">
        <v>1.2584891040671735</v>
      </c>
      <c r="O77">
        <v>10.027398092768626</v>
      </c>
      <c r="P77" t="s">
        <v>60</v>
      </c>
      <c r="Q77" t="s">
        <v>50</v>
      </c>
      <c r="R77" t="s">
        <v>50</v>
      </c>
      <c r="S77" t="s">
        <v>81</v>
      </c>
      <c r="T77" t="s">
        <v>198</v>
      </c>
      <c r="U77" t="s">
        <v>199</v>
      </c>
      <c r="V77">
        <v>395</v>
      </c>
      <c r="W77">
        <v>58</v>
      </c>
      <c r="X77">
        <v>316.39999999999998</v>
      </c>
      <c r="Y77">
        <v>168.5</v>
      </c>
      <c r="Z77">
        <v>245</v>
      </c>
      <c r="AA77">
        <v>283</v>
      </c>
      <c r="AB77">
        <v>283</v>
      </c>
      <c r="AC77" t="s">
        <v>63</v>
      </c>
      <c r="AD77" t="s">
        <v>55</v>
      </c>
      <c r="AE77" t="s">
        <v>55</v>
      </c>
      <c r="AF77" t="s">
        <v>54</v>
      </c>
      <c r="AG77" t="s">
        <v>63</v>
      </c>
      <c r="AH77">
        <v>58</v>
      </c>
      <c r="AI77">
        <v>168.5</v>
      </c>
      <c r="AJ77">
        <v>267</v>
      </c>
      <c r="AK77">
        <v>358.5</v>
      </c>
      <c r="AL77">
        <v>395</v>
      </c>
      <c r="AM77" t="s">
        <v>63</v>
      </c>
      <c r="AN77" t="s">
        <v>55</v>
      </c>
      <c r="AO77" t="s">
        <v>56</v>
      </c>
      <c r="AP77" t="s">
        <v>56</v>
      </c>
      <c r="AQ77" t="s">
        <v>54</v>
      </c>
      <c r="AR77">
        <v>10</v>
      </c>
    </row>
    <row r="78" spans="1:44" hidden="1">
      <c r="A78" t="s">
        <v>183</v>
      </c>
      <c r="B78" t="s">
        <v>193</v>
      </c>
      <c r="C78" t="s">
        <v>194</v>
      </c>
      <c r="D78" t="s">
        <v>201</v>
      </c>
      <c r="E78" t="s">
        <v>202</v>
      </c>
      <c r="F78" t="s">
        <v>48</v>
      </c>
      <c r="G78">
        <v>90</v>
      </c>
      <c r="H78" t="s">
        <v>200</v>
      </c>
      <c r="I78">
        <v>37150</v>
      </c>
      <c r="J78">
        <v>2</v>
      </c>
      <c r="K78">
        <v>0.13150684931506848</v>
      </c>
      <c r="L78">
        <v>396</v>
      </c>
      <c r="M78">
        <v>384.4</v>
      </c>
      <c r="N78">
        <v>10.027398092768626</v>
      </c>
      <c r="O78">
        <v>9.7336662294450988</v>
      </c>
      <c r="P78" t="s">
        <v>60</v>
      </c>
      <c r="Q78" t="s">
        <v>50</v>
      </c>
      <c r="R78" t="s">
        <v>50</v>
      </c>
      <c r="S78" t="s">
        <v>81</v>
      </c>
      <c r="T78" t="s">
        <v>198</v>
      </c>
      <c r="U78" t="s">
        <v>199</v>
      </c>
      <c r="V78">
        <v>653</v>
      </c>
      <c r="W78">
        <v>64</v>
      </c>
      <c r="X78">
        <v>480.1</v>
      </c>
      <c r="Y78">
        <v>127</v>
      </c>
      <c r="Z78">
        <v>173</v>
      </c>
      <c r="AA78">
        <v>267.5</v>
      </c>
      <c r="AB78">
        <v>467</v>
      </c>
      <c r="AC78" t="s">
        <v>63</v>
      </c>
      <c r="AD78" t="s">
        <v>63</v>
      </c>
      <c r="AE78" t="s">
        <v>63</v>
      </c>
      <c r="AF78" t="s">
        <v>54</v>
      </c>
      <c r="AG78" t="s">
        <v>55</v>
      </c>
      <c r="AH78">
        <v>64</v>
      </c>
      <c r="AI78">
        <v>139.5</v>
      </c>
      <c r="AJ78">
        <v>188.5</v>
      </c>
      <c r="AK78">
        <v>289</v>
      </c>
      <c r="AL78">
        <v>503</v>
      </c>
      <c r="AM78" t="s">
        <v>63</v>
      </c>
      <c r="AN78" t="s">
        <v>54</v>
      </c>
      <c r="AO78" t="s">
        <v>63</v>
      </c>
      <c r="AP78" t="s">
        <v>54</v>
      </c>
      <c r="AQ78" t="s">
        <v>56</v>
      </c>
      <c r="AR78">
        <v>19</v>
      </c>
    </row>
    <row r="79" spans="1:44">
      <c r="A79" t="s">
        <v>183</v>
      </c>
      <c r="B79" t="s">
        <v>193</v>
      </c>
      <c r="C79" t="s">
        <v>203</v>
      </c>
      <c r="D79" t="s">
        <v>204</v>
      </c>
      <c r="E79" t="s">
        <v>205</v>
      </c>
      <c r="F79" t="s">
        <v>48</v>
      </c>
      <c r="G79">
        <v>98</v>
      </c>
      <c r="H79" t="s">
        <v>153</v>
      </c>
      <c r="I79">
        <v>40034.125</v>
      </c>
      <c r="J79">
        <v>1</v>
      </c>
      <c r="K79" t="s">
        <v>50</v>
      </c>
      <c r="L79">
        <v>9.44</v>
      </c>
      <c r="M79">
        <v>55.207174999999999</v>
      </c>
      <c r="N79">
        <v>8.8018648018648022</v>
      </c>
      <c r="O79">
        <v>51.475221445221443</v>
      </c>
      <c r="P79" t="s">
        <v>51</v>
      </c>
      <c r="Q79">
        <v>1</v>
      </c>
      <c r="R79" t="s">
        <v>50</v>
      </c>
      <c r="S79">
        <v>300</v>
      </c>
      <c r="T79" t="s">
        <v>206</v>
      </c>
      <c r="U79" t="s">
        <v>207</v>
      </c>
      <c r="V79">
        <v>1882</v>
      </c>
      <c r="W79">
        <v>52</v>
      </c>
      <c r="X79">
        <v>1283.7</v>
      </c>
      <c r="Y79">
        <v>286.5</v>
      </c>
      <c r="Z79">
        <v>415.5</v>
      </c>
      <c r="AA79">
        <v>654.5</v>
      </c>
      <c r="AB79">
        <v>846</v>
      </c>
      <c r="AC79" t="s">
        <v>63</v>
      </c>
      <c r="AD79" t="s">
        <v>64</v>
      </c>
      <c r="AE79" t="s">
        <v>64</v>
      </c>
      <c r="AF79" t="s">
        <v>64</v>
      </c>
      <c r="AG79" t="s">
        <v>64</v>
      </c>
      <c r="AH79">
        <v>121.5</v>
      </c>
      <c r="AI79">
        <v>286.5</v>
      </c>
      <c r="AJ79">
        <v>415.5</v>
      </c>
      <c r="AK79">
        <v>654.5</v>
      </c>
      <c r="AL79">
        <v>1065.5</v>
      </c>
      <c r="AM79" t="s">
        <v>58</v>
      </c>
      <c r="AN79" t="s">
        <v>64</v>
      </c>
      <c r="AO79" t="s">
        <v>64</v>
      </c>
      <c r="AP79" t="s">
        <v>64</v>
      </c>
      <c r="AQ79" t="s">
        <v>64</v>
      </c>
      <c r="AR79">
        <v>59</v>
      </c>
    </row>
    <row r="80" spans="1:44">
      <c r="A80" t="s">
        <v>183</v>
      </c>
      <c r="B80" t="s">
        <v>193</v>
      </c>
      <c r="C80" t="s">
        <v>203</v>
      </c>
      <c r="D80" t="s">
        <v>204</v>
      </c>
      <c r="E80" t="s">
        <v>205</v>
      </c>
      <c r="F80" t="s">
        <v>48</v>
      </c>
      <c r="G80">
        <v>101</v>
      </c>
      <c r="H80" t="s">
        <v>159</v>
      </c>
      <c r="I80">
        <v>41072.458333333336</v>
      </c>
      <c r="J80">
        <v>2</v>
      </c>
      <c r="K80">
        <v>2.8447488584474954</v>
      </c>
      <c r="L80">
        <v>33.72</v>
      </c>
      <c r="M80">
        <v>37.1</v>
      </c>
      <c r="N80">
        <v>31.44055944055944</v>
      </c>
      <c r="O80">
        <v>34.592074592074596</v>
      </c>
      <c r="P80" t="s">
        <v>51</v>
      </c>
      <c r="Q80">
        <v>2</v>
      </c>
      <c r="R80">
        <v>2.8447488584474954</v>
      </c>
      <c r="S80">
        <v>250</v>
      </c>
      <c r="T80" t="s">
        <v>206</v>
      </c>
      <c r="U80" t="s">
        <v>207</v>
      </c>
      <c r="V80">
        <v>769.5</v>
      </c>
      <c r="W80">
        <v>32.5</v>
      </c>
      <c r="X80">
        <v>607</v>
      </c>
      <c r="Y80">
        <v>52</v>
      </c>
      <c r="Z80">
        <v>71.5</v>
      </c>
      <c r="AA80">
        <v>109.5</v>
      </c>
      <c r="AB80">
        <v>267</v>
      </c>
      <c r="AC80" t="s">
        <v>63</v>
      </c>
      <c r="AD80" t="s">
        <v>63</v>
      </c>
      <c r="AE80" t="s">
        <v>63</v>
      </c>
      <c r="AF80" t="s">
        <v>63</v>
      </c>
      <c r="AG80" t="s">
        <v>63</v>
      </c>
      <c r="AH80">
        <v>39.5</v>
      </c>
      <c r="AI80">
        <v>79</v>
      </c>
      <c r="AJ80">
        <v>136</v>
      </c>
      <c r="AK80">
        <v>205.5</v>
      </c>
      <c r="AL80">
        <v>325</v>
      </c>
      <c r="AM80" t="s">
        <v>63</v>
      </c>
      <c r="AN80" t="s">
        <v>63</v>
      </c>
      <c r="AO80" t="s">
        <v>63</v>
      </c>
      <c r="AP80" t="s">
        <v>63</v>
      </c>
      <c r="AQ80" t="s">
        <v>63</v>
      </c>
      <c r="AR80">
        <v>56</v>
      </c>
    </row>
    <row r="81" spans="1:44" hidden="1">
      <c r="A81" t="s">
        <v>183</v>
      </c>
      <c r="B81" t="s">
        <v>208</v>
      </c>
      <c r="C81" t="s">
        <v>209</v>
      </c>
      <c r="D81" t="s">
        <v>210</v>
      </c>
      <c r="F81" t="s">
        <v>48</v>
      </c>
      <c r="G81">
        <v>90</v>
      </c>
      <c r="H81" t="s">
        <v>200</v>
      </c>
      <c r="I81">
        <v>37149</v>
      </c>
      <c r="J81">
        <v>1</v>
      </c>
      <c r="K81" t="s">
        <v>50</v>
      </c>
      <c r="L81">
        <v>0</v>
      </c>
      <c r="M81">
        <v>25.753137169999999</v>
      </c>
      <c r="N81">
        <v>0</v>
      </c>
      <c r="O81">
        <v>2.2490251484612429</v>
      </c>
      <c r="P81" t="s">
        <v>60</v>
      </c>
      <c r="Q81" t="s">
        <v>50</v>
      </c>
      <c r="R81" t="s">
        <v>50</v>
      </c>
      <c r="S81" t="s">
        <v>81</v>
      </c>
      <c r="T81" t="s">
        <v>198</v>
      </c>
      <c r="U81" t="s">
        <v>199</v>
      </c>
      <c r="V81">
        <v>653</v>
      </c>
      <c r="W81">
        <v>64</v>
      </c>
      <c r="X81">
        <v>480.1</v>
      </c>
      <c r="Y81">
        <v>127</v>
      </c>
      <c r="Z81">
        <v>173</v>
      </c>
      <c r="AA81">
        <v>267.5</v>
      </c>
      <c r="AB81">
        <v>467</v>
      </c>
      <c r="AC81" t="s">
        <v>63</v>
      </c>
      <c r="AD81" t="s">
        <v>63</v>
      </c>
      <c r="AE81" t="s">
        <v>63</v>
      </c>
      <c r="AF81" t="s">
        <v>54</v>
      </c>
      <c r="AG81" t="s">
        <v>55</v>
      </c>
      <c r="AH81">
        <v>64</v>
      </c>
      <c r="AI81">
        <v>139.5</v>
      </c>
      <c r="AJ81">
        <v>188.5</v>
      </c>
      <c r="AK81">
        <v>289</v>
      </c>
      <c r="AL81">
        <v>503</v>
      </c>
      <c r="AM81" t="s">
        <v>63</v>
      </c>
      <c r="AN81" t="s">
        <v>54</v>
      </c>
      <c r="AO81" t="s">
        <v>63</v>
      </c>
      <c r="AP81" t="s">
        <v>54</v>
      </c>
      <c r="AQ81" t="s">
        <v>56</v>
      </c>
      <c r="AR81">
        <v>19</v>
      </c>
    </row>
    <row r="82" spans="1:44">
      <c r="A82" t="s">
        <v>183</v>
      </c>
      <c r="B82" t="s">
        <v>208</v>
      </c>
      <c r="C82" t="s">
        <v>209</v>
      </c>
      <c r="D82" t="s">
        <v>210</v>
      </c>
      <c r="F82" t="s">
        <v>48</v>
      </c>
      <c r="G82">
        <v>98</v>
      </c>
      <c r="H82" t="s">
        <v>153</v>
      </c>
      <c r="I82">
        <v>40033.833333333336</v>
      </c>
      <c r="J82">
        <v>2</v>
      </c>
      <c r="K82">
        <v>7.9036529680365364</v>
      </c>
      <c r="L82">
        <v>2.0699999999999998</v>
      </c>
      <c r="M82">
        <v>84.2</v>
      </c>
      <c r="N82">
        <v>0.18077339574527543</v>
      </c>
      <c r="O82">
        <v>7.3531980298319768</v>
      </c>
      <c r="P82" t="s">
        <v>51</v>
      </c>
      <c r="Q82">
        <v>1</v>
      </c>
      <c r="R82" t="s">
        <v>50</v>
      </c>
      <c r="S82">
        <v>400</v>
      </c>
      <c r="T82" t="s">
        <v>211</v>
      </c>
      <c r="U82" t="s">
        <v>212</v>
      </c>
      <c r="V82">
        <v>1889.5</v>
      </c>
      <c r="W82">
        <v>44</v>
      </c>
      <c r="X82">
        <v>855.9</v>
      </c>
      <c r="Y82">
        <v>115</v>
      </c>
      <c r="Z82">
        <v>250</v>
      </c>
      <c r="AA82">
        <v>377</v>
      </c>
      <c r="AB82">
        <v>501.5</v>
      </c>
      <c r="AC82" t="s">
        <v>63</v>
      </c>
      <c r="AD82" t="s">
        <v>63</v>
      </c>
      <c r="AE82" t="s">
        <v>55</v>
      </c>
      <c r="AF82" t="s">
        <v>56</v>
      </c>
      <c r="AG82" t="s">
        <v>56</v>
      </c>
      <c r="AH82">
        <v>105</v>
      </c>
      <c r="AI82">
        <v>257</v>
      </c>
      <c r="AJ82">
        <v>404</v>
      </c>
      <c r="AK82">
        <v>644.5</v>
      </c>
      <c r="AL82">
        <v>1084.5</v>
      </c>
      <c r="AM82" t="s">
        <v>57</v>
      </c>
      <c r="AN82" t="s">
        <v>87</v>
      </c>
      <c r="AO82" t="s">
        <v>64</v>
      </c>
      <c r="AP82" t="s">
        <v>64</v>
      </c>
      <c r="AQ82" t="s">
        <v>64</v>
      </c>
      <c r="AR82">
        <v>62</v>
      </c>
    </row>
    <row r="83" spans="1:44">
      <c r="A83" t="s">
        <v>213</v>
      </c>
      <c r="B83" t="s">
        <v>214</v>
      </c>
      <c r="C83" t="s">
        <v>215</v>
      </c>
      <c r="D83" t="s">
        <v>216</v>
      </c>
      <c r="E83" t="s">
        <v>217</v>
      </c>
      <c r="F83" t="s">
        <v>127</v>
      </c>
      <c r="G83">
        <v>97</v>
      </c>
      <c r="H83" t="s">
        <v>124</v>
      </c>
      <c r="I83">
        <v>39646.875</v>
      </c>
      <c r="J83">
        <v>1</v>
      </c>
      <c r="K83" t="s">
        <v>50</v>
      </c>
      <c r="L83">
        <v>0.143898</v>
      </c>
      <c r="M83">
        <v>0.84</v>
      </c>
      <c r="N83">
        <v>0.47902130492676437</v>
      </c>
      <c r="O83">
        <v>2.7962716378162451</v>
      </c>
      <c r="P83" t="s">
        <v>51</v>
      </c>
      <c r="Q83">
        <v>1</v>
      </c>
      <c r="R83" t="s">
        <v>50</v>
      </c>
      <c r="S83">
        <v>500</v>
      </c>
      <c r="T83" t="s">
        <v>218</v>
      </c>
      <c r="U83" t="s">
        <v>219</v>
      </c>
      <c r="V83">
        <v>998.5</v>
      </c>
      <c r="W83">
        <v>125.5</v>
      </c>
      <c r="X83">
        <v>545.5</v>
      </c>
      <c r="Y83">
        <v>229.5</v>
      </c>
      <c r="Z83">
        <v>458.5</v>
      </c>
      <c r="AA83">
        <v>472.5</v>
      </c>
      <c r="AB83">
        <v>472.5</v>
      </c>
      <c r="AC83" t="s">
        <v>87</v>
      </c>
      <c r="AD83" t="s">
        <v>58</v>
      </c>
      <c r="AE83" t="s">
        <v>64</v>
      </c>
      <c r="AF83" t="s">
        <v>87</v>
      </c>
      <c r="AG83" t="s">
        <v>56</v>
      </c>
      <c r="AH83">
        <v>140.5</v>
      </c>
      <c r="AI83">
        <v>324</v>
      </c>
      <c r="AJ83">
        <v>573</v>
      </c>
      <c r="AK83">
        <v>764</v>
      </c>
      <c r="AL83">
        <v>911</v>
      </c>
      <c r="AM83" t="s">
        <v>64</v>
      </c>
      <c r="AN83" t="s">
        <v>64</v>
      </c>
      <c r="AO83" t="s">
        <v>64</v>
      </c>
      <c r="AP83" t="s">
        <v>64</v>
      </c>
      <c r="AQ83" t="s">
        <v>64</v>
      </c>
      <c r="AR83">
        <v>7</v>
      </c>
    </row>
    <row r="84" spans="1:44">
      <c r="A84" t="s">
        <v>213</v>
      </c>
      <c r="B84" t="s">
        <v>214</v>
      </c>
      <c r="C84" t="s">
        <v>215</v>
      </c>
      <c r="D84" t="s">
        <v>216</v>
      </c>
      <c r="E84" t="s">
        <v>217</v>
      </c>
      <c r="F84" t="s">
        <v>127</v>
      </c>
      <c r="G84">
        <v>98</v>
      </c>
      <c r="H84" t="s">
        <v>153</v>
      </c>
      <c r="I84">
        <v>40033.708333333336</v>
      </c>
      <c r="J84">
        <v>2</v>
      </c>
      <c r="K84">
        <v>1.0598173515981801</v>
      </c>
      <c r="L84">
        <v>0.84</v>
      </c>
      <c r="M84">
        <v>2.0193690000000002</v>
      </c>
      <c r="N84">
        <v>2.7962716378162451</v>
      </c>
      <c r="O84">
        <v>6.7222669773635157</v>
      </c>
      <c r="P84" t="s">
        <v>51</v>
      </c>
      <c r="Q84">
        <v>2</v>
      </c>
      <c r="R84">
        <v>1.0598173515981801</v>
      </c>
      <c r="S84">
        <v>450</v>
      </c>
      <c r="T84" t="s">
        <v>218</v>
      </c>
      <c r="U84" t="s">
        <v>219</v>
      </c>
      <c r="V84">
        <v>1241.5</v>
      </c>
      <c r="W84">
        <v>88</v>
      </c>
      <c r="X84">
        <v>653.6</v>
      </c>
      <c r="Y84">
        <v>187.5</v>
      </c>
      <c r="Z84">
        <v>260</v>
      </c>
      <c r="AA84">
        <v>363.5</v>
      </c>
      <c r="AB84">
        <v>523.5</v>
      </c>
      <c r="AC84" t="s">
        <v>56</v>
      </c>
      <c r="AD84" t="s">
        <v>56</v>
      </c>
      <c r="AE84" t="s">
        <v>56</v>
      </c>
      <c r="AF84" t="s">
        <v>56</v>
      </c>
      <c r="AG84" t="s">
        <v>57</v>
      </c>
      <c r="AH84">
        <v>88</v>
      </c>
      <c r="AI84">
        <v>207.5</v>
      </c>
      <c r="AJ84">
        <v>359</v>
      </c>
      <c r="AK84">
        <v>555</v>
      </c>
      <c r="AL84">
        <v>770.5</v>
      </c>
      <c r="AM84" t="s">
        <v>56</v>
      </c>
      <c r="AN84" t="s">
        <v>57</v>
      </c>
      <c r="AO84" t="s">
        <v>64</v>
      </c>
      <c r="AP84" t="s">
        <v>64</v>
      </c>
      <c r="AQ84" t="s">
        <v>64</v>
      </c>
      <c r="AR84">
        <v>44</v>
      </c>
    </row>
    <row r="85" spans="1:44">
      <c r="A85" t="s">
        <v>220</v>
      </c>
      <c r="B85" t="s">
        <v>221</v>
      </c>
      <c r="C85" t="s">
        <v>222</v>
      </c>
      <c r="D85" t="s">
        <v>223</v>
      </c>
      <c r="E85" t="s">
        <v>224</v>
      </c>
      <c r="F85" t="s">
        <v>127</v>
      </c>
      <c r="G85">
        <v>97</v>
      </c>
      <c r="H85" t="s">
        <v>124</v>
      </c>
      <c r="I85">
        <v>39647.125</v>
      </c>
      <c r="J85">
        <v>1</v>
      </c>
      <c r="K85" t="s">
        <v>50</v>
      </c>
      <c r="L85">
        <v>0</v>
      </c>
      <c r="M85">
        <v>1.19194</v>
      </c>
      <c r="N85">
        <v>0</v>
      </c>
      <c r="O85">
        <v>7.1330939557151405</v>
      </c>
      <c r="P85" t="s">
        <v>51</v>
      </c>
      <c r="Q85">
        <v>1</v>
      </c>
      <c r="R85" t="s">
        <v>50</v>
      </c>
      <c r="S85">
        <v>450</v>
      </c>
      <c r="T85" t="s">
        <v>225</v>
      </c>
      <c r="U85" t="s">
        <v>226</v>
      </c>
      <c r="V85">
        <v>1034.5</v>
      </c>
      <c r="W85">
        <v>33</v>
      </c>
      <c r="X85">
        <v>710.1</v>
      </c>
      <c r="Y85">
        <v>147</v>
      </c>
      <c r="Z85">
        <v>515.5</v>
      </c>
      <c r="AA85">
        <v>684</v>
      </c>
      <c r="AB85">
        <v>684</v>
      </c>
      <c r="AC85" t="s">
        <v>63</v>
      </c>
      <c r="AD85" t="s">
        <v>54</v>
      </c>
      <c r="AE85" t="s">
        <v>64</v>
      </c>
      <c r="AF85" t="s">
        <v>64</v>
      </c>
      <c r="AG85" t="s">
        <v>58</v>
      </c>
      <c r="AH85">
        <v>148</v>
      </c>
      <c r="AI85">
        <v>368.5</v>
      </c>
      <c r="AJ85">
        <v>567</v>
      </c>
      <c r="AK85">
        <v>764.5</v>
      </c>
      <c r="AL85">
        <v>886.5</v>
      </c>
      <c r="AM85" t="s">
        <v>64</v>
      </c>
      <c r="AN85" t="s">
        <v>64</v>
      </c>
      <c r="AO85" t="s">
        <v>64</v>
      </c>
      <c r="AP85" t="s">
        <v>64</v>
      </c>
      <c r="AQ85" t="s">
        <v>64</v>
      </c>
      <c r="AR85">
        <v>11</v>
      </c>
    </row>
    <row r="86" spans="1:44">
      <c r="A86" t="s">
        <v>220</v>
      </c>
      <c r="B86" t="s">
        <v>221</v>
      </c>
      <c r="C86" t="s">
        <v>222</v>
      </c>
      <c r="D86" t="s">
        <v>223</v>
      </c>
      <c r="E86" t="s">
        <v>224</v>
      </c>
      <c r="F86" t="s">
        <v>127</v>
      </c>
      <c r="G86">
        <v>98</v>
      </c>
      <c r="H86" t="s">
        <v>153</v>
      </c>
      <c r="I86">
        <v>40032.875</v>
      </c>
      <c r="J86">
        <v>2</v>
      </c>
      <c r="K86">
        <v>1.0568493150684932</v>
      </c>
      <c r="L86">
        <v>1.19194</v>
      </c>
      <c r="M86">
        <v>2.2928959999999998</v>
      </c>
      <c r="N86">
        <v>7.1330939557151405</v>
      </c>
      <c r="O86">
        <v>13.721699581089167</v>
      </c>
      <c r="P86" t="s">
        <v>51</v>
      </c>
      <c r="Q86">
        <v>2</v>
      </c>
      <c r="R86">
        <v>1.0568493150684932</v>
      </c>
      <c r="S86">
        <v>400</v>
      </c>
      <c r="T86" t="s">
        <v>225</v>
      </c>
      <c r="U86" t="s">
        <v>226</v>
      </c>
      <c r="V86">
        <v>2418</v>
      </c>
      <c r="W86">
        <v>18.5</v>
      </c>
      <c r="X86">
        <v>308.89999999999998</v>
      </c>
      <c r="Y86">
        <v>56</v>
      </c>
      <c r="Z86">
        <v>101.5</v>
      </c>
      <c r="AA86">
        <v>165.5</v>
      </c>
      <c r="AB86">
        <v>299.5</v>
      </c>
      <c r="AC86" t="s">
        <v>63</v>
      </c>
      <c r="AD86" t="s">
        <v>63</v>
      </c>
      <c r="AE86" t="s">
        <v>63</v>
      </c>
      <c r="AF86" t="s">
        <v>63</v>
      </c>
      <c r="AG86" t="s">
        <v>63</v>
      </c>
      <c r="AH86">
        <v>103</v>
      </c>
      <c r="AI86">
        <v>253.5</v>
      </c>
      <c r="AJ86">
        <v>473.5</v>
      </c>
      <c r="AK86">
        <v>786.5</v>
      </c>
      <c r="AL86">
        <v>1199.5</v>
      </c>
      <c r="AM86" t="s">
        <v>56</v>
      </c>
      <c r="AN86" t="s">
        <v>87</v>
      </c>
      <c r="AO86" t="s">
        <v>64</v>
      </c>
      <c r="AP86" t="s">
        <v>64</v>
      </c>
      <c r="AQ86" t="s">
        <v>64</v>
      </c>
      <c r="AR86">
        <v>24</v>
      </c>
    </row>
    <row r="87" spans="1:44">
      <c r="A87" t="s">
        <v>220</v>
      </c>
      <c r="B87" t="s">
        <v>221</v>
      </c>
      <c r="C87" t="s">
        <v>222</v>
      </c>
      <c r="D87" t="s">
        <v>227</v>
      </c>
      <c r="E87" t="s">
        <v>228</v>
      </c>
      <c r="F87" t="s">
        <v>48</v>
      </c>
      <c r="G87">
        <v>96</v>
      </c>
      <c r="H87" t="s">
        <v>229</v>
      </c>
      <c r="I87">
        <v>39314.5</v>
      </c>
      <c r="J87">
        <v>1</v>
      </c>
      <c r="K87" t="s">
        <v>50</v>
      </c>
      <c r="L87">
        <v>0</v>
      </c>
      <c r="M87">
        <v>4.5999999999999996</v>
      </c>
      <c r="N87">
        <v>0</v>
      </c>
      <c r="O87">
        <v>2.4475896562732786</v>
      </c>
      <c r="P87" t="s">
        <v>51</v>
      </c>
      <c r="Q87">
        <v>1</v>
      </c>
      <c r="R87" t="s">
        <v>50</v>
      </c>
      <c r="S87">
        <v>450</v>
      </c>
      <c r="T87" t="s">
        <v>225</v>
      </c>
      <c r="U87" t="s">
        <v>226</v>
      </c>
      <c r="V87">
        <v>941.5</v>
      </c>
      <c r="W87">
        <v>33</v>
      </c>
      <c r="X87">
        <v>943.8</v>
      </c>
      <c r="Y87">
        <v>39.5</v>
      </c>
      <c r="Z87">
        <v>111</v>
      </c>
      <c r="AA87">
        <v>257.5</v>
      </c>
      <c r="AB87">
        <v>421</v>
      </c>
      <c r="AC87" t="s">
        <v>63</v>
      </c>
      <c r="AD87" t="s">
        <v>63</v>
      </c>
      <c r="AE87" t="s">
        <v>63</v>
      </c>
      <c r="AF87" t="s">
        <v>63</v>
      </c>
      <c r="AG87" t="s">
        <v>54</v>
      </c>
      <c r="AH87">
        <v>54.5</v>
      </c>
      <c r="AI87">
        <v>117</v>
      </c>
      <c r="AJ87">
        <v>222.5</v>
      </c>
      <c r="AK87">
        <v>328</v>
      </c>
      <c r="AL87">
        <v>466.5</v>
      </c>
      <c r="AM87" t="s">
        <v>63</v>
      </c>
      <c r="AN87" t="s">
        <v>63</v>
      </c>
      <c r="AO87" t="s">
        <v>54</v>
      </c>
      <c r="AP87" t="s">
        <v>54</v>
      </c>
      <c r="AQ87" t="s">
        <v>54</v>
      </c>
      <c r="AR87">
        <v>62</v>
      </c>
    </row>
    <row r="88" spans="1:44">
      <c r="A88" t="s">
        <v>220</v>
      </c>
      <c r="B88" t="s">
        <v>221</v>
      </c>
      <c r="C88" t="s">
        <v>222</v>
      </c>
      <c r="D88" t="s">
        <v>227</v>
      </c>
      <c r="E88" t="s">
        <v>228</v>
      </c>
      <c r="F88" t="s">
        <v>48</v>
      </c>
      <c r="G88">
        <v>97</v>
      </c>
      <c r="H88" t="s">
        <v>124</v>
      </c>
      <c r="I88">
        <v>39646.958333333336</v>
      </c>
      <c r="J88">
        <v>2</v>
      </c>
      <c r="K88">
        <v>0.91084474885845412</v>
      </c>
      <c r="L88">
        <v>5.8</v>
      </c>
      <c r="M88">
        <v>7.6</v>
      </c>
      <c r="N88">
        <v>3.0860913057358732</v>
      </c>
      <c r="O88">
        <v>4.0438437799297651</v>
      </c>
      <c r="P88" t="s">
        <v>51</v>
      </c>
      <c r="Q88">
        <v>2</v>
      </c>
      <c r="R88">
        <v>0.91084474885845412</v>
      </c>
      <c r="S88">
        <v>450</v>
      </c>
      <c r="T88" t="s">
        <v>225</v>
      </c>
      <c r="U88" t="s">
        <v>226</v>
      </c>
      <c r="V88">
        <v>1034.5</v>
      </c>
      <c r="W88">
        <v>144.5</v>
      </c>
      <c r="X88">
        <v>454.2</v>
      </c>
      <c r="Y88">
        <v>334</v>
      </c>
      <c r="Z88">
        <v>409</v>
      </c>
      <c r="AA88">
        <v>419</v>
      </c>
      <c r="AB88">
        <v>419</v>
      </c>
      <c r="AC88" t="s">
        <v>64</v>
      </c>
      <c r="AD88" t="s">
        <v>64</v>
      </c>
      <c r="AE88" t="s">
        <v>64</v>
      </c>
      <c r="AF88" t="s">
        <v>56</v>
      </c>
      <c r="AG88" t="s">
        <v>54</v>
      </c>
      <c r="AH88">
        <v>148</v>
      </c>
      <c r="AI88">
        <v>368.5</v>
      </c>
      <c r="AJ88">
        <v>567</v>
      </c>
      <c r="AK88">
        <v>764.5</v>
      </c>
      <c r="AL88">
        <v>886.5</v>
      </c>
      <c r="AM88" t="s">
        <v>64</v>
      </c>
      <c r="AN88" t="s">
        <v>64</v>
      </c>
      <c r="AO88" t="s">
        <v>64</v>
      </c>
      <c r="AP88" t="s">
        <v>64</v>
      </c>
      <c r="AQ88" t="s">
        <v>64</v>
      </c>
      <c r="AR88">
        <v>7</v>
      </c>
    </row>
    <row r="89" spans="1:44">
      <c r="A89" t="s">
        <v>220</v>
      </c>
      <c r="B89" t="s">
        <v>221</v>
      </c>
      <c r="C89" t="s">
        <v>230</v>
      </c>
      <c r="D89" t="s">
        <v>231</v>
      </c>
      <c r="E89" t="s">
        <v>232</v>
      </c>
      <c r="F89" t="s">
        <v>127</v>
      </c>
      <c r="G89">
        <v>95</v>
      </c>
      <c r="H89" t="s">
        <v>110</v>
      </c>
      <c r="I89">
        <v>38877.75</v>
      </c>
      <c r="J89">
        <v>1</v>
      </c>
      <c r="K89" t="s">
        <v>50</v>
      </c>
      <c r="L89">
        <v>0</v>
      </c>
      <c r="M89">
        <v>1</v>
      </c>
      <c r="N89">
        <v>0</v>
      </c>
      <c r="O89">
        <v>8.6206896551724146</v>
      </c>
      <c r="P89" t="s">
        <v>51</v>
      </c>
      <c r="Q89">
        <v>1</v>
      </c>
      <c r="R89" t="s">
        <v>50</v>
      </c>
      <c r="S89">
        <v>400</v>
      </c>
      <c r="T89" t="s">
        <v>233</v>
      </c>
      <c r="U89" t="s">
        <v>234</v>
      </c>
      <c r="V89">
        <v>565</v>
      </c>
      <c r="W89">
        <v>14.4</v>
      </c>
      <c r="X89">
        <v>336.4</v>
      </c>
      <c r="Y89">
        <v>42</v>
      </c>
      <c r="Z89">
        <v>129.5</v>
      </c>
      <c r="AA89">
        <v>195.5</v>
      </c>
      <c r="AB89">
        <v>219</v>
      </c>
      <c r="AC89" t="s">
        <v>63</v>
      </c>
      <c r="AD89" t="s">
        <v>63</v>
      </c>
      <c r="AE89" t="s">
        <v>63</v>
      </c>
      <c r="AF89" t="s">
        <v>63</v>
      </c>
      <c r="AG89" t="s">
        <v>63</v>
      </c>
      <c r="AH89">
        <v>72</v>
      </c>
      <c r="AI89">
        <v>111</v>
      </c>
      <c r="AJ89">
        <v>193</v>
      </c>
      <c r="AK89">
        <v>264.5</v>
      </c>
      <c r="AL89">
        <v>461</v>
      </c>
      <c r="AM89" t="s">
        <v>54</v>
      </c>
      <c r="AN89" t="s">
        <v>63</v>
      </c>
      <c r="AO89" t="s">
        <v>63</v>
      </c>
      <c r="AP89" t="s">
        <v>63</v>
      </c>
      <c r="AQ89" t="s">
        <v>55</v>
      </c>
      <c r="AR89">
        <v>16</v>
      </c>
    </row>
    <row r="90" spans="1:44">
      <c r="A90" t="s">
        <v>220</v>
      </c>
      <c r="B90" t="s">
        <v>221</v>
      </c>
      <c r="C90" t="s">
        <v>230</v>
      </c>
      <c r="D90" t="s">
        <v>231</v>
      </c>
      <c r="E90" t="s">
        <v>232</v>
      </c>
      <c r="F90" t="s">
        <v>127</v>
      </c>
      <c r="G90">
        <v>98</v>
      </c>
      <c r="H90" t="s">
        <v>153</v>
      </c>
      <c r="I90">
        <v>40033.208333333336</v>
      </c>
      <c r="J90">
        <v>2</v>
      </c>
      <c r="K90">
        <v>3.1656392694063995</v>
      </c>
      <c r="L90">
        <v>0.3</v>
      </c>
      <c r="M90">
        <v>2.2999999999999998</v>
      </c>
      <c r="N90">
        <v>2.5862068965517242</v>
      </c>
      <c r="O90">
        <v>19.827586206896548</v>
      </c>
      <c r="P90" t="s">
        <v>51</v>
      </c>
      <c r="Q90">
        <v>2</v>
      </c>
      <c r="R90">
        <v>3.1656392694063995</v>
      </c>
      <c r="S90">
        <v>400</v>
      </c>
      <c r="T90" t="s">
        <v>233</v>
      </c>
      <c r="U90" t="s">
        <v>234</v>
      </c>
      <c r="V90">
        <v>1211</v>
      </c>
      <c r="W90">
        <v>32.5</v>
      </c>
      <c r="X90">
        <v>534.5</v>
      </c>
      <c r="Y90">
        <v>98</v>
      </c>
      <c r="Z90">
        <v>145</v>
      </c>
      <c r="AA90">
        <v>220</v>
      </c>
      <c r="AB90">
        <v>320</v>
      </c>
      <c r="AC90" t="s">
        <v>63</v>
      </c>
      <c r="AD90" t="s">
        <v>63</v>
      </c>
      <c r="AE90" t="s">
        <v>63</v>
      </c>
      <c r="AF90" t="s">
        <v>63</v>
      </c>
      <c r="AG90" t="s">
        <v>63</v>
      </c>
      <c r="AH90">
        <v>52.5</v>
      </c>
      <c r="AI90">
        <v>124</v>
      </c>
      <c r="AJ90">
        <v>244</v>
      </c>
      <c r="AK90">
        <v>416</v>
      </c>
      <c r="AL90">
        <v>743</v>
      </c>
      <c r="AM90" t="s">
        <v>63</v>
      </c>
      <c r="AN90" t="s">
        <v>63</v>
      </c>
      <c r="AO90" t="s">
        <v>55</v>
      </c>
      <c r="AP90" t="s">
        <v>56</v>
      </c>
      <c r="AQ90" t="s">
        <v>87</v>
      </c>
      <c r="AR90">
        <v>32</v>
      </c>
    </row>
    <row r="91" spans="1:44" hidden="1">
      <c r="A91" t="s">
        <v>220</v>
      </c>
      <c r="B91" t="s">
        <v>221</v>
      </c>
      <c r="C91" t="s">
        <v>230</v>
      </c>
      <c r="D91" t="s">
        <v>235</v>
      </c>
      <c r="E91" t="s">
        <v>236</v>
      </c>
      <c r="F91" t="s">
        <v>48</v>
      </c>
      <c r="G91">
        <v>94</v>
      </c>
      <c r="H91" t="s">
        <v>95</v>
      </c>
      <c r="I91">
        <v>38552.416666666664</v>
      </c>
      <c r="J91">
        <v>1</v>
      </c>
      <c r="K91" t="s">
        <v>50</v>
      </c>
      <c r="L91">
        <v>0</v>
      </c>
      <c r="M91">
        <v>0</v>
      </c>
      <c r="N91">
        <v>0</v>
      </c>
      <c r="O91">
        <v>0</v>
      </c>
      <c r="P91" t="s">
        <v>51</v>
      </c>
      <c r="Q91">
        <v>1</v>
      </c>
      <c r="R91" t="s">
        <v>50</v>
      </c>
      <c r="S91">
        <v>500</v>
      </c>
      <c r="T91" t="s">
        <v>233</v>
      </c>
      <c r="U91" t="s">
        <v>234</v>
      </c>
      <c r="V91">
        <v>1368</v>
      </c>
      <c r="W91">
        <v>4</v>
      </c>
      <c r="X91">
        <v>671</v>
      </c>
      <c r="Y91">
        <v>102</v>
      </c>
      <c r="Z91">
        <v>143.5</v>
      </c>
      <c r="AA91">
        <v>285.5</v>
      </c>
      <c r="AB91">
        <v>585.5</v>
      </c>
      <c r="AC91" t="s">
        <v>63</v>
      </c>
      <c r="AD91" t="s">
        <v>63</v>
      </c>
      <c r="AE91" t="s">
        <v>63</v>
      </c>
      <c r="AF91" t="s">
        <v>54</v>
      </c>
      <c r="AG91" t="s">
        <v>57</v>
      </c>
      <c r="AH91">
        <v>102</v>
      </c>
      <c r="AI91">
        <v>181</v>
      </c>
      <c r="AJ91">
        <v>223</v>
      </c>
      <c r="AK91">
        <v>392.5</v>
      </c>
      <c r="AL91">
        <v>629</v>
      </c>
      <c r="AM91" t="s">
        <v>56</v>
      </c>
      <c r="AN91" t="s">
        <v>55</v>
      </c>
      <c r="AO91" t="s">
        <v>54</v>
      </c>
      <c r="AP91" t="s">
        <v>56</v>
      </c>
      <c r="AQ91" t="s">
        <v>57</v>
      </c>
      <c r="AR91">
        <v>32</v>
      </c>
    </row>
    <row r="92" spans="1:44">
      <c r="A92" t="s">
        <v>220</v>
      </c>
      <c r="B92" t="s">
        <v>221</v>
      </c>
      <c r="C92" t="s">
        <v>230</v>
      </c>
      <c r="D92" t="s">
        <v>235</v>
      </c>
      <c r="E92" t="s">
        <v>236</v>
      </c>
      <c r="F92" t="s">
        <v>48</v>
      </c>
      <c r="G92">
        <v>99</v>
      </c>
      <c r="H92" t="s">
        <v>237</v>
      </c>
      <c r="I92">
        <v>40440.75</v>
      </c>
      <c r="J92">
        <v>2</v>
      </c>
      <c r="K92">
        <v>5.1735159817351661</v>
      </c>
      <c r="L92">
        <v>7.4</v>
      </c>
      <c r="M92">
        <v>7.12</v>
      </c>
      <c r="N92">
        <v>4.4016178919819176</v>
      </c>
      <c r="O92">
        <v>4.2350701879609796</v>
      </c>
      <c r="P92" t="s">
        <v>51</v>
      </c>
      <c r="Q92">
        <v>2</v>
      </c>
      <c r="R92">
        <v>5.1735159817351661</v>
      </c>
      <c r="S92">
        <v>200</v>
      </c>
      <c r="T92" t="s">
        <v>233</v>
      </c>
      <c r="U92" t="s">
        <v>234</v>
      </c>
      <c r="V92">
        <v>584.5</v>
      </c>
      <c r="W92">
        <v>45</v>
      </c>
      <c r="X92">
        <v>322</v>
      </c>
      <c r="Y92">
        <v>68.5</v>
      </c>
      <c r="Z92">
        <v>149.5</v>
      </c>
      <c r="AA92">
        <v>267</v>
      </c>
      <c r="AB92">
        <v>314</v>
      </c>
      <c r="AC92" t="s">
        <v>63</v>
      </c>
      <c r="AD92" t="s">
        <v>63</v>
      </c>
      <c r="AE92" t="s">
        <v>63</v>
      </c>
      <c r="AF92" t="s">
        <v>63</v>
      </c>
      <c r="AG92" t="s">
        <v>63</v>
      </c>
      <c r="AH92">
        <v>72</v>
      </c>
      <c r="AI92">
        <v>184.5</v>
      </c>
      <c r="AJ92">
        <v>262.5</v>
      </c>
      <c r="AK92">
        <v>411</v>
      </c>
      <c r="AL92">
        <v>584.5</v>
      </c>
      <c r="AM92" t="s">
        <v>54</v>
      </c>
      <c r="AN92" t="s">
        <v>56</v>
      </c>
      <c r="AO92" t="s">
        <v>55</v>
      </c>
      <c r="AP92" t="s">
        <v>56</v>
      </c>
      <c r="AQ92" t="s">
        <v>57</v>
      </c>
      <c r="AR92">
        <v>16</v>
      </c>
    </row>
    <row r="93" spans="1:44">
      <c r="A93" t="s">
        <v>220</v>
      </c>
      <c r="B93" t="s">
        <v>221</v>
      </c>
      <c r="C93" t="s">
        <v>230</v>
      </c>
      <c r="D93" t="s">
        <v>235</v>
      </c>
      <c r="E93" t="s">
        <v>236</v>
      </c>
      <c r="F93" t="s">
        <v>48</v>
      </c>
      <c r="G93">
        <v>113</v>
      </c>
      <c r="H93" t="s">
        <v>59</v>
      </c>
      <c r="I93">
        <v>45498.458333333336</v>
      </c>
      <c r="J93">
        <v>3</v>
      </c>
      <c r="K93">
        <v>13.856735159817358</v>
      </c>
      <c r="L93">
        <v>0.84899999999999998</v>
      </c>
      <c r="M93">
        <v>5.2690000000000001</v>
      </c>
      <c r="N93">
        <v>0.50499643112062809</v>
      </c>
      <c r="O93">
        <v>3.1340709017368544</v>
      </c>
      <c r="P93" t="s">
        <v>51</v>
      </c>
      <c r="Q93">
        <v>3</v>
      </c>
      <c r="R93">
        <v>13.856735159817358</v>
      </c>
      <c r="S93">
        <v>350</v>
      </c>
      <c r="T93" t="s">
        <v>233</v>
      </c>
      <c r="U93" t="s">
        <v>234</v>
      </c>
      <c r="V93">
        <v>1235.5</v>
      </c>
      <c r="W93">
        <v>105.5</v>
      </c>
      <c r="X93">
        <v>861.5</v>
      </c>
      <c r="Y93">
        <v>265</v>
      </c>
      <c r="Z93">
        <v>452</v>
      </c>
      <c r="AA93">
        <v>656</v>
      </c>
      <c r="AB93">
        <v>865</v>
      </c>
      <c r="AC93" t="s">
        <v>57</v>
      </c>
      <c r="AD93" t="s">
        <v>64</v>
      </c>
      <c r="AE93" t="s">
        <v>64</v>
      </c>
      <c r="AF93" t="s">
        <v>64</v>
      </c>
      <c r="AG93" t="s">
        <v>64</v>
      </c>
      <c r="AH93">
        <v>105.5</v>
      </c>
      <c r="AI93">
        <v>266.5</v>
      </c>
      <c r="AJ93">
        <v>479.5</v>
      </c>
      <c r="AK93">
        <v>763.5</v>
      </c>
      <c r="AL93">
        <v>989</v>
      </c>
      <c r="AM93" t="s">
        <v>57</v>
      </c>
      <c r="AN93" t="s">
        <v>64</v>
      </c>
      <c r="AO93" t="s">
        <v>64</v>
      </c>
      <c r="AP93" t="s">
        <v>64</v>
      </c>
      <c r="AQ93" t="s">
        <v>64</v>
      </c>
      <c r="AR93">
        <v>24</v>
      </c>
    </row>
    <row r="94" spans="1:44">
      <c r="A94" t="s">
        <v>220</v>
      </c>
      <c r="B94" t="s">
        <v>221</v>
      </c>
      <c r="C94" t="s">
        <v>238</v>
      </c>
      <c r="D94" t="s">
        <v>239</v>
      </c>
      <c r="E94" t="s">
        <v>240</v>
      </c>
      <c r="F94" t="s">
        <v>127</v>
      </c>
      <c r="G94">
        <v>97</v>
      </c>
      <c r="H94" t="s">
        <v>124</v>
      </c>
      <c r="I94">
        <v>39647.083333333336</v>
      </c>
      <c r="J94">
        <v>1</v>
      </c>
      <c r="K94" t="s">
        <v>50</v>
      </c>
      <c r="L94">
        <v>0</v>
      </c>
      <c r="M94">
        <v>0</v>
      </c>
      <c r="N94">
        <v>0</v>
      </c>
      <c r="O94">
        <v>0</v>
      </c>
      <c r="P94" t="s">
        <v>51</v>
      </c>
      <c r="Q94">
        <v>1</v>
      </c>
      <c r="R94" t="s">
        <v>50</v>
      </c>
      <c r="S94">
        <v>450</v>
      </c>
      <c r="T94" t="s">
        <v>225</v>
      </c>
      <c r="U94" t="s">
        <v>226</v>
      </c>
      <c r="V94">
        <v>1034.5</v>
      </c>
      <c r="W94">
        <v>37.5</v>
      </c>
      <c r="X94">
        <v>662</v>
      </c>
      <c r="Y94">
        <v>232</v>
      </c>
      <c r="Z94">
        <v>566</v>
      </c>
      <c r="AA94">
        <v>651</v>
      </c>
      <c r="AB94">
        <v>651</v>
      </c>
      <c r="AC94" t="s">
        <v>63</v>
      </c>
      <c r="AD94" t="s">
        <v>58</v>
      </c>
      <c r="AE94" t="s">
        <v>64</v>
      </c>
      <c r="AF94" t="s">
        <v>64</v>
      </c>
      <c r="AG94" t="s">
        <v>57</v>
      </c>
      <c r="AH94">
        <v>148</v>
      </c>
      <c r="AI94">
        <v>368.5</v>
      </c>
      <c r="AJ94">
        <v>567</v>
      </c>
      <c r="AK94">
        <v>764.5</v>
      </c>
      <c r="AL94">
        <v>886.5</v>
      </c>
      <c r="AM94" t="s">
        <v>64</v>
      </c>
      <c r="AN94" t="s">
        <v>64</v>
      </c>
      <c r="AO94" t="s">
        <v>64</v>
      </c>
      <c r="AP94" t="s">
        <v>64</v>
      </c>
      <c r="AQ94" t="s">
        <v>64</v>
      </c>
      <c r="AR94">
        <v>10</v>
      </c>
    </row>
    <row r="95" spans="1:44">
      <c r="A95" t="s">
        <v>220</v>
      </c>
      <c r="B95" t="s">
        <v>221</v>
      </c>
      <c r="C95" t="s">
        <v>238</v>
      </c>
      <c r="D95" t="s">
        <v>239</v>
      </c>
      <c r="E95" t="s">
        <v>240</v>
      </c>
      <c r="F95" t="s">
        <v>127</v>
      </c>
      <c r="G95">
        <v>98</v>
      </c>
      <c r="H95" t="s">
        <v>153</v>
      </c>
      <c r="I95">
        <v>40033.833333333336</v>
      </c>
      <c r="J95">
        <v>2</v>
      </c>
      <c r="K95">
        <v>1.0595890410958904</v>
      </c>
      <c r="L95">
        <v>0</v>
      </c>
      <c r="M95">
        <v>0.88021000000000005</v>
      </c>
      <c r="N95">
        <v>0</v>
      </c>
      <c r="O95">
        <v>1.0076817401259304</v>
      </c>
      <c r="P95" t="s">
        <v>51</v>
      </c>
      <c r="Q95">
        <v>2</v>
      </c>
      <c r="R95">
        <v>1.0595890410958904</v>
      </c>
      <c r="S95">
        <v>400</v>
      </c>
      <c r="T95" t="s">
        <v>225</v>
      </c>
      <c r="U95" t="s">
        <v>226</v>
      </c>
      <c r="V95">
        <v>2418</v>
      </c>
      <c r="W95">
        <v>56</v>
      </c>
      <c r="X95">
        <v>1271.5999999999999</v>
      </c>
      <c r="Y95">
        <v>241</v>
      </c>
      <c r="Z95">
        <v>473.5</v>
      </c>
      <c r="AA95">
        <v>684</v>
      </c>
      <c r="AB95">
        <v>1033.5</v>
      </c>
      <c r="AC95" t="s">
        <v>63</v>
      </c>
      <c r="AD95" t="s">
        <v>58</v>
      </c>
      <c r="AE95" t="s">
        <v>64</v>
      </c>
      <c r="AF95" t="s">
        <v>64</v>
      </c>
      <c r="AG95" t="s">
        <v>64</v>
      </c>
      <c r="AH95">
        <v>103</v>
      </c>
      <c r="AI95">
        <v>253.5</v>
      </c>
      <c r="AJ95">
        <v>473.5</v>
      </c>
      <c r="AK95">
        <v>786.5</v>
      </c>
      <c r="AL95">
        <v>1199.5</v>
      </c>
      <c r="AM95" t="s">
        <v>56</v>
      </c>
      <c r="AN95" t="s">
        <v>87</v>
      </c>
      <c r="AO95" t="s">
        <v>64</v>
      </c>
      <c r="AP95" t="s">
        <v>64</v>
      </c>
      <c r="AQ95" t="s">
        <v>64</v>
      </c>
      <c r="AR95">
        <v>47</v>
      </c>
    </row>
    <row r="96" spans="1:44">
      <c r="A96" t="s">
        <v>220</v>
      </c>
      <c r="B96" t="s">
        <v>221</v>
      </c>
      <c r="C96" t="s">
        <v>238</v>
      </c>
      <c r="D96" t="s">
        <v>239</v>
      </c>
      <c r="E96" t="s">
        <v>240</v>
      </c>
      <c r="F96" t="s">
        <v>127</v>
      </c>
      <c r="G96">
        <v>113</v>
      </c>
      <c r="H96" t="s">
        <v>59</v>
      </c>
      <c r="I96">
        <v>45498.5</v>
      </c>
      <c r="J96">
        <v>3</v>
      </c>
      <c r="K96">
        <v>14.971689497716888</v>
      </c>
      <c r="L96">
        <v>0.28000000000000003</v>
      </c>
      <c r="M96">
        <v>2</v>
      </c>
      <c r="N96">
        <v>0.32054951345163146</v>
      </c>
      <c r="O96">
        <v>2.2896393817973668</v>
      </c>
      <c r="P96" t="s">
        <v>51</v>
      </c>
      <c r="Q96">
        <v>3</v>
      </c>
      <c r="R96">
        <v>14.971689497716888</v>
      </c>
      <c r="S96">
        <v>350</v>
      </c>
      <c r="T96" t="s">
        <v>241</v>
      </c>
      <c r="U96" t="s">
        <v>242</v>
      </c>
      <c r="V96">
        <v>1379</v>
      </c>
      <c r="W96">
        <v>89.5</v>
      </c>
      <c r="X96">
        <v>796.8</v>
      </c>
      <c r="Y96">
        <v>180</v>
      </c>
      <c r="Z96">
        <v>307</v>
      </c>
      <c r="AA96">
        <v>527</v>
      </c>
      <c r="AB96">
        <v>749.5</v>
      </c>
      <c r="AC96" t="s">
        <v>55</v>
      </c>
      <c r="AD96" t="s">
        <v>56</v>
      </c>
      <c r="AE96" t="s">
        <v>57</v>
      </c>
      <c r="AF96" t="s">
        <v>87</v>
      </c>
      <c r="AG96" t="s">
        <v>64</v>
      </c>
      <c r="AH96">
        <v>89.5</v>
      </c>
      <c r="AI96">
        <v>213.5</v>
      </c>
      <c r="AJ96">
        <v>339.5</v>
      </c>
      <c r="AK96">
        <v>604.5</v>
      </c>
      <c r="AL96">
        <v>950</v>
      </c>
      <c r="AM96" t="s">
        <v>55</v>
      </c>
      <c r="AN96" t="s">
        <v>57</v>
      </c>
      <c r="AO96" t="s">
        <v>58</v>
      </c>
      <c r="AP96" t="s">
        <v>64</v>
      </c>
      <c r="AQ96" t="s">
        <v>64</v>
      </c>
      <c r="AR96">
        <v>26</v>
      </c>
    </row>
    <row r="97" spans="1:44" hidden="1">
      <c r="A97" t="s">
        <v>220</v>
      </c>
      <c r="B97" t="s">
        <v>221</v>
      </c>
      <c r="C97" t="s">
        <v>243</v>
      </c>
      <c r="D97" t="s">
        <v>244</v>
      </c>
      <c r="E97" t="s">
        <v>245</v>
      </c>
      <c r="F97" t="s">
        <v>127</v>
      </c>
      <c r="G97">
        <v>94</v>
      </c>
      <c r="H97" t="s">
        <v>95</v>
      </c>
      <c r="I97">
        <v>38552.541666666664</v>
      </c>
      <c r="J97">
        <v>1</v>
      </c>
      <c r="K97" t="s">
        <v>50</v>
      </c>
      <c r="L97">
        <v>0</v>
      </c>
      <c r="M97">
        <v>0</v>
      </c>
      <c r="N97">
        <v>0</v>
      </c>
      <c r="O97">
        <v>0</v>
      </c>
      <c r="P97" t="s">
        <v>51</v>
      </c>
      <c r="Q97">
        <v>1</v>
      </c>
      <c r="R97" t="s">
        <v>50</v>
      </c>
      <c r="S97">
        <v>500</v>
      </c>
      <c r="T97" t="s">
        <v>225</v>
      </c>
      <c r="U97" t="s">
        <v>226</v>
      </c>
      <c r="V97">
        <v>1409.5</v>
      </c>
      <c r="W97">
        <v>29</v>
      </c>
      <c r="X97">
        <v>887.7</v>
      </c>
      <c r="Y97">
        <v>33.5</v>
      </c>
      <c r="Z97">
        <v>116.5</v>
      </c>
      <c r="AA97">
        <v>235</v>
      </c>
      <c r="AB97">
        <v>723</v>
      </c>
      <c r="AC97" t="s">
        <v>63</v>
      </c>
      <c r="AD97" t="s">
        <v>63</v>
      </c>
      <c r="AE97" t="s">
        <v>63</v>
      </c>
      <c r="AF97" t="s">
        <v>63</v>
      </c>
      <c r="AG97" t="s">
        <v>87</v>
      </c>
      <c r="AH97">
        <v>60</v>
      </c>
      <c r="AI97">
        <v>150.5</v>
      </c>
      <c r="AJ97">
        <v>255.5</v>
      </c>
      <c r="AK97">
        <v>490.5</v>
      </c>
      <c r="AL97">
        <v>750</v>
      </c>
      <c r="AM97" t="s">
        <v>63</v>
      </c>
      <c r="AN97" t="s">
        <v>54</v>
      </c>
      <c r="AO97" t="s">
        <v>55</v>
      </c>
      <c r="AP97" t="s">
        <v>58</v>
      </c>
      <c r="AQ97" t="s">
        <v>87</v>
      </c>
      <c r="AR97">
        <v>34</v>
      </c>
    </row>
    <row r="98" spans="1:44">
      <c r="A98" t="s">
        <v>220</v>
      </c>
      <c r="B98" t="s">
        <v>221</v>
      </c>
      <c r="C98" t="s">
        <v>243</v>
      </c>
      <c r="D98" t="s">
        <v>244</v>
      </c>
      <c r="E98" t="s">
        <v>245</v>
      </c>
      <c r="F98" t="s">
        <v>127</v>
      </c>
      <c r="G98">
        <v>98</v>
      </c>
      <c r="H98" t="s">
        <v>153</v>
      </c>
      <c r="I98">
        <v>40033.833333333336</v>
      </c>
      <c r="J98">
        <v>2</v>
      </c>
      <c r="K98">
        <v>4.0583333333333469</v>
      </c>
      <c r="L98">
        <v>0</v>
      </c>
      <c r="M98">
        <v>9.4</v>
      </c>
      <c r="N98">
        <v>0</v>
      </c>
      <c r="O98">
        <v>20.219402021940201</v>
      </c>
      <c r="P98" t="s">
        <v>51</v>
      </c>
      <c r="Q98">
        <v>2</v>
      </c>
      <c r="R98">
        <v>4.0583333333333469</v>
      </c>
      <c r="S98">
        <v>400</v>
      </c>
      <c r="T98" t="s">
        <v>225</v>
      </c>
      <c r="U98" t="s">
        <v>226</v>
      </c>
      <c r="V98">
        <v>2418</v>
      </c>
      <c r="W98">
        <v>56</v>
      </c>
      <c r="X98">
        <v>1271.5999999999999</v>
      </c>
      <c r="Y98">
        <v>241</v>
      </c>
      <c r="Z98">
        <v>473.5</v>
      </c>
      <c r="AA98">
        <v>684</v>
      </c>
      <c r="AB98">
        <v>1033.5</v>
      </c>
      <c r="AC98" t="s">
        <v>63</v>
      </c>
      <c r="AD98" t="s">
        <v>58</v>
      </c>
      <c r="AE98" t="s">
        <v>64</v>
      </c>
      <c r="AF98" t="s">
        <v>64</v>
      </c>
      <c r="AG98" t="s">
        <v>64</v>
      </c>
      <c r="AH98">
        <v>103</v>
      </c>
      <c r="AI98">
        <v>253.5</v>
      </c>
      <c r="AJ98">
        <v>473.5</v>
      </c>
      <c r="AK98">
        <v>786.5</v>
      </c>
      <c r="AL98">
        <v>1199.5</v>
      </c>
      <c r="AM98" t="s">
        <v>56</v>
      </c>
      <c r="AN98" t="s">
        <v>87</v>
      </c>
      <c r="AO98" t="s">
        <v>64</v>
      </c>
      <c r="AP98" t="s">
        <v>64</v>
      </c>
      <c r="AQ98" t="s">
        <v>64</v>
      </c>
      <c r="AR98">
        <v>47</v>
      </c>
    </row>
    <row r="99" spans="1:44">
      <c r="A99" t="s">
        <v>220</v>
      </c>
      <c r="B99" t="s">
        <v>221</v>
      </c>
      <c r="C99" t="s">
        <v>230</v>
      </c>
      <c r="D99" t="s">
        <v>246</v>
      </c>
      <c r="E99" t="s">
        <v>247</v>
      </c>
      <c r="F99" t="s">
        <v>127</v>
      </c>
      <c r="G99">
        <v>95</v>
      </c>
      <c r="H99" t="s">
        <v>110</v>
      </c>
      <c r="I99">
        <v>38878.25</v>
      </c>
      <c r="J99">
        <v>1</v>
      </c>
      <c r="K99" t="s">
        <v>50</v>
      </c>
      <c r="L99">
        <v>0</v>
      </c>
      <c r="M99">
        <v>2</v>
      </c>
      <c r="N99">
        <v>0</v>
      </c>
      <c r="O99">
        <v>10.351966873706003</v>
      </c>
      <c r="P99" t="s">
        <v>51</v>
      </c>
      <c r="Q99">
        <v>1</v>
      </c>
      <c r="R99" t="s">
        <v>50</v>
      </c>
      <c r="S99">
        <v>400</v>
      </c>
      <c r="T99" t="s">
        <v>233</v>
      </c>
      <c r="U99" t="s">
        <v>234</v>
      </c>
      <c r="V99">
        <v>705</v>
      </c>
      <c r="W99">
        <v>48.5</v>
      </c>
      <c r="X99">
        <v>431.6</v>
      </c>
      <c r="Y99">
        <v>80</v>
      </c>
      <c r="Z99">
        <v>103</v>
      </c>
      <c r="AA99">
        <v>176.5</v>
      </c>
      <c r="AB99">
        <v>372</v>
      </c>
      <c r="AC99" t="s">
        <v>63</v>
      </c>
      <c r="AD99" t="s">
        <v>63</v>
      </c>
      <c r="AE99" t="s">
        <v>63</v>
      </c>
      <c r="AF99" t="s">
        <v>63</v>
      </c>
      <c r="AG99" t="s">
        <v>63</v>
      </c>
      <c r="AH99">
        <v>72</v>
      </c>
      <c r="AI99">
        <v>111</v>
      </c>
      <c r="AJ99">
        <v>193</v>
      </c>
      <c r="AK99">
        <v>264.5</v>
      </c>
      <c r="AL99">
        <v>461</v>
      </c>
      <c r="AM99" t="s">
        <v>54</v>
      </c>
      <c r="AN99" t="s">
        <v>63</v>
      </c>
      <c r="AO99" t="s">
        <v>63</v>
      </c>
      <c r="AP99" t="s">
        <v>63</v>
      </c>
      <c r="AQ99" t="s">
        <v>55</v>
      </c>
      <c r="AR99">
        <v>28</v>
      </c>
    </row>
    <row r="100" spans="1:44">
      <c r="A100" t="s">
        <v>220</v>
      </c>
      <c r="B100" t="s">
        <v>221</v>
      </c>
      <c r="C100" t="s">
        <v>230</v>
      </c>
      <c r="D100" t="s">
        <v>246</v>
      </c>
      <c r="E100" t="s">
        <v>247</v>
      </c>
      <c r="F100" t="s">
        <v>127</v>
      </c>
      <c r="G100">
        <v>98</v>
      </c>
      <c r="H100" t="s">
        <v>153</v>
      </c>
      <c r="I100">
        <v>40033.208333333336</v>
      </c>
      <c r="J100">
        <v>2</v>
      </c>
      <c r="K100">
        <v>3.1642694063927008</v>
      </c>
      <c r="L100">
        <v>0</v>
      </c>
      <c r="M100">
        <v>2.44</v>
      </c>
      <c r="N100">
        <v>0</v>
      </c>
      <c r="O100">
        <v>12.629399585921325</v>
      </c>
      <c r="P100" t="s">
        <v>51</v>
      </c>
      <c r="Q100">
        <v>2</v>
      </c>
      <c r="R100">
        <v>3.1642694063927008</v>
      </c>
      <c r="S100">
        <v>400</v>
      </c>
      <c r="T100" t="s">
        <v>233</v>
      </c>
      <c r="U100" t="s">
        <v>234</v>
      </c>
      <c r="V100">
        <v>1211</v>
      </c>
      <c r="W100">
        <v>32.5</v>
      </c>
      <c r="X100">
        <v>534.5</v>
      </c>
      <c r="Y100">
        <v>98</v>
      </c>
      <c r="Z100">
        <v>145</v>
      </c>
      <c r="AA100">
        <v>220</v>
      </c>
      <c r="AB100">
        <v>320</v>
      </c>
      <c r="AC100" t="s">
        <v>63</v>
      </c>
      <c r="AD100" t="s">
        <v>63</v>
      </c>
      <c r="AE100" t="s">
        <v>63</v>
      </c>
      <c r="AF100" t="s">
        <v>63</v>
      </c>
      <c r="AG100" t="s">
        <v>63</v>
      </c>
      <c r="AH100">
        <v>52.5</v>
      </c>
      <c r="AI100">
        <v>124</v>
      </c>
      <c r="AJ100">
        <v>244</v>
      </c>
      <c r="AK100">
        <v>416</v>
      </c>
      <c r="AL100">
        <v>743</v>
      </c>
      <c r="AM100" t="s">
        <v>63</v>
      </c>
      <c r="AN100" t="s">
        <v>63</v>
      </c>
      <c r="AO100" t="s">
        <v>55</v>
      </c>
      <c r="AP100" t="s">
        <v>56</v>
      </c>
      <c r="AQ100" t="s">
        <v>87</v>
      </c>
      <c r="AR100">
        <v>32</v>
      </c>
    </row>
    <row r="101" spans="1:44">
      <c r="A101" t="s">
        <v>220</v>
      </c>
      <c r="B101" t="s">
        <v>221</v>
      </c>
      <c r="C101" t="s">
        <v>230</v>
      </c>
      <c r="D101" t="s">
        <v>246</v>
      </c>
      <c r="E101" t="s">
        <v>247</v>
      </c>
      <c r="F101" t="s">
        <v>127</v>
      </c>
      <c r="G101">
        <v>99</v>
      </c>
      <c r="H101" t="s">
        <v>237</v>
      </c>
      <c r="I101">
        <v>40440.875</v>
      </c>
      <c r="J101">
        <v>3</v>
      </c>
      <c r="K101">
        <v>1.1168949771689431</v>
      </c>
      <c r="L101">
        <v>0.9</v>
      </c>
      <c r="M101">
        <v>1.3617170000000001</v>
      </c>
      <c r="N101">
        <v>4.658385093167702</v>
      </c>
      <c r="O101">
        <v>7.0482246376811597</v>
      </c>
      <c r="P101" t="s">
        <v>51</v>
      </c>
      <c r="Q101">
        <v>3</v>
      </c>
      <c r="R101">
        <v>1.1168949771689431</v>
      </c>
      <c r="S101">
        <v>200</v>
      </c>
      <c r="T101" t="s">
        <v>233</v>
      </c>
      <c r="U101" t="s">
        <v>234</v>
      </c>
      <c r="V101">
        <v>584.5</v>
      </c>
      <c r="W101">
        <v>22</v>
      </c>
      <c r="X101">
        <v>482.5</v>
      </c>
      <c r="Y101">
        <v>165.5</v>
      </c>
      <c r="Z101">
        <v>234</v>
      </c>
      <c r="AA101">
        <v>398.5</v>
      </c>
      <c r="AB101">
        <v>479.5</v>
      </c>
      <c r="AC101" t="s">
        <v>63</v>
      </c>
      <c r="AD101" t="s">
        <v>55</v>
      </c>
      <c r="AE101" t="s">
        <v>54</v>
      </c>
      <c r="AF101" t="s">
        <v>56</v>
      </c>
      <c r="AG101" t="s">
        <v>55</v>
      </c>
      <c r="AH101">
        <v>72</v>
      </c>
      <c r="AI101">
        <v>184.5</v>
      </c>
      <c r="AJ101">
        <v>262.5</v>
      </c>
      <c r="AK101">
        <v>411</v>
      </c>
      <c r="AL101">
        <v>584.5</v>
      </c>
      <c r="AM101" t="s">
        <v>54</v>
      </c>
      <c r="AN101" t="s">
        <v>56</v>
      </c>
      <c r="AO101" t="s">
        <v>55</v>
      </c>
      <c r="AP101" t="s">
        <v>56</v>
      </c>
      <c r="AQ101" t="s">
        <v>57</v>
      </c>
      <c r="AR101">
        <v>19</v>
      </c>
    </row>
    <row r="102" spans="1:44">
      <c r="A102" t="s">
        <v>220</v>
      </c>
      <c r="B102" t="s">
        <v>221</v>
      </c>
      <c r="C102" t="s">
        <v>248</v>
      </c>
      <c r="D102" t="s">
        <v>249</v>
      </c>
      <c r="E102" t="s">
        <v>250</v>
      </c>
      <c r="F102" t="s">
        <v>48</v>
      </c>
      <c r="G102">
        <v>98</v>
      </c>
      <c r="H102" t="s">
        <v>153</v>
      </c>
      <c r="I102">
        <v>40034.166666666664</v>
      </c>
      <c r="J102">
        <v>1</v>
      </c>
      <c r="K102" t="s">
        <v>50</v>
      </c>
      <c r="L102">
        <v>0</v>
      </c>
      <c r="M102">
        <v>5.96</v>
      </c>
      <c r="N102">
        <v>0</v>
      </c>
      <c r="O102">
        <v>5.3664685755447508</v>
      </c>
      <c r="P102" t="s">
        <v>51</v>
      </c>
      <c r="Q102">
        <v>1</v>
      </c>
      <c r="R102" t="s">
        <v>50</v>
      </c>
      <c r="S102">
        <v>400</v>
      </c>
      <c r="T102" t="s">
        <v>225</v>
      </c>
      <c r="U102" t="s">
        <v>226</v>
      </c>
      <c r="V102">
        <v>2418</v>
      </c>
      <c r="W102">
        <v>29.5</v>
      </c>
      <c r="X102">
        <v>1615</v>
      </c>
      <c r="Y102">
        <v>66</v>
      </c>
      <c r="Z102">
        <v>178</v>
      </c>
      <c r="AA102">
        <v>611.5</v>
      </c>
      <c r="AB102">
        <v>1174.5</v>
      </c>
      <c r="AC102" t="s">
        <v>63</v>
      </c>
      <c r="AD102" t="s">
        <v>63</v>
      </c>
      <c r="AE102" t="s">
        <v>63</v>
      </c>
      <c r="AF102" t="s">
        <v>64</v>
      </c>
      <c r="AG102" t="s">
        <v>64</v>
      </c>
      <c r="AH102">
        <v>103</v>
      </c>
      <c r="AI102">
        <v>253.5</v>
      </c>
      <c r="AJ102">
        <v>473.5</v>
      </c>
      <c r="AK102">
        <v>786.5</v>
      </c>
      <c r="AL102">
        <v>1199.5</v>
      </c>
      <c r="AM102" t="s">
        <v>56</v>
      </c>
      <c r="AN102" t="s">
        <v>87</v>
      </c>
      <c r="AO102" t="s">
        <v>64</v>
      </c>
      <c r="AP102" t="s">
        <v>64</v>
      </c>
      <c r="AQ102" t="s">
        <v>64</v>
      </c>
      <c r="AR102">
        <v>55</v>
      </c>
    </row>
    <row r="103" spans="1:44">
      <c r="A103" t="s">
        <v>220</v>
      </c>
      <c r="B103" t="s">
        <v>221</v>
      </c>
      <c r="C103" t="s">
        <v>248</v>
      </c>
      <c r="D103" t="s">
        <v>249</v>
      </c>
      <c r="E103" t="s">
        <v>250</v>
      </c>
      <c r="F103" t="s">
        <v>48</v>
      </c>
      <c r="G103">
        <v>101</v>
      </c>
      <c r="H103" t="s">
        <v>159</v>
      </c>
      <c r="I103">
        <v>41070.583333333336</v>
      </c>
      <c r="J103">
        <v>2</v>
      </c>
      <c r="K103">
        <v>2.8394977168949906</v>
      </c>
      <c r="L103">
        <v>0.6</v>
      </c>
      <c r="M103">
        <v>0.21</v>
      </c>
      <c r="N103">
        <v>0.5402485143165856</v>
      </c>
      <c r="O103">
        <v>0.18908698001080496</v>
      </c>
      <c r="P103" t="s">
        <v>51</v>
      </c>
      <c r="Q103">
        <v>2</v>
      </c>
      <c r="R103">
        <v>2.8394977168949906</v>
      </c>
      <c r="S103">
        <v>250</v>
      </c>
      <c r="T103" t="s">
        <v>225</v>
      </c>
      <c r="U103" t="s">
        <v>226</v>
      </c>
      <c r="V103">
        <v>1141.5</v>
      </c>
      <c r="W103">
        <v>19.5</v>
      </c>
      <c r="X103">
        <v>312.60000000000002</v>
      </c>
      <c r="Y103">
        <v>29</v>
      </c>
      <c r="Z103">
        <v>136.5</v>
      </c>
      <c r="AA103">
        <v>230</v>
      </c>
      <c r="AB103">
        <v>283.5</v>
      </c>
      <c r="AC103" t="s">
        <v>63</v>
      </c>
      <c r="AD103" t="s">
        <v>63</v>
      </c>
      <c r="AE103" t="s">
        <v>63</v>
      </c>
      <c r="AF103" t="s">
        <v>63</v>
      </c>
      <c r="AG103" t="s">
        <v>63</v>
      </c>
      <c r="AH103">
        <v>65.5</v>
      </c>
      <c r="AI103">
        <v>122</v>
      </c>
      <c r="AJ103">
        <v>171</v>
      </c>
      <c r="AK103">
        <v>260</v>
      </c>
      <c r="AL103">
        <v>422</v>
      </c>
      <c r="AM103" t="s">
        <v>63</v>
      </c>
      <c r="AN103" t="s">
        <v>63</v>
      </c>
      <c r="AO103" t="s">
        <v>63</v>
      </c>
      <c r="AP103" t="s">
        <v>63</v>
      </c>
      <c r="AQ103" t="s">
        <v>54</v>
      </c>
      <c r="AR103">
        <v>23</v>
      </c>
    </row>
    <row r="104" spans="1:44">
      <c r="A104" t="s">
        <v>220</v>
      </c>
      <c r="B104" t="s">
        <v>221</v>
      </c>
      <c r="C104" t="s">
        <v>251</v>
      </c>
      <c r="D104" t="s">
        <v>252</v>
      </c>
      <c r="E104" t="s">
        <v>253</v>
      </c>
      <c r="F104" t="s">
        <v>48</v>
      </c>
      <c r="G104">
        <v>98</v>
      </c>
      <c r="H104" t="s">
        <v>153</v>
      </c>
      <c r="I104">
        <v>40034.958333333336</v>
      </c>
      <c r="J104">
        <v>1</v>
      </c>
      <c r="K104" t="s">
        <v>50</v>
      </c>
      <c r="L104">
        <v>0</v>
      </c>
      <c r="M104">
        <v>2.5</v>
      </c>
      <c r="N104">
        <v>0</v>
      </c>
      <c r="O104">
        <v>5.8207217694994178</v>
      </c>
      <c r="P104" t="s">
        <v>51</v>
      </c>
      <c r="Q104">
        <v>1</v>
      </c>
      <c r="R104" t="s">
        <v>50</v>
      </c>
      <c r="S104">
        <v>400</v>
      </c>
      <c r="T104" t="s">
        <v>225</v>
      </c>
      <c r="U104" t="s">
        <v>226</v>
      </c>
      <c r="V104">
        <v>2418</v>
      </c>
      <c r="W104">
        <v>14.5</v>
      </c>
      <c r="X104">
        <v>1937</v>
      </c>
      <c r="Y104">
        <v>37</v>
      </c>
      <c r="Z104">
        <v>49.5</v>
      </c>
      <c r="AA104">
        <v>136.5</v>
      </c>
      <c r="AB104">
        <v>448</v>
      </c>
      <c r="AC104" t="s">
        <v>63</v>
      </c>
      <c r="AD104" t="s">
        <v>63</v>
      </c>
      <c r="AE104" t="s">
        <v>63</v>
      </c>
      <c r="AF104" t="s">
        <v>63</v>
      </c>
      <c r="AG104" t="s">
        <v>54</v>
      </c>
      <c r="AH104">
        <v>103</v>
      </c>
      <c r="AI104">
        <v>253.5</v>
      </c>
      <c r="AJ104">
        <v>473.5</v>
      </c>
      <c r="AK104">
        <v>786.5</v>
      </c>
      <c r="AL104">
        <v>1199.5</v>
      </c>
      <c r="AM104" t="s">
        <v>56</v>
      </c>
      <c r="AN104" t="s">
        <v>87</v>
      </c>
      <c r="AO104" t="s">
        <v>64</v>
      </c>
      <c r="AP104" t="s">
        <v>64</v>
      </c>
      <c r="AQ104" t="s">
        <v>64</v>
      </c>
      <c r="AR104">
        <v>74</v>
      </c>
    </row>
    <row r="105" spans="1:44">
      <c r="A105" t="s">
        <v>220</v>
      </c>
      <c r="B105" t="s">
        <v>221</v>
      </c>
      <c r="C105" t="s">
        <v>251</v>
      </c>
      <c r="D105" t="s">
        <v>252</v>
      </c>
      <c r="E105" t="s">
        <v>253</v>
      </c>
      <c r="F105" t="s">
        <v>48</v>
      </c>
      <c r="G105">
        <v>99</v>
      </c>
      <c r="H105" t="s">
        <v>237</v>
      </c>
      <c r="I105">
        <v>40440.875</v>
      </c>
      <c r="J105">
        <v>2</v>
      </c>
      <c r="K105">
        <v>1.112100456620998</v>
      </c>
      <c r="L105">
        <v>2.4700000000000002</v>
      </c>
      <c r="M105">
        <v>2.48</v>
      </c>
      <c r="N105">
        <v>5.7508731082654254</v>
      </c>
      <c r="O105">
        <v>5.7741559953434223</v>
      </c>
      <c r="P105" t="s">
        <v>51</v>
      </c>
      <c r="Q105">
        <v>2</v>
      </c>
      <c r="R105">
        <v>1.112100456620998</v>
      </c>
      <c r="S105">
        <v>200</v>
      </c>
      <c r="T105" t="s">
        <v>225</v>
      </c>
      <c r="U105" t="s">
        <v>226</v>
      </c>
      <c r="V105">
        <v>510</v>
      </c>
      <c r="W105">
        <v>27</v>
      </c>
      <c r="X105">
        <v>444.4</v>
      </c>
      <c r="Y105">
        <v>140.5</v>
      </c>
      <c r="Z105">
        <v>164</v>
      </c>
      <c r="AA105">
        <v>290</v>
      </c>
      <c r="AB105">
        <v>290</v>
      </c>
      <c r="AC105" t="s">
        <v>63</v>
      </c>
      <c r="AD105" t="s">
        <v>54</v>
      </c>
      <c r="AE105" t="s">
        <v>63</v>
      </c>
      <c r="AF105" t="s">
        <v>54</v>
      </c>
      <c r="AG105" t="s">
        <v>63</v>
      </c>
      <c r="AH105">
        <v>66.5</v>
      </c>
      <c r="AI105">
        <v>140.5</v>
      </c>
      <c r="AJ105">
        <v>201</v>
      </c>
      <c r="AK105">
        <v>290</v>
      </c>
      <c r="AL105">
        <v>510</v>
      </c>
      <c r="AM105" t="s">
        <v>63</v>
      </c>
      <c r="AN105" t="s">
        <v>54</v>
      </c>
      <c r="AO105" t="s">
        <v>63</v>
      </c>
      <c r="AP105" t="s">
        <v>54</v>
      </c>
      <c r="AQ105" t="s">
        <v>55</v>
      </c>
      <c r="AR105">
        <v>19</v>
      </c>
    </row>
    <row r="106" spans="1:44">
      <c r="A106" t="s">
        <v>220</v>
      </c>
      <c r="B106" t="s">
        <v>221</v>
      </c>
      <c r="C106" t="s">
        <v>251</v>
      </c>
      <c r="D106" t="s">
        <v>252</v>
      </c>
      <c r="E106" t="s">
        <v>253</v>
      </c>
      <c r="F106" t="s">
        <v>48</v>
      </c>
      <c r="G106">
        <v>102</v>
      </c>
      <c r="H106" t="s">
        <v>172</v>
      </c>
      <c r="I106">
        <v>41468.708333333336</v>
      </c>
      <c r="J106">
        <v>3</v>
      </c>
      <c r="K106">
        <v>2.815981735159824</v>
      </c>
      <c r="L106">
        <v>0.98699999999999999</v>
      </c>
      <c r="M106">
        <v>0.91600000000000004</v>
      </c>
      <c r="N106">
        <v>2.2980209545983699</v>
      </c>
      <c r="O106">
        <v>2.1327124563445867</v>
      </c>
      <c r="P106" t="s">
        <v>51</v>
      </c>
      <c r="Q106">
        <v>3</v>
      </c>
      <c r="R106">
        <v>2.815981735159824</v>
      </c>
      <c r="S106">
        <v>250</v>
      </c>
      <c r="T106" t="s">
        <v>225</v>
      </c>
      <c r="U106" t="s">
        <v>226</v>
      </c>
      <c r="V106">
        <v>332</v>
      </c>
      <c r="W106">
        <v>0.5</v>
      </c>
      <c r="X106">
        <v>344.2</v>
      </c>
      <c r="Y106">
        <v>0.5</v>
      </c>
      <c r="Z106">
        <v>14.5</v>
      </c>
      <c r="AA106">
        <v>237</v>
      </c>
      <c r="AB106">
        <v>332</v>
      </c>
      <c r="AC106" t="s">
        <v>63</v>
      </c>
      <c r="AD106" t="s">
        <v>63</v>
      </c>
      <c r="AE106" t="s">
        <v>63</v>
      </c>
      <c r="AF106" t="s">
        <v>63</v>
      </c>
      <c r="AG106" t="s">
        <v>63</v>
      </c>
      <c r="AH106">
        <v>57</v>
      </c>
      <c r="AI106">
        <v>128</v>
      </c>
      <c r="AJ106">
        <v>222.5</v>
      </c>
      <c r="AK106">
        <v>316.5</v>
      </c>
      <c r="AL106">
        <v>332</v>
      </c>
      <c r="AM106" t="s">
        <v>63</v>
      </c>
      <c r="AN106" t="s">
        <v>63</v>
      </c>
      <c r="AO106" t="s">
        <v>54</v>
      </c>
      <c r="AP106" t="s">
        <v>54</v>
      </c>
      <c r="AQ106" t="s">
        <v>63</v>
      </c>
      <c r="AR106">
        <v>17</v>
      </c>
    </row>
    <row r="107" spans="1:44">
      <c r="A107" t="s">
        <v>220</v>
      </c>
      <c r="B107" t="s">
        <v>221</v>
      </c>
      <c r="C107" t="s">
        <v>251</v>
      </c>
      <c r="D107" t="s">
        <v>252</v>
      </c>
      <c r="E107" t="s">
        <v>253</v>
      </c>
      <c r="F107" t="s">
        <v>48</v>
      </c>
      <c r="G107">
        <v>105</v>
      </c>
      <c r="H107" t="s">
        <v>254</v>
      </c>
      <c r="I107">
        <v>42640.916666666664</v>
      </c>
      <c r="J107">
        <v>4</v>
      </c>
      <c r="K107">
        <v>3.2115296803652833</v>
      </c>
      <c r="L107">
        <v>0.52200000000000002</v>
      </c>
      <c r="M107">
        <v>0.52</v>
      </c>
      <c r="N107">
        <v>1.2153667054714785</v>
      </c>
      <c r="O107">
        <v>1.2107101280558787</v>
      </c>
      <c r="P107" t="s">
        <v>51</v>
      </c>
      <c r="Q107">
        <v>4</v>
      </c>
      <c r="R107">
        <v>3.2115296803652833</v>
      </c>
      <c r="S107">
        <v>300</v>
      </c>
      <c r="T107" t="s">
        <v>255</v>
      </c>
      <c r="U107" t="s">
        <v>256</v>
      </c>
      <c r="V107">
        <v>649</v>
      </c>
      <c r="W107">
        <v>73.5</v>
      </c>
      <c r="X107">
        <v>254.1</v>
      </c>
      <c r="Y107">
        <v>137</v>
      </c>
      <c r="Z107">
        <v>220.5</v>
      </c>
      <c r="AA107">
        <v>301</v>
      </c>
      <c r="AB107">
        <v>310</v>
      </c>
      <c r="AC107" t="s">
        <v>54</v>
      </c>
      <c r="AD107" t="s">
        <v>54</v>
      </c>
      <c r="AE107" t="s">
        <v>55</v>
      </c>
      <c r="AF107" t="s">
        <v>55</v>
      </c>
      <c r="AG107" t="s">
        <v>63</v>
      </c>
      <c r="AH107">
        <v>73.5</v>
      </c>
      <c r="AI107">
        <v>172.5</v>
      </c>
      <c r="AJ107">
        <v>247</v>
      </c>
      <c r="AK107">
        <v>455.5</v>
      </c>
      <c r="AL107">
        <v>649</v>
      </c>
      <c r="AM107" t="s">
        <v>54</v>
      </c>
      <c r="AN107" t="s">
        <v>56</v>
      </c>
      <c r="AO107" t="s">
        <v>56</v>
      </c>
      <c r="AP107" t="s">
        <v>87</v>
      </c>
      <c r="AQ107" t="s">
        <v>64</v>
      </c>
      <c r="AR107">
        <v>12</v>
      </c>
    </row>
    <row r="108" spans="1:44">
      <c r="A108" t="s">
        <v>220</v>
      </c>
      <c r="B108" t="s">
        <v>221</v>
      </c>
      <c r="C108" t="s">
        <v>238</v>
      </c>
      <c r="D108" t="s">
        <v>257</v>
      </c>
      <c r="F108" t="s">
        <v>127</v>
      </c>
      <c r="G108">
        <v>110</v>
      </c>
      <c r="H108" t="s">
        <v>258</v>
      </c>
      <c r="I108">
        <v>44410.375</v>
      </c>
      <c r="J108">
        <v>1</v>
      </c>
      <c r="K108" t="s">
        <v>50</v>
      </c>
      <c r="L108">
        <v>0</v>
      </c>
      <c r="M108">
        <v>0.24</v>
      </c>
      <c r="N108">
        <v>0</v>
      </c>
      <c r="O108">
        <v>1.0318142734307822</v>
      </c>
      <c r="P108" t="s">
        <v>51</v>
      </c>
      <c r="Q108">
        <v>1</v>
      </c>
      <c r="R108" t="s">
        <v>50</v>
      </c>
      <c r="S108">
        <v>350</v>
      </c>
      <c r="T108" t="s">
        <v>241</v>
      </c>
      <c r="U108" t="s">
        <v>242</v>
      </c>
      <c r="V108">
        <v>95.5</v>
      </c>
      <c r="W108">
        <v>8.5</v>
      </c>
      <c r="X108">
        <v>484.8</v>
      </c>
      <c r="Y108">
        <v>14.5</v>
      </c>
      <c r="Z108">
        <v>28.5</v>
      </c>
      <c r="AA108">
        <v>54.5</v>
      </c>
      <c r="AB108">
        <v>54.5</v>
      </c>
      <c r="AC108" t="s">
        <v>63</v>
      </c>
      <c r="AD108" t="s">
        <v>63</v>
      </c>
      <c r="AE108" t="s">
        <v>63</v>
      </c>
      <c r="AF108" t="s">
        <v>63</v>
      </c>
      <c r="AG108" t="s">
        <v>63</v>
      </c>
      <c r="AH108">
        <v>19</v>
      </c>
      <c r="AI108">
        <v>25.5</v>
      </c>
      <c r="AJ108">
        <v>44.5</v>
      </c>
      <c r="AK108">
        <v>69.5</v>
      </c>
      <c r="AL108">
        <v>95.5</v>
      </c>
      <c r="AM108" t="s">
        <v>63</v>
      </c>
      <c r="AN108" t="s">
        <v>63</v>
      </c>
      <c r="AO108" t="s">
        <v>63</v>
      </c>
      <c r="AP108" t="s">
        <v>63</v>
      </c>
      <c r="AQ108" t="s">
        <v>63</v>
      </c>
      <c r="AR108">
        <v>10</v>
      </c>
    </row>
    <row r="109" spans="1:44">
      <c r="A109" t="s">
        <v>220</v>
      </c>
      <c r="B109" t="s">
        <v>221</v>
      </c>
      <c r="C109" t="s">
        <v>238</v>
      </c>
      <c r="D109" t="s">
        <v>257</v>
      </c>
      <c r="F109" t="s">
        <v>127</v>
      </c>
      <c r="G109">
        <v>113</v>
      </c>
      <c r="H109" t="s">
        <v>59</v>
      </c>
      <c r="I109">
        <v>45498.291666666664</v>
      </c>
      <c r="J109">
        <v>2</v>
      </c>
      <c r="K109">
        <v>2.9805936073059294</v>
      </c>
      <c r="L109">
        <v>0.15</v>
      </c>
      <c r="M109">
        <v>0.15</v>
      </c>
      <c r="N109">
        <v>0.64488392089423896</v>
      </c>
      <c r="O109">
        <v>0.64488392089423896</v>
      </c>
      <c r="P109" t="s">
        <v>51</v>
      </c>
      <c r="Q109">
        <v>2</v>
      </c>
      <c r="R109">
        <v>2.9805936073059294</v>
      </c>
      <c r="S109">
        <v>350</v>
      </c>
      <c r="T109" t="s">
        <v>241</v>
      </c>
      <c r="U109" t="s">
        <v>242</v>
      </c>
      <c r="V109">
        <v>1379</v>
      </c>
      <c r="W109">
        <v>53.5</v>
      </c>
      <c r="X109">
        <v>559.5</v>
      </c>
      <c r="Y109">
        <v>179.5</v>
      </c>
      <c r="Z109">
        <v>250</v>
      </c>
      <c r="AA109">
        <v>404.5</v>
      </c>
      <c r="AB109">
        <v>543.5</v>
      </c>
      <c r="AC109" t="s">
        <v>63</v>
      </c>
      <c r="AD109" t="s">
        <v>56</v>
      </c>
      <c r="AE109" t="s">
        <v>55</v>
      </c>
      <c r="AF109" t="s">
        <v>56</v>
      </c>
      <c r="AG109" t="s">
        <v>56</v>
      </c>
      <c r="AH109">
        <v>89.5</v>
      </c>
      <c r="AI109">
        <v>213.5</v>
      </c>
      <c r="AJ109">
        <v>339.5</v>
      </c>
      <c r="AK109">
        <v>604.5</v>
      </c>
      <c r="AL109">
        <v>950</v>
      </c>
      <c r="AM109" t="s">
        <v>55</v>
      </c>
      <c r="AN109" t="s">
        <v>57</v>
      </c>
      <c r="AO109" t="s">
        <v>58</v>
      </c>
      <c r="AP109" t="s">
        <v>64</v>
      </c>
      <c r="AQ109" t="s">
        <v>64</v>
      </c>
      <c r="AR109">
        <v>21</v>
      </c>
    </row>
    <row r="110" spans="1:44">
      <c r="A110" t="s">
        <v>220</v>
      </c>
      <c r="B110" t="s">
        <v>259</v>
      </c>
      <c r="C110" t="s">
        <v>260</v>
      </c>
      <c r="D110" t="s">
        <v>261</v>
      </c>
      <c r="E110" t="s">
        <v>262</v>
      </c>
      <c r="F110" t="s">
        <v>48</v>
      </c>
      <c r="G110">
        <v>97</v>
      </c>
      <c r="H110" t="s">
        <v>124</v>
      </c>
      <c r="I110">
        <v>39646.958333333336</v>
      </c>
      <c r="J110">
        <v>1</v>
      </c>
      <c r="K110" t="s">
        <v>50</v>
      </c>
      <c r="L110">
        <v>0.67370699999999994</v>
      </c>
      <c r="M110">
        <v>3.8693080000000002</v>
      </c>
      <c r="N110">
        <v>0.54291804335562899</v>
      </c>
      <c r="O110">
        <v>3.1181465065678138</v>
      </c>
      <c r="P110" t="s">
        <v>51</v>
      </c>
      <c r="Q110">
        <v>1</v>
      </c>
      <c r="R110" t="s">
        <v>50</v>
      </c>
      <c r="S110">
        <v>500</v>
      </c>
      <c r="T110" t="s">
        <v>263</v>
      </c>
      <c r="U110" t="s">
        <v>264</v>
      </c>
      <c r="V110">
        <v>543</v>
      </c>
      <c r="W110">
        <v>66</v>
      </c>
      <c r="X110">
        <v>413.9</v>
      </c>
      <c r="Y110">
        <v>155</v>
      </c>
      <c r="Z110">
        <v>313</v>
      </c>
      <c r="AA110">
        <v>369.5</v>
      </c>
      <c r="AB110">
        <v>369.5</v>
      </c>
      <c r="AC110" t="s">
        <v>54</v>
      </c>
      <c r="AD110" t="s">
        <v>55</v>
      </c>
      <c r="AE110" t="s">
        <v>58</v>
      </c>
      <c r="AF110" t="s">
        <v>56</v>
      </c>
      <c r="AG110" t="s">
        <v>54</v>
      </c>
      <c r="AH110">
        <v>68</v>
      </c>
      <c r="AI110">
        <v>158</v>
      </c>
      <c r="AJ110">
        <v>313</v>
      </c>
      <c r="AK110">
        <v>415</v>
      </c>
      <c r="AL110">
        <v>517</v>
      </c>
      <c r="AM110" t="s">
        <v>54</v>
      </c>
      <c r="AN110" t="s">
        <v>55</v>
      </c>
      <c r="AO110" t="s">
        <v>58</v>
      </c>
      <c r="AP110" t="s">
        <v>57</v>
      </c>
      <c r="AQ110" t="s">
        <v>56</v>
      </c>
      <c r="AR110">
        <v>9</v>
      </c>
    </row>
    <row r="111" spans="1:44">
      <c r="A111" t="s">
        <v>220</v>
      </c>
      <c r="B111" t="s">
        <v>259</v>
      </c>
      <c r="C111" t="s">
        <v>260</v>
      </c>
      <c r="D111" t="s">
        <v>261</v>
      </c>
      <c r="E111" t="s">
        <v>262</v>
      </c>
      <c r="F111" t="s">
        <v>48</v>
      </c>
      <c r="G111">
        <v>98</v>
      </c>
      <c r="H111" t="s">
        <v>153</v>
      </c>
      <c r="I111">
        <v>40033.666666666664</v>
      </c>
      <c r="J111">
        <v>2</v>
      </c>
      <c r="K111">
        <v>1.0594748858447356</v>
      </c>
      <c r="L111">
        <v>4</v>
      </c>
      <c r="M111">
        <v>5.1664709999999996</v>
      </c>
      <c r="N111">
        <v>3.2234668385848977</v>
      </c>
      <c r="O111">
        <v>4.1634869852526384</v>
      </c>
      <c r="P111" t="s">
        <v>51</v>
      </c>
      <c r="Q111">
        <v>2</v>
      </c>
      <c r="R111">
        <v>1.0594748858447356</v>
      </c>
      <c r="S111">
        <v>450</v>
      </c>
      <c r="T111" t="s">
        <v>263</v>
      </c>
      <c r="U111" t="s">
        <v>264</v>
      </c>
      <c r="V111">
        <v>1195.5</v>
      </c>
      <c r="W111">
        <v>15.5</v>
      </c>
      <c r="X111">
        <v>751.5</v>
      </c>
      <c r="Y111">
        <v>122</v>
      </c>
      <c r="Z111">
        <v>169</v>
      </c>
      <c r="AA111">
        <v>328.5</v>
      </c>
      <c r="AB111">
        <v>554.5</v>
      </c>
      <c r="AC111" t="s">
        <v>63</v>
      </c>
      <c r="AD111" t="s">
        <v>63</v>
      </c>
      <c r="AE111" t="s">
        <v>63</v>
      </c>
      <c r="AF111" t="s">
        <v>55</v>
      </c>
      <c r="AG111" t="s">
        <v>57</v>
      </c>
      <c r="AH111">
        <v>79.5</v>
      </c>
      <c r="AI111">
        <v>166.5</v>
      </c>
      <c r="AJ111">
        <v>290.5</v>
      </c>
      <c r="AK111">
        <v>446</v>
      </c>
      <c r="AL111">
        <v>743.5</v>
      </c>
      <c r="AM111" t="s">
        <v>55</v>
      </c>
      <c r="AN111" t="s">
        <v>55</v>
      </c>
      <c r="AO111" t="s">
        <v>57</v>
      </c>
      <c r="AP111" t="s">
        <v>58</v>
      </c>
      <c r="AQ111" t="s">
        <v>64</v>
      </c>
      <c r="AR111">
        <v>43</v>
      </c>
    </row>
    <row r="112" spans="1:44" hidden="1">
      <c r="A112" t="s">
        <v>265</v>
      </c>
      <c r="B112" t="s">
        <v>266</v>
      </c>
      <c r="C112" t="s">
        <v>267</v>
      </c>
      <c r="D112" t="s">
        <v>268</v>
      </c>
      <c r="F112" t="s">
        <v>127</v>
      </c>
      <c r="G112">
        <v>94</v>
      </c>
      <c r="H112" t="s">
        <v>95</v>
      </c>
      <c r="I112">
        <v>38552.833333333336</v>
      </c>
      <c r="J112">
        <v>1</v>
      </c>
      <c r="K112" t="s">
        <v>50</v>
      </c>
      <c r="L112">
        <v>0</v>
      </c>
      <c r="M112">
        <v>0</v>
      </c>
      <c r="N112">
        <v>0</v>
      </c>
      <c r="O112">
        <v>0</v>
      </c>
      <c r="P112" t="s">
        <v>51</v>
      </c>
      <c r="Q112">
        <v>1</v>
      </c>
      <c r="R112" t="s">
        <v>50</v>
      </c>
      <c r="S112">
        <v>600</v>
      </c>
      <c r="T112" t="s">
        <v>269</v>
      </c>
      <c r="U112" t="s">
        <v>270</v>
      </c>
      <c r="V112">
        <v>564</v>
      </c>
      <c r="W112">
        <v>4</v>
      </c>
      <c r="X112">
        <v>566.79999999999995</v>
      </c>
      <c r="Y112">
        <v>4</v>
      </c>
      <c r="Z112">
        <v>30.5</v>
      </c>
      <c r="AA112">
        <v>214.5</v>
      </c>
      <c r="AB112">
        <v>422.5</v>
      </c>
      <c r="AC112" t="s">
        <v>63</v>
      </c>
      <c r="AD112" t="s">
        <v>63</v>
      </c>
      <c r="AE112" t="s">
        <v>63</v>
      </c>
      <c r="AF112" t="s">
        <v>63</v>
      </c>
      <c r="AG112" t="s">
        <v>55</v>
      </c>
      <c r="AH112">
        <v>52</v>
      </c>
      <c r="AI112">
        <v>98</v>
      </c>
      <c r="AJ112">
        <v>185.5</v>
      </c>
      <c r="AK112">
        <v>277.5</v>
      </c>
      <c r="AL112">
        <v>476</v>
      </c>
      <c r="AM112" t="s">
        <v>63</v>
      </c>
      <c r="AN112" t="s">
        <v>63</v>
      </c>
      <c r="AO112" t="s">
        <v>54</v>
      </c>
      <c r="AP112" t="s">
        <v>54</v>
      </c>
      <c r="AQ112" t="s">
        <v>56</v>
      </c>
      <c r="AR112">
        <v>36</v>
      </c>
    </row>
    <row r="113" spans="1:44">
      <c r="A113" t="s">
        <v>265</v>
      </c>
      <c r="B113" t="s">
        <v>266</v>
      </c>
      <c r="C113" t="s">
        <v>267</v>
      </c>
      <c r="D113" t="s">
        <v>268</v>
      </c>
      <c r="F113" t="s">
        <v>127</v>
      </c>
      <c r="G113">
        <v>101</v>
      </c>
      <c r="H113" t="s">
        <v>271</v>
      </c>
      <c r="I113">
        <v>41145.291666666664</v>
      </c>
      <c r="J113">
        <v>2</v>
      </c>
      <c r="K113">
        <v>7.102625570776242</v>
      </c>
      <c r="L113">
        <v>0</v>
      </c>
      <c r="M113">
        <v>0.23</v>
      </c>
      <c r="N113">
        <v>0</v>
      </c>
      <c r="O113">
        <v>0.81676136363636365</v>
      </c>
      <c r="P113" t="s">
        <v>51</v>
      </c>
      <c r="Q113">
        <v>2</v>
      </c>
      <c r="R113">
        <v>7.102625570776242</v>
      </c>
      <c r="S113">
        <v>600</v>
      </c>
      <c r="T113" t="s">
        <v>269</v>
      </c>
      <c r="U113" t="s">
        <v>270</v>
      </c>
      <c r="V113">
        <v>447.5</v>
      </c>
      <c r="W113">
        <v>78.5</v>
      </c>
      <c r="X113">
        <v>220.5</v>
      </c>
      <c r="Y113">
        <v>161</v>
      </c>
      <c r="Z113">
        <v>207.5</v>
      </c>
      <c r="AA113">
        <v>207.5</v>
      </c>
      <c r="AB113">
        <v>207.5</v>
      </c>
      <c r="AC113" t="s">
        <v>55</v>
      </c>
      <c r="AD113" t="s">
        <v>55</v>
      </c>
      <c r="AE113" t="s">
        <v>54</v>
      </c>
      <c r="AF113" t="s">
        <v>63</v>
      </c>
      <c r="AG113" t="s">
        <v>63</v>
      </c>
      <c r="AH113">
        <v>78.5</v>
      </c>
      <c r="AI113">
        <v>186</v>
      </c>
      <c r="AJ113">
        <v>274.5</v>
      </c>
      <c r="AK113">
        <v>385.5</v>
      </c>
      <c r="AL113">
        <v>447.5</v>
      </c>
      <c r="AM113" t="s">
        <v>55</v>
      </c>
      <c r="AN113" t="s">
        <v>56</v>
      </c>
      <c r="AO113" t="s">
        <v>56</v>
      </c>
      <c r="AP113" t="s">
        <v>56</v>
      </c>
      <c r="AQ113" t="s">
        <v>55</v>
      </c>
      <c r="AR113">
        <v>6</v>
      </c>
    </row>
    <row r="114" spans="1:44">
      <c r="A114" t="s">
        <v>272</v>
      </c>
      <c r="B114" t="s">
        <v>273</v>
      </c>
      <c r="C114" t="s">
        <v>274</v>
      </c>
      <c r="D114" t="s">
        <v>275</v>
      </c>
      <c r="F114" t="s">
        <v>127</v>
      </c>
      <c r="G114">
        <v>113</v>
      </c>
      <c r="H114" t="s">
        <v>165</v>
      </c>
      <c r="I114">
        <v>45404.618055555555</v>
      </c>
      <c r="J114">
        <v>1</v>
      </c>
      <c r="K114" t="s">
        <v>50</v>
      </c>
      <c r="L114">
        <v>3.89</v>
      </c>
      <c r="M114">
        <v>3.89</v>
      </c>
      <c r="N114">
        <v>12.770847012475379</v>
      </c>
      <c r="O114">
        <v>12.770847012475379</v>
      </c>
      <c r="P114" t="s">
        <v>60</v>
      </c>
      <c r="Q114" t="s">
        <v>50</v>
      </c>
      <c r="R114" t="s">
        <v>50</v>
      </c>
      <c r="S114">
        <v>300</v>
      </c>
      <c r="T114" t="s">
        <v>276</v>
      </c>
      <c r="U114" t="s">
        <v>277</v>
      </c>
      <c r="V114">
        <v>108.5</v>
      </c>
      <c r="W114">
        <v>75</v>
      </c>
      <c r="X114">
        <v>90</v>
      </c>
      <c r="Y114">
        <v>99.5</v>
      </c>
      <c r="Z114">
        <v>99.5</v>
      </c>
      <c r="AA114">
        <v>99.5</v>
      </c>
      <c r="AB114">
        <v>99.5</v>
      </c>
      <c r="AC114" t="s">
        <v>54</v>
      </c>
      <c r="AD114" t="s">
        <v>63</v>
      </c>
      <c r="AE114" t="s">
        <v>63</v>
      </c>
      <c r="AF114" t="s">
        <v>63</v>
      </c>
      <c r="AG114" t="s">
        <v>63</v>
      </c>
      <c r="AH114">
        <v>75</v>
      </c>
      <c r="AI114">
        <v>108.5</v>
      </c>
      <c r="AJ114">
        <v>108.5</v>
      </c>
      <c r="AK114">
        <v>108.5</v>
      </c>
      <c r="AL114">
        <v>108.5</v>
      </c>
      <c r="AM114" t="s">
        <v>54</v>
      </c>
      <c r="AN114" t="s">
        <v>63</v>
      </c>
      <c r="AO114" t="s">
        <v>63</v>
      </c>
      <c r="AP114" t="s">
        <v>63</v>
      </c>
      <c r="AQ114" t="s">
        <v>63</v>
      </c>
      <c r="AR114">
        <v>2</v>
      </c>
    </row>
    <row r="115" spans="1:44">
      <c r="A115" t="s">
        <v>272</v>
      </c>
      <c r="B115" t="s">
        <v>273</v>
      </c>
      <c r="C115" t="s">
        <v>274</v>
      </c>
      <c r="D115" t="s">
        <v>275</v>
      </c>
      <c r="F115" t="s">
        <v>127</v>
      </c>
      <c r="G115">
        <v>113</v>
      </c>
      <c r="H115" t="s">
        <v>59</v>
      </c>
      <c r="I115">
        <v>45498.208333333336</v>
      </c>
      <c r="J115">
        <v>2</v>
      </c>
      <c r="K115">
        <v>0.25641171993912604</v>
      </c>
      <c r="L115">
        <v>3.89</v>
      </c>
      <c r="M115">
        <v>3.89</v>
      </c>
      <c r="N115">
        <v>12.770847012475379</v>
      </c>
      <c r="O115">
        <v>12.770847012475379</v>
      </c>
      <c r="P115" t="s">
        <v>60</v>
      </c>
      <c r="Q115" t="s">
        <v>50</v>
      </c>
      <c r="R115" t="s">
        <v>50</v>
      </c>
      <c r="S115">
        <v>200</v>
      </c>
      <c r="T115" t="s">
        <v>278</v>
      </c>
      <c r="U115" t="s">
        <v>279</v>
      </c>
      <c r="V115">
        <v>575.5</v>
      </c>
      <c r="W115">
        <v>23</v>
      </c>
      <c r="X115">
        <v>504</v>
      </c>
      <c r="Y115">
        <v>41.5</v>
      </c>
      <c r="Z115">
        <v>57</v>
      </c>
      <c r="AA115">
        <v>191.5</v>
      </c>
      <c r="AB115">
        <v>453</v>
      </c>
      <c r="AC115" t="s">
        <v>63</v>
      </c>
      <c r="AD115" t="s">
        <v>63</v>
      </c>
      <c r="AE115" t="s">
        <v>63</v>
      </c>
      <c r="AF115" t="s">
        <v>63</v>
      </c>
      <c r="AG115" t="s">
        <v>55</v>
      </c>
      <c r="AH115">
        <v>85</v>
      </c>
      <c r="AI115">
        <v>193</v>
      </c>
      <c r="AJ115">
        <v>273.5</v>
      </c>
      <c r="AK115">
        <v>357</v>
      </c>
      <c r="AL115">
        <v>479.5</v>
      </c>
      <c r="AM115" t="s">
        <v>55</v>
      </c>
      <c r="AN115" t="s">
        <v>56</v>
      </c>
      <c r="AO115" t="s">
        <v>56</v>
      </c>
      <c r="AP115" t="s">
        <v>56</v>
      </c>
      <c r="AQ115" t="s">
        <v>56</v>
      </c>
      <c r="AR115">
        <v>41</v>
      </c>
    </row>
    <row r="116" spans="1:44">
      <c r="A116" t="s">
        <v>272</v>
      </c>
      <c r="B116" t="s">
        <v>273</v>
      </c>
      <c r="C116" t="s">
        <v>280</v>
      </c>
      <c r="D116" t="s">
        <v>281</v>
      </c>
      <c r="F116" t="s">
        <v>48</v>
      </c>
      <c r="G116">
        <v>113</v>
      </c>
      <c r="H116" t="s">
        <v>165</v>
      </c>
      <c r="I116">
        <v>45463.809027777781</v>
      </c>
      <c r="J116">
        <v>1</v>
      </c>
      <c r="K116" t="s">
        <v>50</v>
      </c>
      <c r="L116">
        <v>17.940000000000001</v>
      </c>
      <c r="M116">
        <v>17.940000000000001</v>
      </c>
      <c r="N116">
        <v>6.1287236949986337</v>
      </c>
      <c r="O116">
        <v>6.1287236949986337</v>
      </c>
      <c r="P116" t="s">
        <v>60</v>
      </c>
      <c r="Q116" t="s">
        <v>50</v>
      </c>
      <c r="R116" t="s">
        <v>50</v>
      </c>
      <c r="S116">
        <v>300</v>
      </c>
      <c r="T116" t="s">
        <v>282</v>
      </c>
      <c r="U116" t="s">
        <v>283</v>
      </c>
      <c r="V116">
        <v>25.5</v>
      </c>
      <c r="W116">
        <v>16.5</v>
      </c>
      <c r="X116">
        <v>45.3</v>
      </c>
      <c r="Y116">
        <v>24</v>
      </c>
      <c r="Z116">
        <v>24</v>
      </c>
      <c r="AA116">
        <v>24</v>
      </c>
      <c r="AB116">
        <v>30.5</v>
      </c>
      <c r="AC116" t="s">
        <v>63</v>
      </c>
      <c r="AD116" t="s">
        <v>63</v>
      </c>
      <c r="AE116" t="s">
        <v>63</v>
      </c>
      <c r="AF116" t="s">
        <v>63</v>
      </c>
      <c r="AG116" t="s">
        <v>63</v>
      </c>
      <c r="AH116">
        <v>16.5</v>
      </c>
      <c r="AI116">
        <v>25.5</v>
      </c>
      <c r="AJ116">
        <v>25.5</v>
      </c>
      <c r="AK116">
        <v>25.5</v>
      </c>
      <c r="AL116">
        <v>25.5</v>
      </c>
      <c r="AM116" t="s">
        <v>63</v>
      </c>
      <c r="AN116" t="s">
        <v>63</v>
      </c>
      <c r="AO116" t="s">
        <v>63</v>
      </c>
      <c r="AP116" t="s">
        <v>63</v>
      </c>
      <c r="AQ116" t="s">
        <v>63</v>
      </c>
      <c r="AR116">
        <v>2</v>
      </c>
    </row>
    <row r="117" spans="1:44">
      <c r="A117" t="s">
        <v>272</v>
      </c>
      <c r="B117" t="s">
        <v>273</v>
      </c>
      <c r="C117" t="s">
        <v>280</v>
      </c>
      <c r="D117" t="s">
        <v>281</v>
      </c>
      <c r="F117" t="s">
        <v>48</v>
      </c>
      <c r="G117">
        <v>113</v>
      </c>
      <c r="H117" t="s">
        <v>59</v>
      </c>
      <c r="I117">
        <v>45497.708333333336</v>
      </c>
      <c r="J117">
        <v>2</v>
      </c>
      <c r="K117">
        <v>9.2874809741245887E-2</v>
      </c>
      <c r="L117">
        <v>17.940000000000001</v>
      </c>
      <c r="M117">
        <v>17.940000000000001</v>
      </c>
      <c r="N117">
        <v>6.1287236949986337</v>
      </c>
      <c r="O117">
        <v>6.1287236949986337</v>
      </c>
      <c r="P117" t="s">
        <v>60</v>
      </c>
      <c r="Q117" t="s">
        <v>50</v>
      </c>
      <c r="R117" t="s">
        <v>50</v>
      </c>
      <c r="S117">
        <v>300</v>
      </c>
      <c r="T117" t="s">
        <v>282</v>
      </c>
      <c r="U117" t="s">
        <v>283</v>
      </c>
      <c r="V117">
        <v>444.5</v>
      </c>
      <c r="W117">
        <v>31</v>
      </c>
      <c r="X117">
        <v>170.7</v>
      </c>
      <c r="Y117">
        <v>59.5</v>
      </c>
      <c r="Z117">
        <v>92</v>
      </c>
      <c r="AA117">
        <v>132</v>
      </c>
      <c r="AB117">
        <v>171</v>
      </c>
      <c r="AC117" t="s">
        <v>63</v>
      </c>
      <c r="AD117" t="s">
        <v>63</v>
      </c>
      <c r="AE117" t="s">
        <v>63</v>
      </c>
      <c r="AF117" t="s">
        <v>63</v>
      </c>
      <c r="AG117" t="s">
        <v>63</v>
      </c>
      <c r="AH117">
        <v>74</v>
      </c>
      <c r="AI117">
        <v>126.5</v>
      </c>
      <c r="AJ117">
        <v>181</v>
      </c>
      <c r="AK117">
        <v>249.5</v>
      </c>
      <c r="AL117">
        <v>353</v>
      </c>
      <c r="AM117" t="s">
        <v>54</v>
      </c>
      <c r="AN117" t="s">
        <v>63</v>
      </c>
      <c r="AO117" t="s">
        <v>63</v>
      </c>
      <c r="AP117" t="s">
        <v>63</v>
      </c>
      <c r="AQ117" t="s">
        <v>63</v>
      </c>
      <c r="AR117">
        <v>27</v>
      </c>
    </row>
    <row r="118" spans="1:44" hidden="1">
      <c r="A118" t="s">
        <v>272</v>
      </c>
      <c r="B118" t="s">
        <v>284</v>
      </c>
      <c r="C118" t="s">
        <v>285</v>
      </c>
      <c r="D118" t="s">
        <v>286</v>
      </c>
      <c r="E118" t="s">
        <v>285</v>
      </c>
      <c r="F118" t="s">
        <v>48</v>
      </c>
      <c r="G118">
        <v>87</v>
      </c>
      <c r="H118" t="s">
        <v>287</v>
      </c>
      <c r="I118">
        <v>36084</v>
      </c>
      <c r="J118">
        <v>1</v>
      </c>
      <c r="K118" t="s">
        <v>50</v>
      </c>
      <c r="L118">
        <v>0</v>
      </c>
      <c r="M118">
        <v>3.68</v>
      </c>
      <c r="N118">
        <v>0</v>
      </c>
      <c r="O118">
        <v>5.4599406528189913</v>
      </c>
      <c r="P118" t="s">
        <v>51</v>
      </c>
      <c r="Q118">
        <v>1</v>
      </c>
      <c r="R118" t="s">
        <v>50</v>
      </c>
      <c r="S118" t="s">
        <v>81</v>
      </c>
      <c r="T118" t="s">
        <v>288</v>
      </c>
      <c r="U118" t="s">
        <v>289</v>
      </c>
      <c r="V118">
        <v>738.5</v>
      </c>
      <c r="W118">
        <v>82.5</v>
      </c>
      <c r="X118">
        <v>715.5</v>
      </c>
      <c r="Y118">
        <v>180.5</v>
      </c>
      <c r="Z118">
        <v>229</v>
      </c>
      <c r="AA118">
        <v>460</v>
      </c>
      <c r="AB118">
        <v>583.5</v>
      </c>
      <c r="AC118" t="s">
        <v>55</v>
      </c>
      <c r="AD118" t="s">
        <v>56</v>
      </c>
      <c r="AE118" t="s">
        <v>55</v>
      </c>
      <c r="AF118" t="s">
        <v>87</v>
      </c>
      <c r="AG118" t="s">
        <v>87</v>
      </c>
      <c r="AH118">
        <v>82.5</v>
      </c>
      <c r="AI118">
        <v>180.5</v>
      </c>
      <c r="AJ118">
        <v>231</v>
      </c>
      <c r="AK118">
        <v>460</v>
      </c>
      <c r="AL118">
        <v>597.5</v>
      </c>
      <c r="AM118" t="s">
        <v>55</v>
      </c>
      <c r="AN118" t="s">
        <v>56</v>
      </c>
      <c r="AO118" t="s">
        <v>55</v>
      </c>
      <c r="AP118" t="s">
        <v>87</v>
      </c>
      <c r="AQ118" t="s">
        <v>87</v>
      </c>
      <c r="AR118">
        <v>37</v>
      </c>
    </row>
    <row r="119" spans="1:44" hidden="1">
      <c r="A119" t="s">
        <v>272</v>
      </c>
      <c r="B119" t="s">
        <v>284</v>
      </c>
      <c r="C119" t="s">
        <v>285</v>
      </c>
      <c r="D119" t="s">
        <v>286</v>
      </c>
      <c r="E119" t="s">
        <v>285</v>
      </c>
      <c r="F119" t="s">
        <v>48</v>
      </c>
      <c r="G119">
        <v>90</v>
      </c>
      <c r="H119" t="s">
        <v>80</v>
      </c>
      <c r="I119">
        <v>37101</v>
      </c>
      <c r="J119">
        <v>2</v>
      </c>
      <c r="K119">
        <v>2.7863013698630139</v>
      </c>
      <c r="L119">
        <v>3.68</v>
      </c>
      <c r="M119">
        <v>2.74</v>
      </c>
      <c r="N119">
        <v>5.4599406528189913</v>
      </c>
      <c r="O119">
        <v>4.0652818991097917</v>
      </c>
      <c r="P119" t="s">
        <v>51</v>
      </c>
      <c r="Q119">
        <v>2</v>
      </c>
      <c r="R119">
        <v>2.7863013698630139</v>
      </c>
      <c r="S119" t="s">
        <v>81</v>
      </c>
      <c r="T119" t="s">
        <v>288</v>
      </c>
      <c r="U119" t="s">
        <v>289</v>
      </c>
      <c r="V119">
        <v>570</v>
      </c>
      <c r="W119">
        <v>122.5</v>
      </c>
      <c r="X119">
        <v>240.2</v>
      </c>
      <c r="Y119">
        <v>210.5</v>
      </c>
      <c r="Z119">
        <v>226</v>
      </c>
      <c r="AA119">
        <v>235</v>
      </c>
      <c r="AB119">
        <v>235</v>
      </c>
      <c r="AC119" t="s">
        <v>87</v>
      </c>
      <c r="AD119" t="s">
        <v>58</v>
      </c>
      <c r="AE119" t="s">
        <v>55</v>
      </c>
      <c r="AF119" t="s">
        <v>63</v>
      </c>
      <c r="AG119" t="s">
        <v>63</v>
      </c>
      <c r="AH119">
        <v>122.5</v>
      </c>
      <c r="AI119">
        <v>297.5</v>
      </c>
      <c r="AJ119">
        <v>476.5</v>
      </c>
      <c r="AK119">
        <v>536</v>
      </c>
      <c r="AL119">
        <v>557</v>
      </c>
      <c r="AM119" t="s">
        <v>87</v>
      </c>
      <c r="AN119" t="s">
        <v>64</v>
      </c>
      <c r="AO119" t="s">
        <v>64</v>
      </c>
      <c r="AP119" t="s">
        <v>64</v>
      </c>
      <c r="AQ119" t="s">
        <v>58</v>
      </c>
      <c r="AR119">
        <v>7</v>
      </c>
    </row>
    <row r="120" spans="1:44" hidden="1">
      <c r="A120" t="s">
        <v>220</v>
      </c>
      <c r="B120" t="s">
        <v>221</v>
      </c>
      <c r="C120" t="s">
        <v>238</v>
      </c>
      <c r="D120" t="s">
        <v>290</v>
      </c>
      <c r="E120" t="s">
        <v>291</v>
      </c>
      <c r="F120" t="s">
        <v>48</v>
      </c>
      <c r="G120">
        <v>94</v>
      </c>
      <c r="H120" t="s">
        <v>95</v>
      </c>
      <c r="I120">
        <v>38552.583333333336</v>
      </c>
      <c r="J120">
        <v>1</v>
      </c>
      <c r="K120" t="s">
        <v>50</v>
      </c>
      <c r="L120">
        <v>0</v>
      </c>
      <c r="M120">
        <v>2</v>
      </c>
      <c r="N120">
        <v>0</v>
      </c>
      <c r="O120">
        <v>1.4359563469270535</v>
      </c>
      <c r="P120" t="s">
        <v>51</v>
      </c>
      <c r="Q120">
        <v>1</v>
      </c>
      <c r="R120" t="s">
        <v>50</v>
      </c>
      <c r="S120">
        <v>500</v>
      </c>
      <c r="T120" t="s">
        <v>233</v>
      </c>
      <c r="U120" t="s">
        <v>234</v>
      </c>
      <c r="V120">
        <v>1368</v>
      </c>
      <c r="W120">
        <v>57.5</v>
      </c>
      <c r="X120">
        <v>730</v>
      </c>
      <c r="Y120">
        <v>62</v>
      </c>
      <c r="Z120">
        <v>164</v>
      </c>
      <c r="AA120">
        <v>234</v>
      </c>
      <c r="AB120">
        <v>570.5</v>
      </c>
      <c r="AH120">
        <v>102</v>
      </c>
      <c r="AI120">
        <v>181</v>
      </c>
      <c r="AJ120">
        <v>223</v>
      </c>
      <c r="AK120">
        <v>392.5</v>
      </c>
      <c r="AL120">
        <v>629</v>
      </c>
      <c r="AR120">
        <v>35</v>
      </c>
    </row>
    <row r="121" spans="1:44">
      <c r="A121" t="s">
        <v>220</v>
      </c>
      <c r="B121" t="s">
        <v>221</v>
      </c>
      <c r="C121" t="s">
        <v>238</v>
      </c>
      <c r="D121" t="s">
        <v>290</v>
      </c>
      <c r="E121" t="s">
        <v>291</v>
      </c>
      <c r="F121" t="s">
        <v>48</v>
      </c>
      <c r="G121">
        <v>97</v>
      </c>
      <c r="H121" t="s">
        <v>124</v>
      </c>
      <c r="I121">
        <v>39646.958333333336</v>
      </c>
      <c r="J121">
        <v>2</v>
      </c>
      <c r="K121">
        <v>2.9982876712328768</v>
      </c>
      <c r="L121">
        <v>0</v>
      </c>
      <c r="M121">
        <v>1</v>
      </c>
      <c r="N121">
        <v>0</v>
      </c>
      <c r="O121">
        <v>0.71797817346352677</v>
      </c>
      <c r="P121" t="s">
        <v>51</v>
      </c>
      <c r="Q121">
        <v>2</v>
      </c>
      <c r="R121">
        <v>2.9982876712328768</v>
      </c>
      <c r="S121">
        <v>450</v>
      </c>
      <c r="T121" t="s">
        <v>233</v>
      </c>
      <c r="U121" t="s">
        <v>234</v>
      </c>
      <c r="V121">
        <v>705</v>
      </c>
      <c r="W121">
        <v>47.5</v>
      </c>
      <c r="X121">
        <v>371</v>
      </c>
      <c r="Y121">
        <v>139</v>
      </c>
      <c r="Z121">
        <v>275</v>
      </c>
      <c r="AA121">
        <v>290.5</v>
      </c>
      <c r="AB121">
        <v>290.5</v>
      </c>
      <c r="AH121">
        <v>58.5</v>
      </c>
      <c r="AI121">
        <v>153</v>
      </c>
      <c r="AJ121">
        <v>275</v>
      </c>
      <c r="AK121">
        <v>400</v>
      </c>
      <c r="AL121">
        <v>560</v>
      </c>
      <c r="AR121">
        <v>9</v>
      </c>
    </row>
    <row r="122" spans="1:44">
      <c r="A122" t="s">
        <v>44</v>
      </c>
      <c r="B122" t="s">
        <v>292</v>
      </c>
      <c r="C122" t="s">
        <v>293</v>
      </c>
      <c r="D122" t="s">
        <v>294</v>
      </c>
      <c r="F122" t="s">
        <v>48</v>
      </c>
      <c r="G122">
        <v>104</v>
      </c>
      <c r="H122" t="s">
        <v>295</v>
      </c>
      <c r="I122">
        <v>42224.416666666664</v>
      </c>
      <c r="P122" t="s">
        <v>51</v>
      </c>
      <c r="S122">
        <v>450</v>
      </c>
      <c r="T122" t="s">
        <v>296</v>
      </c>
      <c r="U122" t="s">
        <v>297</v>
      </c>
      <c r="V122">
        <v>532</v>
      </c>
      <c r="W122">
        <v>4</v>
      </c>
      <c r="X122">
        <v>525</v>
      </c>
      <c r="Y122">
        <v>76</v>
      </c>
      <c r="Z122">
        <v>199</v>
      </c>
      <c r="AA122">
        <v>404</v>
      </c>
      <c r="AB122">
        <v>536</v>
      </c>
      <c r="AC122" t="s">
        <v>63</v>
      </c>
      <c r="AD122" t="s">
        <v>63</v>
      </c>
      <c r="AE122" t="s">
        <v>55</v>
      </c>
      <c r="AF122" t="s">
        <v>64</v>
      </c>
      <c r="AG122" t="s">
        <v>64</v>
      </c>
      <c r="AH122">
        <v>59</v>
      </c>
      <c r="AI122">
        <v>145</v>
      </c>
      <c r="AJ122">
        <v>268</v>
      </c>
      <c r="AK122">
        <v>419</v>
      </c>
      <c r="AL122">
        <v>532</v>
      </c>
      <c r="AM122" t="s">
        <v>54</v>
      </c>
      <c r="AN122" t="s">
        <v>55</v>
      </c>
      <c r="AO122" t="s">
        <v>58</v>
      </c>
      <c r="AP122" t="s">
        <v>64</v>
      </c>
      <c r="AQ122" t="s">
        <v>64</v>
      </c>
      <c r="AR122">
        <v>23</v>
      </c>
    </row>
    <row r="123" spans="1:44">
      <c r="A123" t="s">
        <v>44</v>
      </c>
      <c r="B123" t="s">
        <v>292</v>
      </c>
      <c r="C123" t="s">
        <v>298</v>
      </c>
      <c r="D123" t="s">
        <v>299</v>
      </c>
      <c r="F123" t="s">
        <v>48</v>
      </c>
      <c r="G123">
        <v>100</v>
      </c>
      <c r="H123" t="s">
        <v>300</v>
      </c>
      <c r="I123">
        <v>40819.125</v>
      </c>
      <c r="P123" t="s">
        <v>51</v>
      </c>
      <c r="S123">
        <v>550</v>
      </c>
      <c r="T123" t="s">
        <v>301</v>
      </c>
      <c r="U123" t="s">
        <v>302</v>
      </c>
      <c r="V123">
        <v>1652.5</v>
      </c>
      <c r="W123">
        <v>96.5</v>
      </c>
      <c r="X123">
        <v>1105</v>
      </c>
      <c r="Y123">
        <v>178.5</v>
      </c>
      <c r="Z123">
        <v>368</v>
      </c>
      <c r="AA123">
        <v>600.5</v>
      </c>
      <c r="AB123">
        <v>770</v>
      </c>
      <c r="AC123" t="s">
        <v>56</v>
      </c>
      <c r="AD123" t="s">
        <v>55</v>
      </c>
      <c r="AE123" t="s">
        <v>58</v>
      </c>
      <c r="AF123" t="s">
        <v>87</v>
      </c>
      <c r="AG123" t="s">
        <v>58</v>
      </c>
      <c r="AH123">
        <v>96.5</v>
      </c>
      <c r="AI123">
        <v>239.5</v>
      </c>
      <c r="AJ123">
        <v>403.5</v>
      </c>
      <c r="AK123">
        <v>715</v>
      </c>
      <c r="AL123">
        <v>994.5</v>
      </c>
      <c r="AM123" t="s">
        <v>56</v>
      </c>
      <c r="AN123" t="s">
        <v>57</v>
      </c>
      <c r="AO123" t="s">
        <v>87</v>
      </c>
      <c r="AP123" t="s">
        <v>64</v>
      </c>
      <c r="AQ123" t="s">
        <v>64</v>
      </c>
      <c r="AR123">
        <v>56</v>
      </c>
    </row>
    <row r="124" spans="1:44">
      <c r="A124" t="s">
        <v>44</v>
      </c>
      <c r="B124" t="s">
        <v>292</v>
      </c>
      <c r="C124" t="s">
        <v>303</v>
      </c>
      <c r="D124" t="s">
        <v>304</v>
      </c>
      <c r="F124" t="s">
        <v>127</v>
      </c>
      <c r="G124">
        <v>100</v>
      </c>
      <c r="H124" t="s">
        <v>300</v>
      </c>
      <c r="I124">
        <v>40818.208333333336</v>
      </c>
      <c r="P124" t="s">
        <v>51</v>
      </c>
      <c r="S124">
        <v>550</v>
      </c>
      <c r="T124" t="s">
        <v>305</v>
      </c>
      <c r="U124" t="s">
        <v>306</v>
      </c>
      <c r="V124">
        <v>1633.5</v>
      </c>
      <c r="W124">
        <v>14.5</v>
      </c>
      <c r="X124">
        <v>422.8</v>
      </c>
      <c r="Y124">
        <v>37.5</v>
      </c>
      <c r="Z124">
        <v>59.5</v>
      </c>
      <c r="AA124">
        <v>178.5</v>
      </c>
      <c r="AB124">
        <v>278</v>
      </c>
      <c r="AC124" t="s">
        <v>63</v>
      </c>
      <c r="AD124" t="s">
        <v>63</v>
      </c>
      <c r="AE124" t="s">
        <v>63</v>
      </c>
      <c r="AF124" t="s">
        <v>63</v>
      </c>
      <c r="AG124" t="s">
        <v>63</v>
      </c>
      <c r="AH124">
        <v>110.5</v>
      </c>
      <c r="AI124">
        <v>240</v>
      </c>
      <c r="AJ124">
        <v>449.5</v>
      </c>
      <c r="AK124">
        <v>719.5</v>
      </c>
      <c r="AL124">
        <v>1092.5</v>
      </c>
      <c r="AM124" t="s">
        <v>57</v>
      </c>
      <c r="AN124" t="s">
        <v>58</v>
      </c>
      <c r="AO124" t="s">
        <v>64</v>
      </c>
      <c r="AP124" t="s">
        <v>64</v>
      </c>
      <c r="AQ124" t="s">
        <v>64</v>
      </c>
      <c r="AR124">
        <v>32</v>
      </c>
    </row>
    <row r="125" spans="1:44">
      <c r="A125" t="s">
        <v>44</v>
      </c>
      <c r="B125" t="s">
        <v>45</v>
      </c>
      <c r="C125" t="s">
        <v>46</v>
      </c>
      <c r="D125" t="s">
        <v>307</v>
      </c>
      <c r="F125" t="s">
        <v>127</v>
      </c>
      <c r="G125">
        <v>101</v>
      </c>
      <c r="H125" t="s">
        <v>49</v>
      </c>
      <c r="I125">
        <v>41123.083333333336</v>
      </c>
      <c r="P125" t="s">
        <v>51</v>
      </c>
      <c r="S125">
        <v>450</v>
      </c>
      <c r="T125" t="s">
        <v>52</v>
      </c>
      <c r="U125" t="s">
        <v>53</v>
      </c>
      <c r="V125">
        <v>878.5</v>
      </c>
      <c r="W125">
        <v>74.5</v>
      </c>
      <c r="X125">
        <v>668.9</v>
      </c>
      <c r="Y125">
        <v>158</v>
      </c>
      <c r="Z125">
        <v>259</v>
      </c>
      <c r="AA125">
        <v>333</v>
      </c>
      <c r="AB125">
        <v>442.5</v>
      </c>
      <c r="AC125" t="s">
        <v>54</v>
      </c>
      <c r="AD125" t="s">
        <v>55</v>
      </c>
      <c r="AE125" t="s">
        <v>56</v>
      </c>
      <c r="AF125" t="s">
        <v>55</v>
      </c>
      <c r="AG125" t="s">
        <v>55</v>
      </c>
      <c r="AH125">
        <v>74.5</v>
      </c>
      <c r="AI125">
        <v>178</v>
      </c>
      <c r="AJ125">
        <v>300</v>
      </c>
      <c r="AK125">
        <v>433</v>
      </c>
      <c r="AL125">
        <v>582.5</v>
      </c>
      <c r="AM125" t="s">
        <v>54</v>
      </c>
      <c r="AN125" t="s">
        <v>56</v>
      </c>
      <c r="AO125" t="s">
        <v>57</v>
      </c>
      <c r="AP125" t="s">
        <v>58</v>
      </c>
      <c r="AQ125" t="s">
        <v>58</v>
      </c>
      <c r="AR125">
        <v>59</v>
      </c>
    </row>
    <row r="126" spans="1:44">
      <c r="A126" t="s">
        <v>44</v>
      </c>
      <c r="B126" t="s">
        <v>308</v>
      </c>
      <c r="C126" t="s">
        <v>309</v>
      </c>
      <c r="D126" t="s">
        <v>310</v>
      </c>
      <c r="F126" t="s">
        <v>127</v>
      </c>
      <c r="G126">
        <v>99</v>
      </c>
      <c r="H126" t="s">
        <v>254</v>
      </c>
      <c r="I126">
        <v>40472.458333333336</v>
      </c>
      <c r="P126" t="s">
        <v>51</v>
      </c>
      <c r="S126">
        <v>600</v>
      </c>
      <c r="T126">
        <v>467060</v>
      </c>
      <c r="U126" t="s">
        <v>311</v>
      </c>
      <c r="V126">
        <v>1360.3</v>
      </c>
      <c r="W126">
        <v>114.5</v>
      </c>
      <c r="X126">
        <v>750.5</v>
      </c>
      <c r="Y126">
        <v>160</v>
      </c>
      <c r="Z126">
        <v>199</v>
      </c>
      <c r="AA126">
        <v>234</v>
      </c>
      <c r="AB126">
        <v>407.5</v>
      </c>
      <c r="AC126" t="s">
        <v>57</v>
      </c>
      <c r="AD126" t="s">
        <v>54</v>
      </c>
      <c r="AE126" t="s">
        <v>63</v>
      </c>
      <c r="AF126" t="s">
        <v>63</v>
      </c>
      <c r="AG126" t="s">
        <v>63</v>
      </c>
      <c r="AH126">
        <v>181.5</v>
      </c>
      <c r="AI126">
        <v>444</v>
      </c>
      <c r="AJ126">
        <v>645</v>
      </c>
      <c r="AK126">
        <v>861</v>
      </c>
      <c r="AL126">
        <v>1077.5</v>
      </c>
      <c r="AM126" t="s">
        <v>64</v>
      </c>
      <c r="AN126" t="s">
        <v>64</v>
      </c>
      <c r="AO126" t="s">
        <v>64</v>
      </c>
      <c r="AP126" t="s">
        <v>64</v>
      </c>
      <c r="AQ126" t="s">
        <v>64</v>
      </c>
      <c r="AR126">
        <v>21</v>
      </c>
    </row>
    <row r="127" spans="1:44">
      <c r="A127" t="s">
        <v>44</v>
      </c>
      <c r="B127" t="s">
        <v>308</v>
      </c>
      <c r="C127" t="s">
        <v>312</v>
      </c>
      <c r="D127" t="s">
        <v>313</v>
      </c>
      <c r="F127" t="s">
        <v>127</v>
      </c>
      <c r="G127">
        <v>99</v>
      </c>
      <c r="H127" t="s">
        <v>254</v>
      </c>
      <c r="I127">
        <v>40472.604166666664</v>
      </c>
      <c r="P127" t="s">
        <v>51</v>
      </c>
      <c r="S127">
        <v>600</v>
      </c>
      <c r="T127">
        <v>467060</v>
      </c>
      <c r="U127" t="s">
        <v>311</v>
      </c>
      <c r="V127">
        <v>1360.3</v>
      </c>
      <c r="W127">
        <v>181.5</v>
      </c>
      <c r="X127">
        <v>1066</v>
      </c>
      <c r="Y127">
        <v>430</v>
      </c>
      <c r="Z127">
        <v>486.5</v>
      </c>
      <c r="AA127">
        <v>522.5</v>
      </c>
      <c r="AB127">
        <v>723</v>
      </c>
      <c r="AC127" t="s">
        <v>64</v>
      </c>
      <c r="AD127" t="s">
        <v>64</v>
      </c>
      <c r="AE127" t="s">
        <v>64</v>
      </c>
      <c r="AF127" t="s">
        <v>58</v>
      </c>
      <c r="AG127" t="s">
        <v>58</v>
      </c>
      <c r="AH127">
        <v>181.5</v>
      </c>
      <c r="AI127">
        <v>444</v>
      </c>
      <c r="AJ127">
        <v>645</v>
      </c>
      <c r="AK127">
        <v>861</v>
      </c>
      <c r="AL127">
        <v>1077.5</v>
      </c>
      <c r="AM127" t="s">
        <v>64</v>
      </c>
      <c r="AN127" t="s">
        <v>64</v>
      </c>
      <c r="AO127" t="s">
        <v>64</v>
      </c>
      <c r="AP127" t="s">
        <v>64</v>
      </c>
      <c r="AQ127" t="s">
        <v>64</v>
      </c>
      <c r="AR127">
        <v>23</v>
      </c>
    </row>
    <row r="128" spans="1:44">
      <c r="A128" t="s">
        <v>44</v>
      </c>
      <c r="B128" t="s">
        <v>308</v>
      </c>
      <c r="C128" t="s">
        <v>314</v>
      </c>
      <c r="D128" t="s">
        <v>315</v>
      </c>
      <c r="F128" t="s">
        <v>48</v>
      </c>
      <c r="G128">
        <v>113</v>
      </c>
      <c r="H128" t="s">
        <v>59</v>
      </c>
      <c r="I128">
        <v>45498.435416666667</v>
      </c>
      <c r="P128" t="s">
        <v>60</v>
      </c>
      <c r="S128">
        <v>400</v>
      </c>
      <c r="T128" t="s">
        <v>316</v>
      </c>
      <c r="U128" t="s">
        <v>317</v>
      </c>
      <c r="V128">
        <v>433</v>
      </c>
      <c r="W128">
        <v>5</v>
      </c>
      <c r="X128">
        <v>446</v>
      </c>
      <c r="Y128">
        <v>25</v>
      </c>
      <c r="Z128">
        <v>61</v>
      </c>
      <c r="AA128">
        <v>161.5</v>
      </c>
      <c r="AB128">
        <v>372</v>
      </c>
      <c r="AC128" t="s">
        <v>63</v>
      </c>
      <c r="AD128" t="s">
        <v>63</v>
      </c>
      <c r="AE128" t="s">
        <v>63</v>
      </c>
      <c r="AF128" t="s">
        <v>63</v>
      </c>
      <c r="AG128" t="s">
        <v>63</v>
      </c>
      <c r="AH128">
        <v>44</v>
      </c>
      <c r="AI128">
        <v>91.5</v>
      </c>
      <c r="AJ128">
        <v>163</v>
      </c>
      <c r="AK128">
        <v>269.5</v>
      </c>
      <c r="AL128">
        <v>394</v>
      </c>
      <c r="AM128" t="s">
        <v>63</v>
      </c>
      <c r="AN128" t="s">
        <v>63</v>
      </c>
      <c r="AO128" t="s">
        <v>63</v>
      </c>
      <c r="AP128" t="s">
        <v>63</v>
      </c>
      <c r="AQ128" t="s">
        <v>63</v>
      </c>
      <c r="AR128">
        <v>30</v>
      </c>
    </row>
    <row r="129" spans="1:44">
      <c r="A129" t="s">
        <v>318</v>
      </c>
      <c r="B129" t="s">
        <v>319</v>
      </c>
      <c r="C129" t="s">
        <v>320</v>
      </c>
      <c r="D129" t="s">
        <v>321</v>
      </c>
      <c r="F129" t="s">
        <v>127</v>
      </c>
      <c r="G129">
        <v>104</v>
      </c>
      <c r="H129" t="s">
        <v>295</v>
      </c>
      <c r="I129">
        <v>42224.25</v>
      </c>
      <c r="P129" t="s">
        <v>51</v>
      </c>
      <c r="S129">
        <v>350</v>
      </c>
      <c r="T129" t="s">
        <v>322</v>
      </c>
      <c r="U129" t="s">
        <v>323</v>
      </c>
      <c r="V129">
        <v>849</v>
      </c>
      <c r="W129">
        <v>100</v>
      </c>
      <c r="X129">
        <v>617</v>
      </c>
      <c r="Y129">
        <v>190</v>
      </c>
      <c r="Z129">
        <v>253</v>
      </c>
      <c r="AA129">
        <v>372</v>
      </c>
      <c r="AB129">
        <v>584</v>
      </c>
      <c r="AC129" t="s">
        <v>56</v>
      </c>
      <c r="AD129" t="s">
        <v>56</v>
      </c>
      <c r="AE129" t="s">
        <v>55</v>
      </c>
      <c r="AF129" t="s">
        <v>55</v>
      </c>
      <c r="AG129" t="s">
        <v>56</v>
      </c>
      <c r="AH129">
        <v>100</v>
      </c>
      <c r="AI129">
        <v>266</v>
      </c>
      <c r="AJ129">
        <v>416</v>
      </c>
      <c r="AK129">
        <v>529</v>
      </c>
      <c r="AL129">
        <v>836</v>
      </c>
      <c r="AM129" t="s">
        <v>56</v>
      </c>
      <c r="AN129" t="s">
        <v>87</v>
      </c>
      <c r="AO129" t="s">
        <v>64</v>
      </c>
      <c r="AP129" t="s">
        <v>58</v>
      </c>
      <c r="AQ129" t="s">
        <v>64</v>
      </c>
      <c r="AR129">
        <v>21</v>
      </c>
    </row>
    <row r="130" spans="1:44">
      <c r="A130" t="s">
        <v>318</v>
      </c>
      <c r="B130" t="s">
        <v>324</v>
      </c>
      <c r="C130" t="s">
        <v>325</v>
      </c>
      <c r="D130" t="s">
        <v>326</v>
      </c>
      <c r="F130" t="s">
        <v>127</v>
      </c>
      <c r="G130">
        <v>104</v>
      </c>
      <c r="H130" t="s">
        <v>327</v>
      </c>
      <c r="I130">
        <v>42275.916666666664</v>
      </c>
      <c r="P130" t="s">
        <v>51</v>
      </c>
      <c r="S130">
        <v>550</v>
      </c>
      <c r="T130" t="s">
        <v>328</v>
      </c>
      <c r="U130" t="s">
        <v>329</v>
      </c>
      <c r="V130">
        <v>481</v>
      </c>
      <c r="W130">
        <v>25</v>
      </c>
      <c r="X130">
        <v>357</v>
      </c>
      <c r="Y130">
        <v>94</v>
      </c>
      <c r="Z130">
        <v>225</v>
      </c>
      <c r="AA130">
        <v>325</v>
      </c>
      <c r="AB130">
        <v>418.5</v>
      </c>
      <c r="AC130" t="s">
        <v>63</v>
      </c>
      <c r="AD130" t="s">
        <v>63</v>
      </c>
      <c r="AE130" t="s">
        <v>54</v>
      </c>
      <c r="AF130" t="s">
        <v>54</v>
      </c>
      <c r="AG130" t="s">
        <v>54</v>
      </c>
      <c r="AH130">
        <v>54.5</v>
      </c>
      <c r="AI130">
        <v>131</v>
      </c>
      <c r="AJ130">
        <v>225</v>
      </c>
      <c r="AK130">
        <v>344.5</v>
      </c>
      <c r="AL130">
        <v>438</v>
      </c>
      <c r="AM130" t="s">
        <v>63</v>
      </c>
      <c r="AN130" t="s">
        <v>63</v>
      </c>
      <c r="AO130" t="s">
        <v>54</v>
      </c>
      <c r="AP130" t="s">
        <v>55</v>
      </c>
      <c r="AQ130" t="s">
        <v>54</v>
      </c>
      <c r="AR130">
        <v>27</v>
      </c>
    </row>
    <row r="131" spans="1:44">
      <c r="A131" t="s">
        <v>318</v>
      </c>
      <c r="B131" t="s">
        <v>330</v>
      </c>
      <c r="C131" t="s">
        <v>331</v>
      </c>
      <c r="D131" t="s">
        <v>332</v>
      </c>
      <c r="F131" t="s">
        <v>48</v>
      </c>
      <c r="G131">
        <v>104</v>
      </c>
      <c r="H131" t="s">
        <v>295</v>
      </c>
      <c r="I131">
        <v>42224.25</v>
      </c>
      <c r="P131" t="s">
        <v>51</v>
      </c>
      <c r="S131">
        <v>400</v>
      </c>
      <c r="T131" t="s">
        <v>333</v>
      </c>
      <c r="U131" t="s">
        <v>334</v>
      </c>
      <c r="V131">
        <v>712</v>
      </c>
      <c r="W131">
        <v>95</v>
      </c>
      <c r="X131">
        <v>350</v>
      </c>
      <c r="Y131">
        <v>227.5</v>
      </c>
      <c r="Z131">
        <v>361.5</v>
      </c>
      <c r="AA131">
        <v>510.5</v>
      </c>
      <c r="AB131">
        <v>566.5</v>
      </c>
      <c r="AC131" t="s">
        <v>56</v>
      </c>
      <c r="AD131" t="s">
        <v>58</v>
      </c>
      <c r="AE131" t="s">
        <v>87</v>
      </c>
      <c r="AF131" t="s">
        <v>87</v>
      </c>
      <c r="AG131" t="s">
        <v>56</v>
      </c>
      <c r="AH131">
        <v>82</v>
      </c>
      <c r="AI131">
        <v>224</v>
      </c>
      <c r="AJ131">
        <v>412</v>
      </c>
      <c r="AK131">
        <v>616</v>
      </c>
      <c r="AL131">
        <v>706</v>
      </c>
      <c r="AM131" t="s">
        <v>55</v>
      </c>
      <c r="AN131" t="s">
        <v>57</v>
      </c>
      <c r="AO131" t="s">
        <v>64</v>
      </c>
      <c r="AP131" t="s">
        <v>64</v>
      </c>
      <c r="AQ131" t="s">
        <v>87</v>
      </c>
      <c r="AR131">
        <v>20</v>
      </c>
    </row>
    <row r="132" spans="1:44">
      <c r="A132" t="s">
        <v>318</v>
      </c>
      <c r="B132" t="s">
        <v>330</v>
      </c>
      <c r="C132" t="s">
        <v>335</v>
      </c>
      <c r="D132" t="s">
        <v>336</v>
      </c>
      <c r="F132" t="s">
        <v>127</v>
      </c>
      <c r="G132">
        <v>104</v>
      </c>
      <c r="H132" t="s">
        <v>295</v>
      </c>
      <c r="I132">
        <v>42224.166666666664</v>
      </c>
      <c r="P132" t="s">
        <v>51</v>
      </c>
      <c r="S132">
        <v>400</v>
      </c>
      <c r="T132" t="s">
        <v>337</v>
      </c>
      <c r="U132" t="s">
        <v>338</v>
      </c>
      <c r="V132">
        <v>501</v>
      </c>
      <c r="W132">
        <v>38</v>
      </c>
      <c r="X132">
        <v>240</v>
      </c>
      <c r="Y132">
        <v>96</v>
      </c>
      <c r="Z132">
        <v>115</v>
      </c>
      <c r="AA132">
        <v>180</v>
      </c>
      <c r="AB132">
        <v>203</v>
      </c>
      <c r="AC132" t="s">
        <v>63</v>
      </c>
      <c r="AD132" t="s">
        <v>63</v>
      </c>
      <c r="AE132" t="s">
        <v>63</v>
      </c>
      <c r="AF132" t="s">
        <v>63</v>
      </c>
      <c r="AG132" t="s">
        <v>63</v>
      </c>
      <c r="AH132">
        <v>70</v>
      </c>
      <c r="AI132">
        <v>175</v>
      </c>
      <c r="AJ132">
        <v>296</v>
      </c>
      <c r="AK132">
        <v>407</v>
      </c>
      <c r="AL132">
        <v>501</v>
      </c>
      <c r="AM132" t="s">
        <v>54</v>
      </c>
      <c r="AN132" t="s">
        <v>55</v>
      </c>
      <c r="AO132" t="s">
        <v>56</v>
      </c>
      <c r="AP132" t="s">
        <v>56</v>
      </c>
      <c r="AQ132" t="s">
        <v>55</v>
      </c>
      <c r="AR132">
        <v>17</v>
      </c>
    </row>
    <row r="133" spans="1:44">
      <c r="A133" t="s">
        <v>318</v>
      </c>
      <c r="B133" t="s">
        <v>330</v>
      </c>
      <c r="C133" t="s">
        <v>335</v>
      </c>
      <c r="D133" t="s">
        <v>339</v>
      </c>
      <c r="F133" t="s">
        <v>127</v>
      </c>
      <c r="G133">
        <v>104</v>
      </c>
      <c r="H133" t="s">
        <v>295</v>
      </c>
      <c r="I133">
        <v>42224.25</v>
      </c>
      <c r="P133" t="s">
        <v>51</v>
      </c>
      <c r="S133">
        <v>400</v>
      </c>
      <c r="T133" t="s">
        <v>337</v>
      </c>
      <c r="U133" t="s">
        <v>338</v>
      </c>
      <c r="V133">
        <v>501</v>
      </c>
      <c r="W133">
        <v>70</v>
      </c>
      <c r="X133">
        <v>350</v>
      </c>
      <c r="Y133">
        <v>156</v>
      </c>
      <c r="Z133">
        <v>214</v>
      </c>
      <c r="AA133">
        <v>280</v>
      </c>
      <c r="AB133">
        <v>321</v>
      </c>
      <c r="AC133" t="s">
        <v>54</v>
      </c>
      <c r="AD133" t="s">
        <v>54</v>
      </c>
      <c r="AE133" t="s">
        <v>54</v>
      </c>
      <c r="AF133" t="s">
        <v>63</v>
      </c>
      <c r="AG133" t="s">
        <v>63</v>
      </c>
      <c r="AH133">
        <v>70</v>
      </c>
      <c r="AI133">
        <v>175</v>
      </c>
      <c r="AJ133">
        <v>296</v>
      </c>
      <c r="AK133">
        <v>407</v>
      </c>
      <c r="AL133">
        <v>501</v>
      </c>
      <c r="AM133" t="s">
        <v>54</v>
      </c>
      <c r="AN133" t="s">
        <v>55</v>
      </c>
      <c r="AO133" t="s">
        <v>56</v>
      </c>
      <c r="AP133" t="s">
        <v>56</v>
      </c>
      <c r="AQ133" t="s">
        <v>55</v>
      </c>
      <c r="AR133">
        <v>19</v>
      </c>
    </row>
    <row r="134" spans="1:44">
      <c r="A134" t="s">
        <v>318</v>
      </c>
      <c r="B134" t="s">
        <v>330</v>
      </c>
      <c r="C134" t="s">
        <v>331</v>
      </c>
      <c r="D134" t="s">
        <v>340</v>
      </c>
      <c r="F134" t="s">
        <v>48</v>
      </c>
      <c r="G134">
        <v>104</v>
      </c>
      <c r="H134" t="s">
        <v>295</v>
      </c>
      <c r="I134">
        <v>42224.25</v>
      </c>
      <c r="P134" t="s">
        <v>51</v>
      </c>
      <c r="S134">
        <v>400</v>
      </c>
      <c r="T134" t="s">
        <v>337</v>
      </c>
      <c r="U134" t="s">
        <v>338</v>
      </c>
      <c r="V134">
        <v>501</v>
      </c>
      <c r="W134">
        <v>70</v>
      </c>
      <c r="X134">
        <v>350</v>
      </c>
      <c r="Y134">
        <v>156</v>
      </c>
      <c r="Z134">
        <v>214</v>
      </c>
      <c r="AA134">
        <v>280</v>
      </c>
      <c r="AB134">
        <v>321</v>
      </c>
      <c r="AC134" t="s">
        <v>54</v>
      </c>
      <c r="AD134" t="s">
        <v>54</v>
      </c>
      <c r="AE134" t="s">
        <v>54</v>
      </c>
      <c r="AF134" t="s">
        <v>63</v>
      </c>
      <c r="AG134" t="s">
        <v>63</v>
      </c>
      <c r="AH134">
        <v>70</v>
      </c>
      <c r="AI134">
        <v>175</v>
      </c>
      <c r="AJ134">
        <v>296</v>
      </c>
      <c r="AK134">
        <v>407</v>
      </c>
      <c r="AL134">
        <v>501</v>
      </c>
      <c r="AM134" t="s">
        <v>54</v>
      </c>
      <c r="AN134" t="s">
        <v>55</v>
      </c>
      <c r="AO134" t="s">
        <v>56</v>
      </c>
      <c r="AP134" t="s">
        <v>56</v>
      </c>
      <c r="AQ134" t="s">
        <v>55</v>
      </c>
      <c r="AR134">
        <v>19</v>
      </c>
    </row>
    <row r="135" spans="1:44">
      <c r="A135" t="s">
        <v>318</v>
      </c>
      <c r="B135" t="s">
        <v>341</v>
      </c>
      <c r="C135" t="s">
        <v>342</v>
      </c>
      <c r="D135" t="s">
        <v>343</v>
      </c>
      <c r="F135" t="s">
        <v>127</v>
      </c>
      <c r="G135">
        <v>105</v>
      </c>
      <c r="H135" t="s">
        <v>254</v>
      </c>
      <c r="I135">
        <v>42640.583333333336</v>
      </c>
      <c r="P135" t="s">
        <v>51</v>
      </c>
      <c r="S135">
        <v>450</v>
      </c>
      <c r="T135" t="s">
        <v>344</v>
      </c>
      <c r="U135" t="s">
        <v>345</v>
      </c>
      <c r="V135">
        <v>404</v>
      </c>
      <c r="W135">
        <v>37</v>
      </c>
      <c r="X135">
        <v>293</v>
      </c>
      <c r="Y135">
        <v>88</v>
      </c>
      <c r="Z135">
        <v>170.5</v>
      </c>
      <c r="AA135">
        <v>238.5</v>
      </c>
      <c r="AB135">
        <v>301</v>
      </c>
      <c r="AC135" t="s">
        <v>63</v>
      </c>
      <c r="AD135" t="s">
        <v>63</v>
      </c>
      <c r="AE135" t="s">
        <v>63</v>
      </c>
      <c r="AF135" t="s">
        <v>63</v>
      </c>
      <c r="AG135" t="s">
        <v>63</v>
      </c>
      <c r="AH135">
        <v>37</v>
      </c>
      <c r="AI135">
        <v>101</v>
      </c>
      <c r="AJ135">
        <v>173.5</v>
      </c>
      <c r="AK135">
        <v>285</v>
      </c>
      <c r="AL135">
        <v>399</v>
      </c>
      <c r="AM135" t="s">
        <v>63</v>
      </c>
      <c r="AN135" t="s">
        <v>63</v>
      </c>
      <c r="AO135" t="s">
        <v>63</v>
      </c>
      <c r="AP135" t="s">
        <v>63</v>
      </c>
      <c r="AQ135" t="s">
        <v>63</v>
      </c>
      <c r="AR135">
        <v>20</v>
      </c>
    </row>
    <row r="136" spans="1:44">
      <c r="A136" t="s">
        <v>346</v>
      </c>
      <c r="B136" t="s">
        <v>347</v>
      </c>
      <c r="C136" t="s">
        <v>348</v>
      </c>
      <c r="D136" t="s">
        <v>349</v>
      </c>
      <c r="F136" t="s">
        <v>127</v>
      </c>
      <c r="G136">
        <v>104</v>
      </c>
      <c r="H136" t="s">
        <v>295</v>
      </c>
      <c r="I136">
        <v>42224.322916666664</v>
      </c>
      <c r="P136" t="s">
        <v>51</v>
      </c>
      <c r="S136">
        <v>250</v>
      </c>
      <c r="T136" t="s">
        <v>350</v>
      </c>
      <c r="U136" t="s">
        <v>351</v>
      </c>
      <c r="V136">
        <v>438</v>
      </c>
      <c r="W136">
        <v>22</v>
      </c>
      <c r="X136">
        <v>400</v>
      </c>
      <c r="Y136">
        <v>131</v>
      </c>
      <c r="Z136">
        <v>231</v>
      </c>
      <c r="AA136">
        <v>296</v>
      </c>
      <c r="AB136">
        <v>387</v>
      </c>
      <c r="AC136" t="s">
        <v>63</v>
      </c>
      <c r="AD136" t="s">
        <v>63</v>
      </c>
      <c r="AE136" t="s">
        <v>55</v>
      </c>
      <c r="AF136" t="s">
        <v>54</v>
      </c>
      <c r="AG136" t="s">
        <v>54</v>
      </c>
      <c r="AH136">
        <v>63</v>
      </c>
      <c r="AI136">
        <v>153</v>
      </c>
      <c r="AJ136">
        <v>231</v>
      </c>
      <c r="AK136">
        <v>296</v>
      </c>
      <c r="AL136">
        <v>407</v>
      </c>
      <c r="AM136" t="s">
        <v>63</v>
      </c>
      <c r="AN136" t="s">
        <v>54</v>
      </c>
      <c r="AO136" t="s">
        <v>55</v>
      </c>
      <c r="AP136" t="s">
        <v>54</v>
      </c>
      <c r="AQ136" t="s">
        <v>54</v>
      </c>
      <c r="AR136">
        <v>20</v>
      </c>
    </row>
    <row r="137" spans="1:44" hidden="1">
      <c r="A137" t="s">
        <v>352</v>
      </c>
      <c r="B137" t="s">
        <v>353</v>
      </c>
      <c r="C137" t="s">
        <v>354</v>
      </c>
      <c r="D137" t="s">
        <v>355</v>
      </c>
      <c r="F137" t="s">
        <v>48</v>
      </c>
      <c r="G137">
        <v>93</v>
      </c>
      <c r="H137" t="s">
        <v>356</v>
      </c>
      <c r="I137" t="s">
        <v>357</v>
      </c>
      <c r="P137" t="s">
        <v>51</v>
      </c>
      <c r="S137">
        <v>200</v>
      </c>
      <c r="T137" t="s">
        <v>358</v>
      </c>
      <c r="U137" t="s">
        <v>359</v>
      </c>
      <c r="V137">
        <v>1329.5</v>
      </c>
      <c r="W137">
        <v>73.5</v>
      </c>
      <c r="X137">
        <v>1080.8</v>
      </c>
      <c r="Y137">
        <v>205</v>
      </c>
      <c r="Z137">
        <v>388.5</v>
      </c>
      <c r="AA137">
        <v>615.5</v>
      </c>
      <c r="AB137">
        <v>895</v>
      </c>
      <c r="AC137" t="s">
        <v>54</v>
      </c>
      <c r="AD137" t="s">
        <v>57</v>
      </c>
      <c r="AE137" t="s">
        <v>64</v>
      </c>
      <c r="AF137" t="s">
        <v>64</v>
      </c>
      <c r="AG137" t="s">
        <v>64</v>
      </c>
      <c r="AH137">
        <v>73.5</v>
      </c>
      <c r="AI137">
        <v>205</v>
      </c>
      <c r="AJ137">
        <v>398.5</v>
      </c>
      <c r="AK137">
        <v>694.5</v>
      </c>
      <c r="AL137">
        <v>1003.5</v>
      </c>
      <c r="AM137" t="s">
        <v>54</v>
      </c>
      <c r="AN137" t="s">
        <v>57</v>
      </c>
      <c r="AO137" t="s">
        <v>64</v>
      </c>
      <c r="AP137" t="s">
        <v>64</v>
      </c>
      <c r="AQ137" t="s">
        <v>64</v>
      </c>
      <c r="AR137">
        <v>42</v>
      </c>
    </row>
    <row r="138" spans="1:44" hidden="1">
      <c r="A138" t="s">
        <v>352</v>
      </c>
      <c r="B138" t="s">
        <v>360</v>
      </c>
      <c r="C138" t="s">
        <v>361</v>
      </c>
      <c r="D138" t="s">
        <v>362</v>
      </c>
      <c r="F138" t="s">
        <v>48</v>
      </c>
      <c r="G138">
        <v>94</v>
      </c>
      <c r="H138" t="s">
        <v>95</v>
      </c>
      <c r="I138">
        <v>38551.25</v>
      </c>
      <c r="P138" t="s">
        <v>51</v>
      </c>
      <c r="S138">
        <v>300</v>
      </c>
      <c r="T138" t="s">
        <v>363</v>
      </c>
      <c r="U138" t="s">
        <v>364</v>
      </c>
      <c r="V138">
        <v>406</v>
      </c>
      <c r="W138">
        <v>19.5</v>
      </c>
      <c r="X138">
        <v>353.5</v>
      </c>
      <c r="Y138">
        <v>65.5</v>
      </c>
      <c r="Z138">
        <v>102.5</v>
      </c>
      <c r="AA138">
        <v>213</v>
      </c>
      <c r="AB138">
        <v>334</v>
      </c>
      <c r="AC138" t="s">
        <v>63</v>
      </c>
      <c r="AD138" t="s">
        <v>63</v>
      </c>
      <c r="AE138" t="s">
        <v>63</v>
      </c>
      <c r="AF138" t="s">
        <v>63</v>
      </c>
      <c r="AG138" t="s">
        <v>63</v>
      </c>
      <c r="AH138">
        <v>54.5</v>
      </c>
      <c r="AI138">
        <v>87.5</v>
      </c>
      <c r="AJ138">
        <v>145.5</v>
      </c>
      <c r="AK138">
        <v>228.5</v>
      </c>
      <c r="AL138">
        <v>406</v>
      </c>
      <c r="AM138" t="s">
        <v>63</v>
      </c>
      <c r="AN138" t="s">
        <v>63</v>
      </c>
      <c r="AO138" t="s">
        <v>63</v>
      </c>
      <c r="AP138" t="s">
        <v>63</v>
      </c>
      <c r="AQ138" t="s">
        <v>54</v>
      </c>
      <c r="AR138">
        <v>20</v>
      </c>
    </row>
    <row r="139" spans="1:44" hidden="1">
      <c r="A139" t="s">
        <v>352</v>
      </c>
      <c r="B139" t="s">
        <v>360</v>
      </c>
      <c r="C139" t="s">
        <v>365</v>
      </c>
      <c r="D139" t="s">
        <v>366</v>
      </c>
      <c r="F139" t="s">
        <v>127</v>
      </c>
      <c r="G139">
        <v>94</v>
      </c>
      <c r="H139" t="s">
        <v>95</v>
      </c>
      <c r="I139">
        <v>38551.208333333336</v>
      </c>
      <c r="P139" t="s">
        <v>51</v>
      </c>
      <c r="S139">
        <v>300</v>
      </c>
      <c r="T139" t="s">
        <v>367</v>
      </c>
      <c r="U139" t="s">
        <v>368</v>
      </c>
      <c r="V139">
        <v>290.5</v>
      </c>
      <c r="W139">
        <v>14</v>
      </c>
      <c r="X139">
        <v>259</v>
      </c>
      <c r="Y139">
        <v>102.5</v>
      </c>
      <c r="Z139">
        <v>69.5</v>
      </c>
      <c r="AA139">
        <v>161</v>
      </c>
      <c r="AB139">
        <v>258</v>
      </c>
      <c r="AC139" t="s">
        <v>63</v>
      </c>
      <c r="AD139" t="s">
        <v>63</v>
      </c>
      <c r="AE139" t="s">
        <v>63</v>
      </c>
      <c r="AF139" t="s">
        <v>63</v>
      </c>
      <c r="AG139" t="s">
        <v>63</v>
      </c>
      <c r="AH139">
        <v>48</v>
      </c>
      <c r="AI139">
        <v>76</v>
      </c>
      <c r="AJ139">
        <v>114.5</v>
      </c>
      <c r="AK139">
        <v>182.5</v>
      </c>
      <c r="AL139">
        <v>290.5</v>
      </c>
      <c r="AM139" t="s">
        <v>63</v>
      </c>
      <c r="AN139" t="s">
        <v>63</v>
      </c>
      <c r="AO139" t="s">
        <v>63</v>
      </c>
      <c r="AP139" t="s">
        <v>63</v>
      </c>
      <c r="AQ139" t="s">
        <v>63</v>
      </c>
      <c r="AR139">
        <v>19</v>
      </c>
    </row>
    <row r="140" spans="1:44" hidden="1">
      <c r="A140" t="s">
        <v>352</v>
      </c>
      <c r="B140" t="s">
        <v>360</v>
      </c>
      <c r="C140" t="s">
        <v>369</v>
      </c>
      <c r="D140" t="s">
        <v>370</v>
      </c>
      <c r="F140" t="s">
        <v>48</v>
      </c>
      <c r="G140">
        <v>94</v>
      </c>
      <c r="H140" t="s">
        <v>95</v>
      </c>
      <c r="I140">
        <v>38551.208333333336</v>
      </c>
      <c r="P140" t="s">
        <v>51</v>
      </c>
      <c r="S140">
        <v>300</v>
      </c>
      <c r="T140" t="s">
        <v>363</v>
      </c>
      <c r="U140" t="s">
        <v>364</v>
      </c>
      <c r="V140">
        <v>406</v>
      </c>
      <c r="W140">
        <v>24</v>
      </c>
      <c r="X140">
        <v>334</v>
      </c>
      <c r="Y140">
        <v>61</v>
      </c>
      <c r="Z140">
        <v>115</v>
      </c>
      <c r="AA140">
        <v>224.5</v>
      </c>
      <c r="AB140">
        <v>353.5</v>
      </c>
      <c r="AC140" t="s">
        <v>63</v>
      </c>
      <c r="AD140" t="s">
        <v>63</v>
      </c>
      <c r="AE140" t="s">
        <v>63</v>
      </c>
      <c r="AF140" t="s">
        <v>63</v>
      </c>
      <c r="AG140" t="s">
        <v>63</v>
      </c>
      <c r="AH140">
        <v>54.5</v>
      </c>
      <c r="AI140">
        <v>87.5</v>
      </c>
      <c r="AJ140">
        <v>145.5</v>
      </c>
      <c r="AK140">
        <v>228.5</v>
      </c>
      <c r="AL140">
        <v>406</v>
      </c>
      <c r="AM140" t="s">
        <v>63</v>
      </c>
      <c r="AN140" t="s">
        <v>63</v>
      </c>
      <c r="AO140" t="s">
        <v>63</v>
      </c>
      <c r="AP140" t="s">
        <v>63</v>
      </c>
      <c r="AQ140" t="s">
        <v>54</v>
      </c>
      <c r="AR140">
        <v>19</v>
      </c>
    </row>
    <row r="141" spans="1:44" hidden="1">
      <c r="A141" t="s">
        <v>65</v>
      </c>
      <c r="B141" t="s">
        <v>66</v>
      </c>
      <c r="C141" t="s">
        <v>371</v>
      </c>
      <c r="D141" t="s">
        <v>372</v>
      </c>
      <c r="F141" t="s">
        <v>127</v>
      </c>
      <c r="G141">
        <v>93</v>
      </c>
      <c r="H141" t="s">
        <v>70</v>
      </c>
      <c r="I141">
        <v>38170.395833333336</v>
      </c>
      <c r="P141" t="s">
        <v>51</v>
      </c>
      <c r="S141">
        <v>200</v>
      </c>
      <c r="T141" t="s">
        <v>373</v>
      </c>
      <c r="U141" t="s">
        <v>374</v>
      </c>
      <c r="V141">
        <v>614</v>
      </c>
      <c r="W141">
        <v>125</v>
      </c>
      <c r="X141">
        <v>575.4</v>
      </c>
      <c r="Y141">
        <v>176.5</v>
      </c>
      <c r="Z141">
        <v>283.5</v>
      </c>
      <c r="AA141">
        <v>359</v>
      </c>
      <c r="AB141">
        <v>557.5</v>
      </c>
      <c r="AC141" t="s">
        <v>87</v>
      </c>
      <c r="AD141" t="s">
        <v>56</v>
      </c>
      <c r="AE141" t="s">
        <v>57</v>
      </c>
      <c r="AF141" t="s">
        <v>56</v>
      </c>
      <c r="AG141" t="s">
        <v>57</v>
      </c>
      <c r="AH141">
        <v>125</v>
      </c>
      <c r="AI141">
        <v>176.5</v>
      </c>
      <c r="AJ141">
        <v>283.5</v>
      </c>
      <c r="AK141">
        <v>370</v>
      </c>
      <c r="AL141">
        <v>576</v>
      </c>
      <c r="AM141" t="s">
        <v>87</v>
      </c>
      <c r="AN141" t="s">
        <v>56</v>
      </c>
      <c r="AO141" t="s">
        <v>57</v>
      </c>
      <c r="AP141" t="s">
        <v>56</v>
      </c>
      <c r="AQ141" t="s">
        <v>57</v>
      </c>
      <c r="AR141">
        <v>24</v>
      </c>
    </row>
    <row r="142" spans="1:44" hidden="1">
      <c r="A142" t="s">
        <v>76</v>
      </c>
      <c r="B142" t="s">
        <v>77</v>
      </c>
      <c r="C142" t="s">
        <v>375</v>
      </c>
      <c r="D142" t="s">
        <v>376</v>
      </c>
      <c r="F142" t="s">
        <v>127</v>
      </c>
      <c r="G142">
        <v>90</v>
      </c>
      <c r="H142" t="s">
        <v>80</v>
      </c>
      <c r="I142">
        <v>37102</v>
      </c>
      <c r="P142" t="s">
        <v>60</v>
      </c>
      <c r="S142" t="s">
        <v>81</v>
      </c>
      <c r="T142" t="s">
        <v>377</v>
      </c>
      <c r="U142" t="s">
        <v>378</v>
      </c>
      <c r="V142">
        <v>283</v>
      </c>
      <c r="W142">
        <v>112</v>
      </c>
      <c r="X142">
        <v>213.9</v>
      </c>
      <c r="Y142">
        <v>193</v>
      </c>
      <c r="Z142">
        <v>225.5</v>
      </c>
      <c r="AA142">
        <v>231.5</v>
      </c>
      <c r="AB142">
        <v>231.5</v>
      </c>
      <c r="AC142" t="s">
        <v>58</v>
      </c>
      <c r="AD142" t="s">
        <v>57</v>
      </c>
      <c r="AE142" t="s">
        <v>55</v>
      </c>
      <c r="AF142" t="s">
        <v>63</v>
      </c>
      <c r="AG142" t="s">
        <v>63</v>
      </c>
      <c r="AH142">
        <v>112</v>
      </c>
      <c r="AI142">
        <v>193</v>
      </c>
      <c r="AJ142">
        <v>238.5</v>
      </c>
      <c r="AK142">
        <v>278.5</v>
      </c>
      <c r="AL142">
        <v>283</v>
      </c>
      <c r="AM142" t="s">
        <v>58</v>
      </c>
      <c r="AN142" t="s">
        <v>57</v>
      </c>
      <c r="AO142" t="s">
        <v>56</v>
      </c>
      <c r="AP142" t="s">
        <v>54</v>
      </c>
      <c r="AQ142" t="s">
        <v>63</v>
      </c>
      <c r="AR142">
        <v>7</v>
      </c>
    </row>
    <row r="143" spans="1:44" hidden="1">
      <c r="A143" t="s">
        <v>76</v>
      </c>
      <c r="B143" t="s">
        <v>77</v>
      </c>
      <c r="C143" t="s">
        <v>379</v>
      </c>
      <c r="D143" t="s">
        <v>380</v>
      </c>
      <c r="F143" t="s">
        <v>127</v>
      </c>
      <c r="G143">
        <v>90</v>
      </c>
      <c r="H143" t="s">
        <v>80</v>
      </c>
      <c r="I143">
        <v>37102</v>
      </c>
      <c r="P143" t="s">
        <v>60</v>
      </c>
      <c r="S143" t="s">
        <v>81</v>
      </c>
      <c r="T143" t="s">
        <v>377</v>
      </c>
      <c r="U143" t="s">
        <v>378</v>
      </c>
      <c r="V143">
        <v>283</v>
      </c>
      <c r="W143">
        <v>112</v>
      </c>
      <c r="X143">
        <v>213.9</v>
      </c>
      <c r="Y143">
        <v>193</v>
      </c>
      <c r="Z143">
        <v>225.5</v>
      </c>
      <c r="AA143">
        <v>231.5</v>
      </c>
      <c r="AB143">
        <v>231.5</v>
      </c>
      <c r="AC143" t="s">
        <v>58</v>
      </c>
      <c r="AD143" t="s">
        <v>57</v>
      </c>
      <c r="AE143" t="s">
        <v>55</v>
      </c>
      <c r="AF143" t="s">
        <v>63</v>
      </c>
      <c r="AG143" t="s">
        <v>63</v>
      </c>
      <c r="AH143">
        <v>112</v>
      </c>
      <c r="AI143">
        <v>193</v>
      </c>
      <c r="AJ143">
        <v>238.5</v>
      </c>
      <c r="AK143">
        <v>278.5</v>
      </c>
      <c r="AL143">
        <v>283</v>
      </c>
      <c r="AM143" t="s">
        <v>58</v>
      </c>
      <c r="AN143" t="s">
        <v>57</v>
      </c>
      <c r="AO143" t="s">
        <v>56</v>
      </c>
      <c r="AP143" t="s">
        <v>54</v>
      </c>
      <c r="AQ143" t="s">
        <v>63</v>
      </c>
      <c r="AR143">
        <v>7</v>
      </c>
    </row>
    <row r="144" spans="1:44" hidden="1">
      <c r="A144" t="s">
        <v>76</v>
      </c>
      <c r="B144" t="s">
        <v>77</v>
      </c>
      <c r="C144" t="s">
        <v>78</v>
      </c>
      <c r="D144" t="s">
        <v>381</v>
      </c>
      <c r="F144" t="s">
        <v>48</v>
      </c>
      <c r="G144">
        <v>93</v>
      </c>
      <c r="H144" t="s">
        <v>70</v>
      </c>
      <c r="I144">
        <v>38171</v>
      </c>
      <c r="P144" t="s">
        <v>51</v>
      </c>
      <c r="S144">
        <v>200</v>
      </c>
      <c r="T144" t="s">
        <v>82</v>
      </c>
      <c r="U144" t="s">
        <v>83</v>
      </c>
      <c r="V144">
        <v>507</v>
      </c>
      <c r="W144">
        <v>55.5</v>
      </c>
      <c r="X144">
        <v>426.5</v>
      </c>
      <c r="Y144">
        <v>111.5</v>
      </c>
      <c r="Z144">
        <v>159.5</v>
      </c>
      <c r="AA144">
        <v>198</v>
      </c>
      <c r="AB144">
        <v>366</v>
      </c>
      <c r="AC144" t="s">
        <v>63</v>
      </c>
      <c r="AD144" t="s">
        <v>63</v>
      </c>
      <c r="AE144" t="s">
        <v>63</v>
      </c>
      <c r="AF144" t="s">
        <v>63</v>
      </c>
      <c r="AG144" t="s">
        <v>54</v>
      </c>
      <c r="AH144">
        <v>55.5</v>
      </c>
      <c r="AI144">
        <v>111.5</v>
      </c>
      <c r="AJ144">
        <v>159.5</v>
      </c>
      <c r="AK144">
        <v>257</v>
      </c>
      <c r="AL144">
        <v>366</v>
      </c>
      <c r="AM144" t="s">
        <v>63</v>
      </c>
      <c r="AN144" t="s">
        <v>63</v>
      </c>
      <c r="AO144" t="s">
        <v>63</v>
      </c>
      <c r="AP144" t="s">
        <v>54</v>
      </c>
      <c r="AQ144" t="s">
        <v>54</v>
      </c>
      <c r="AR144">
        <v>25</v>
      </c>
    </row>
    <row r="145" spans="1:44">
      <c r="A145" t="s">
        <v>76</v>
      </c>
      <c r="B145" t="s">
        <v>77</v>
      </c>
      <c r="C145" t="s">
        <v>78</v>
      </c>
      <c r="D145" t="s">
        <v>382</v>
      </c>
      <c r="F145" t="s">
        <v>127</v>
      </c>
      <c r="G145">
        <v>112</v>
      </c>
      <c r="H145" t="s">
        <v>88</v>
      </c>
      <c r="I145">
        <v>45142.625</v>
      </c>
      <c r="P145" t="s">
        <v>51</v>
      </c>
      <c r="S145">
        <v>300</v>
      </c>
      <c r="T145" t="s">
        <v>89</v>
      </c>
      <c r="U145" t="s">
        <v>90</v>
      </c>
      <c r="V145">
        <v>864</v>
      </c>
      <c r="W145">
        <v>49</v>
      </c>
      <c r="X145">
        <v>648</v>
      </c>
      <c r="Y145">
        <v>115</v>
      </c>
      <c r="Z145">
        <v>260.5</v>
      </c>
      <c r="AA145">
        <v>425.5</v>
      </c>
      <c r="AB145">
        <v>628</v>
      </c>
      <c r="AC145" t="s">
        <v>63</v>
      </c>
      <c r="AD145" t="s">
        <v>63</v>
      </c>
      <c r="AE145" t="s">
        <v>57</v>
      </c>
      <c r="AF145" t="s">
        <v>87</v>
      </c>
      <c r="AG145" t="s">
        <v>64</v>
      </c>
      <c r="AH145">
        <v>112.5</v>
      </c>
      <c r="AI145">
        <v>225</v>
      </c>
      <c r="AJ145">
        <v>384</v>
      </c>
      <c r="AK145">
        <v>542</v>
      </c>
      <c r="AL145">
        <v>783.5</v>
      </c>
      <c r="AM145" t="s">
        <v>87</v>
      </c>
      <c r="AN145" t="s">
        <v>87</v>
      </c>
      <c r="AO145" t="s">
        <v>64</v>
      </c>
      <c r="AP145" t="s">
        <v>64</v>
      </c>
      <c r="AQ145" t="s">
        <v>64</v>
      </c>
      <c r="AR145">
        <v>37</v>
      </c>
    </row>
    <row r="146" spans="1:44">
      <c r="A146" t="s">
        <v>76</v>
      </c>
      <c r="B146" t="s">
        <v>77</v>
      </c>
      <c r="C146" t="s">
        <v>78</v>
      </c>
      <c r="D146" t="s">
        <v>383</v>
      </c>
      <c r="F146" t="s">
        <v>127</v>
      </c>
      <c r="G146">
        <v>112</v>
      </c>
      <c r="H146" t="s">
        <v>88</v>
      </c>
      <c r="I146">
        <v>45142.416666666664</v>
      </c>
      <c r="P146" t="s">
        <v>51</v>
      </c>
      <c r="S146">
        <v>300</v>
      </c>
      <c r="T146" t="s">
        <v>89</v>
      </c>
      <c r="U146" t="s">
        <v>90</v>
      </c>
      <c r="V146">
        <v>864</v>
      </c>
      <c r="W146">
        <v>19</v>
      </c>
      <c r="X146">
        <v>431</v>
      </c>
      <c r="Y146">
        <v>41.5</v>
      </c>
      <c r="Z146">
        <v>165</v>
      </c>
      <c r="AA146">
        <v>277.5</v>
      </c>
      <c r="AB146">
        <v>390</v>
      </c>
      <c r="AC146" t="s">
        <v>63</v>
      </c>
      <c r="AD146" t="s">
        <v>63</v>
      </c>
      <c r="AE146" t="s">
        <v>63</v>
      </c>
      <c r="AF146" t="s">
        <v>55</v>
      </c>
      <c r="AG146" t="s">
        <v>55</v>
      </c>
      <c r="AH146">
        <v>112.5</v>
      </c>
      <c r="AI146">
        <v>225</v>
      </c>
      <c r="AJ146">
        <v>384</v>
      </c>
      <c r="AK146">
        <v>542</v>
      </c>
      <c r="AL146">
        <v>783.5</v>
      </c>
      <c r="AM146" t="s">
        <v>87</v>
      </c>
      <c r="AN146" t="s">
        <v>87</v>
      </c>
      <c r="AO146" t="s">
        <v>64</v>
      </c>
      <c r="AP146" t="s">
        <v>64</v>
      </c>
      <c r="AQ146" t="s">
        <v>64</v>
      </c>
      <c r="AR146">
        <v>32</v>
      </c>
    </row>
    <row r="147" spans="1:44" hidden="1">
      <c r="A147" t="s">
        <v>76</v>
      </c>
      <c r="B147" t="s">
        <v>77</v>
      </c>
      <c r="C147" t="s">
        <v>78</v>
      </c>
      <c r="D147" t="s">
        <v>384</v>
      </c>
      <c r="F147" t="s">
        <v>48</v>
      </c>
      <c r="G147">
        <v>93</v>
      </c>
      <c r="H147" t="s">
        <v>70</v>
      </c>
      <c r="I147">
        <v>38171</v>
      </c>
      <c r="P147" t="s">
        <v>51</v>
      </c>
      <c r="S147">
        <v>200</v>
      </c>
      <c r="T147" t="s">
        <v>82</v>
      </c>
      <c r="U147" t="s">
        <v>83</v>
      </c>
      <c r="V147">
        <v>507</v>
      </c>
      <c r="W147">
        <v>55.5</v>
      </c>
      <c r="X147">
        <v>426.5</v>
      </c>
      <c r="Y147">
        <v>111.5</v>
      </c>
      <c r="Z147">
        <v>159.5</v>
      </c>
      <c r="AA147">
        <v>198</v>
      </c>
      <c r="AB147">
        <v>366</v>
      </c>
      <c r="AC147" t="s">
        <v>63</v>
      </c>
      <c r="AD147" t="s">
        <v>63</v>
      </c>
      <c r="AE147" t="s">
        <v>63</v>
      </c>
      <c r="AF147" t="s">
        <v>63</v>
      </c>
      <c r="AG147" t="s">
        <v>54</v>
      </c>
      <c r="AH147">
        <v>55.5</v>
      </c>
      <c r="AI147">
        <v>111.5</v>
      </c>
      <c r="AJ147">
        <v>159.5</v>
      </c>
      <c r="AK147">
        <v>257</v>
      </c>
      <c r="AL147">
        <v>366</v>
      </c>
      <c r="AM147" t="s">
        <v>63</v>
      </c>
      <c r="AN147" t="s">
        <v>63</v>
      </c>
      <c r="AO147" t="s">
        <v>63</v>
      </c>
      <c r="AP147" t="s">
        <v>54</v>
      </c>
      <c r="AQ147" t="s">
        <v>54</v>
      </c>
      <c r="AR147">
        <v>25</v>
      </c>
    </row>
    <row r="148" spans="1:44">
      <c r="A148" t="s">
        <v>76</v>
      </c>
      <c r="B148" t="s">
        <v>77</v>
      </c>
      <c r="C148" t="s">
        <v>385</v>
      </c>
      <c r="D148" t="s">
        <v>386</v>
      </c>
      <c r="F148" t="s">
        <v>127</v>
      </c>
      <c r="G148">
        <v>112</v>
      </c>
      <c r="H148" t="s">
        <v>88</v>
      </c>
      <c r="I148">
        <v>45142.625</v>
      </c>
      <c r="P148" t="s">
        <v>51</v>
      </c>
      <c r="S148">
        <v>300</v>
      </c>
      <c r="T148" t="s">
        <v>387</v>
      </c>
      <c r="U148" t="s">
        <v>388</v>
      </c>
      <c r="V148">
        <v>755</v>
      </c>
      <c r="W148">
        <v>89</v>
      </c>
      <c r="X148">
        <v>540</v>
      </c>
      <c r="Y148">
        <v>223.5</v>
      </c>
      <c r="Z148">
        <v>307</v>
      </c>
      <c r="AA148">
        <v>460.5</v>
      </c>
      <c r="AB148">
        <v>566.5</v>
      </c>
      <c r="AC148" t="s">
        <v>56</v>
      </c>
      <c r="AD148" t="s">
        <v>58</v>
      </c>
      <c r="AE148" t="s">
        <v>58</v>
      </c>
      <c r="AF148" t="s">
        <v>87</v>
      </c>
      <c r="AG148" t="s">
        <v>57</v>
      </c>
      <c r="AH148">
        <v>114</v>
      </c>
      <c r="AI148">
        <v>265</v>
      </c>
      <c r="AJ148">
        <v>454</v>
      </c>
      <c r="AK148">
        <v>576.5</v>
      </c>
      <c r="AL148">
        <v>712.5</v>
      </c>
      <c r="AM148" t="s">
        <v>58</v>
      </c>
      <c r="AN148" t="s">
        <v>64</v>
      </c>
      <c r="AO148" t="s">
        <v>64</v>
      </c>
      <c r="AP148" t="s">
        <v>64</v>
      </c>
      <c r="AQ148" t="s">
        <v>64</v>
      </c>
      <c r="AR148">
        <v>37</v>
      </c>
    </row>
    <row r="149" spans="1:44">
      <c r="A149" t="s">
        <v>76</v>
      </c>
      <c r="B149" t="s">
        <v>77</v>
      </c>
      <c r="C149" t="s">
        <v>389</v>
      </c>
      <c r="D149" t="s">
        <v>390</v>
      </c>
      <c r="F149" t="s">
        <v>48</v>
      </c>
      <c r="G149">
        <v>97</v>
      </c>
      <c r="H149" t="s">
        <v>124</v>
      </c>
      <c r="I149">
        <v>39647.083333333336</v>
      </c>
      <c r="P149" t="s">
        <v>51</v>
      </c>
      <c r="S149">
        <v>250</v>
      </c>
      <c r="T149" t="s">
        <v>391</v>
      </c>
      <c r="U149" t="s">
        <v>392</v>
      </c>
      <c r="V149">
        <v>391.5</v>
      </c>
      <c r="W149">
        <v>40.5</v>
      </c>
      <c r="X149">
        <v>198.4</v>
      </c>
      <c r="Y149">
        <v>159</v>
      </c>
      <c r="Z149">
        <v>177</v>
      </c>
      <c r="AA149">
        <v>187</v>
      </c>
      <c r="AB149">
        <v>187</v>
      </c>
      <c r="AC149" t="s">
        <v>63</v>
      </c>
      <c r="AD149" t="s">
        <v>55</v>
      </c>
      <c r="AE149" t="s">
        <v>63</v>
      </c>
      <c r="AF149" t="s">
        <v>63</v>
      </c>
      <c r="AG149" t="s">
        <v>63</v>
      </c>
      <c r="AH149">
        <v>85.5</v>
      </c>
      <c r="AI149">
        <v>162</v>
      </c>
      <c r="AJ149">
        <v>312</v>
      </c>
      <c r="AK149">
        <v>368.5</v>
      </c>
      <c r="AL149">
        <v>391.5</v>
      </c>
      <c r="AM149" t="s">
        <v>55</v>
      </c>
      <c r="AN149" t="s">
        <v>55</v>
      </c>
      <c r="AO149" t="s">
        <v>58</v>
      </c>
      <c r="AP149" t="s">
        <v>56</v>
      </c>
      <c r="AQ149" t="s">
        <v>54</v>
      </c>
      <c r="AR149">
        <v>11</v>
      </c>
    </row>
    <row r="150" spans="1:44" hidden="1">
      <c r="A150" t="s">
        <v>76</v>
      </c>
      <c r="B150" t="s">
        <v>77</v>
      </c>
      <c r="C150" t="s">
        <v>389</v>
      </c>
      <c r="D150" t="s">
        <v>393</v>
      </c>
      <c r="F150" t="s">
        <v>48</v>
      </c>
      <c r="G150">
        <v>90</v>
      </c>
      <c r="H150" t="s">
        <v>80</v>
      </c>
      <c r="I150">
        <v>37102</v>
      </c>
      <c r="P150" t="s">
        <v>60</v>
      </c>
      <c r="S150" t="s">
        <v>81</v>
      </c>
      <c r="T150" t="s">
        <v>391</v>
      </c>
      <c r="U150" t="s">
        <v>392</v>
      </c>
      <c r="V150">
        <v>355</v>
      </c>
      <c r="W150">
        <v>54.5</v>
      </c>
      <c r="X150">
        <v>227.3</v>
      </c>
      <c r="Y150">
        <v>69</v>
      </c>
      <c r="Z150">
        <v>187.5</v>
      </c>
      <c r="AA150">
        <v>223.5</v>
      </c>
      <c r="AB150">
        <v>223.5</v>
      </c>
      <c r="AC150" t="s">
        <v>63</v>
      </c>
      <c r="AD150" t="s">
        <v>63</v>
      </c>
      <c r="AE150" t="s">
        <v>54</v>
      </c>
      <c r="AF150" t="s">
        <v>63</v>
      </c>
      <c r="AG150" t="s">
        <v>63</v>
      </c>
      <c r="AH150">
        <v>54.5</v>
      </c>
      <c r="AI150">
        <v>146.5</v>
      </c>
      <c r="AJ150">
        <v>211</v>
      </c>
      <c r="AK150">
        <v>313.5</v>
      </c>
      <c r="AL150">
        <v>355</v>
      </c>
      <c r="AM150" t="s">
        <v>63</v>
      </c>
      <c r="AN150" t="s">
        <v>54</v>
      </c>
      <c r="AO150" t="s">
        <v>54</v>
      </c>
      <c r="AP150" t="s">
        <v>55</v>
      </c>
      <c r="AQ150" t="s">
        <v>54</v>
      </c>
      <c r="AR150">
        <v>11</v>
      </c>
    </row>
    <row r="151" spans="1:44" hidden="1">
      <c r="A151" t="s">
        <v>76</v>
      </c>
      <c r="B151" t="s">
        <v>77</v>
      </c>
      <c r="C151" t="s">
        <v>389</v>
      </c>
      <c r="D151" t="s">
        <v>394</v>
      </c>
      <c r="F151" t="s">
        <v>48</v>
      </c>
      <c r="G151">
        <v>90</v>
      </c>
      <c r="H151" t="s">
        <v>80</v>
      </c>
      <c r="I151">
        <v>37102</v>
      </c>
      <c r="P151" t="s">
        <v>60</v>
      </c>
      <c r="S151" t="s">
        <v>81</v>
      </c>
      <c r="T151" t="s">
        <v>391</v>
      </c>
      <c r="U151" t="s">
        <v>392</v>
      </c>
      <c r="V151">
        <v>355</v>
      </c>
      <c r="W151">
        <v>54.5</v>
      </c>
      <c r="X151">
        <v>227.3</v>
      </c>
      <c r="Y151">
        <v>69</v>
      </c>
      <c r="Z151">
        <v>187.5</v>
      </c>
      <c r="AA151">
        <v>223.5</v>
      </c>
      <c r="AB151">
        <v>223.5</v>
      </c>
      <c r="AC151" t="s">
        <v>63</v>
      </c>
      <c r="AD151" t="s">
        <v>63</v>
      </c>
      <c r="AE151" t="s">
        <v>54</v>
      </c>
      <c r="AF151" t="s">
        <v>63</v>
      </c>
      <c r="AG151" t="s">
        <v>63</v>
      </c>
      <c r="AH151">
        <v>54.5</v>
      </c>
      <c r="AI151">
        <v>146.5</v>
      </c>
      <c r="AJ151">
        <v>211</v>
      </c>
      <c r="AK151">
        <v>313.5</v>
      </c>
      <c r="AL151">
        <v>355</v>
      </c>
      <c r="AM151" t="s">
        <v>63</v>
      </c>
      <c r="AN151" t="s">
        <v>54</v>
      </c>
      <c r="AO151" t="s">
        <v>54</v>
      </c>
      <c r="AP151" t="s">
        <v>55</v>
      </c>
      <c r="AQ151" t="s">
        <v>54</v>
      </c>
      <c r="AR151">
        <v>11</v>
      </c>
    </row>
    <row r="152" spans="1:44" hidden="1">
      <c r="A152" t="s">
        <v>76</v>
      </c>
      <c r="B152" t="s">
        <v>77</v>
      </c>
      <c r="C152" t="s">
        <v>395</v>
      </c>
      <c r="D152" t="s">
        <v>396</v>
      </c>
      <c r="F152" t="s">
        <v>48</v>
      </c>
      <c r="G152">
        <v>93</v>
      </c>
      <c r="H152" t="s">
        <v>70</v>
      </c>
      <c r="I152">
        <v>38171</v>
      </c>
      <c r="P152" t="s">
        <v>60</v>
      </c>
      <c r="S152">
        <v>200</v>
      </c>
      <c r="T152" t="s">
        <v>96</v>
      </c>
      <c r="U152" t="s">
        <v>97</v>
      </c>
      <c r="V152">
        <v>555</v>
      </c>
      <c r="W152">
        <v>43</v>
      </c>
      <c r="X152">
        <v>426.5</v>
      </c>
      <c r="Y152">
        <v>90</v>
      </c>
      <c r="Z152">
        <v>131.5</v>
      </c>
      <c r="AA152">
        <v>166.5</v>
      </c>
      <c r="AB152">
        <v>318</v>
      </c>
      <c r="AC152" t="s">
        <v>63</v>
      </c>
      <c r="AD152" t="s">
        <v>63</v>
      </c>
      <c r="AE152" t="s">
        <v>63</v>
      </c>
      <c r="AF152" t="s">
        <v>63</v>
      </c>
      <c r="AG152" t="s">
        <v>63</v>
      </c>
      <c r="AH152">
        <v>43</v>
      </c>
      <c r="AI152">
        <v>90</v>
      </c>
      <c r="AJ152">
        <v>148.5</v>
      </c>
      <c r="AK152">
        <v>248.5</v>
      </c>
      <c r="AL152">
        <v>329.5</v>
      </c>
      <c r="AM152" t="s">
        <v>63</v>
      </c>
      <c r="AN152" t="s">
        <v>63</v>
      </c>
      <c r="AO152" t="s">
        <v>63</v>
      </c>
      <c r="AP152" t="s">
        <v>63</v>
      </c>
      <c r="AQ152" t="s">
        <v>63</v>
      </c>
      <c r="AR152">
        <v>39</v>
      </c>
    </row>
    <row r="153" spans="1:44">
      <c r="A153" t="s">
        <v>76</v>
      </c>
      <c r="B153" t="s">
        <v>77</v>
      </c>
      <c r="C153" t="s">
        <v>397</v>
      </c>
      <c r="D153" t="s">
        <v>398</v>
      </c>
      <c r="E153" t="s">
        <v>399</v>
      </c>
      <c r="F153" t="s">
        <v>127</v>
      </c>
      <c r="G153">
        <v>101</v>
      </c>
      <c r="H153" t="s">
        <v>159</v>
      </c>
      <c r="I153">
        <v>41070.75</v>
      </c>
      <c r="P153" t="s">
        <v>51</v>
      </c>
      <c r="S153">
        <v>250</v>
      </c>
      <c r="T153" t="s">
        <v>391</v>
      </c>
      <c r="U153" t="s">
        <v>392</v>
      </c>
      <c r="V153">
        <v>221</v>
      </c>
      <c r="W153">
        <v>44.5</v>
      </c>
      <c r="X153">
        <v>247.1</v>
      </c>
      <c r="Y153">
        <v>89</v>
      </c>
      <c r="Z153">
        <v>159</v>
      </c>
      <c r="AA153">
        <v>204</v>
      </c>
      <c r="AB153">
        <v>204</v>
      </c>
      <c r="AC153" t="s">
        <v>63</v>
      </c>
      <c r="AD153" t="s">
        <v>63</v>
      </c>
      <c r="AE153" t="s">
        <v>63</v>
      </c>
      <c r="AF153" t="s">
        <v>63</v>
      </c>
      <c r="AG153" t="s">
        <v>63</v>
      </c>
      <c r="AH153">
        <v>45</v>
      </c>
      <c r="AI153">
        <v>89</v>
      </c>
      <c r="AJ153">
        <v>159</v>
      </c>
      <c r="AK153">
        <v>205</v>
      </c>
      <c r="AL153">
        <v>221</v>
      </c>
      <c r="AM153" t="s">
        <v>63</v>
      </c>
      <c r="AN153" t="s">
        <v>63</v>
      </c>
      <c r="AO153" t="s">
        <v>63</v>
      </c>
      <c r="AP153" t="s">
        <v>63</v>
      </c>
      <c r="AQ153" t="s">
        <v>63</v>
      </c>
      <c r="AR153">
        <v>11</v>
      </c>
    </row>
    <row r="154" spans="1:44">
      <c r="A154" t="s">
        <v>76</v>
      </c>
      <c r="B154" t="s">
        <v>77</v>
      </c>
      <c r="C154" t="s">
        <v>93</v>
      </c>
      <c r="D154" t="s">
        <v>400</v>
      </c>
      <c r="F154" t="s">
        <v>48</v>
      </c>
      <c r="G154">
        <v>112</v>
      </c>
      <c r="H154" t="s">
        <v>88</v>
      </c>
      <c r="I154">
        <v>45142.708333333336</v>
      </c>
      <c r="P154" t="s">
        <v>51</v>
      </c>
      <c r="S154">
        <v>300</v>
      </c>
      <c r="T154" t="s">
        <v>401</v>
      </c>
      <c r="U154" t="s">
        <v>83</v>
      </c>
      <c r="V154">
        <v>952.5</v>
      </c>
      <c r="W154">
        <v>9.5</v>
      </c>
      <c r="X154">
        <v>933</v>
      </c>
      <c r="Y154">
        <v>228.5</v>
      </c>
      <c r="Z154">
        <v>312</v>
      </c>
      <c r="AA154">
        <v>572</v>
      </c>
      <c r="AB154">
        <v>883.5</v>
      </c>
      <c r="AC154" t="s">
        <v>63</v>
      </c>
      <c r="AD154" t="s">
        <v>87</v>
      </c>
      <c r="AE154" t="s">
        <v>58</v>
      </c>
      <c r="AF154" t="s">
        <v>64</v>
      </c>
      <c r="AG154" t="s">
        <v>64</v>
      </c>
      <c r="AH154">
        <v>114</v>
      </c>
      <c r="AI154">
        <v>249</v>
      </c>
      <c r="AJ154">
        <v>381.5</v>
      </c>
      <c r="AK154">
        <v>611</v>
      </c>
      <c r="AL154">
        <v>885.5</v>
      </c>
      <c r="AM154" t="s">
        <v>58</v>
      </c>
      <c r="AN154" t="s">
        <v>64</v>
      </c>
      <c r="AO154" t="s">
        <v>64</v>
      </c>
      <c r="AP154" t="s">
        <v>64</v>
      </c>
      <c r="AQ154" t="s">
        <v>64</v>
      </c>
      <c r="AR154">
        <v>26</v>
      </c>
    </row>
    <row r="155" spans="1:44" hidden="1">
      <c r="A155" t="s">
        <v>76</v>
      </c>
      <c r="B155" t="s">
        <v>98</v>
      </c>
      <c r="C155" t="s">
        <v>402</v>
      </c>
      <c r="D155" t="s">
        <v>403</v>
      </c>
      <c r="F155" t="s">
        <v>48</v>
      </c>
      <c r="G155">
        <v>90</v>
      </c>
      <c r="H155" t="s">
        <v>80</v>
      </c>
      <c r="I155">
        <v>37102</v>
      </c>
      <c r="P155" t="s">
        <v>60</v>
      </c>
      <c r="S155" t="s">
        <v>81</v>
      </c>
      <c r="T155" t="s">
        <v>105</v>
      </c>
      <c r="U155" t="s">
        <v>106</v>
      </c>
      <c r="V155">
        <v>485.5</v>
      </c>
      <c r="W155">
        <v>130.5</v>
      </c>
      <c r="X155">
        <v>306.39999999999998</v>
      </c>
      <c r="Y155">
        <v>246</v>
      </c>
      <c r="Z155">
        <v>265</v>
      </c>
      <c r="AA155">
        <v>297.5</v>
      </c>
      <c r="AB155">
        <v>297.5</v>
      </c>
      <c r="AC155" t="s">
        <v>64</v>
      </c>
      <c r="AD155" t="s">
        <v>64</v>
      </c>
      <c r="AE155" t="s">
        <v>57</v>
      </c>
      <c r="AF155" t="s">
        <v>55</v>
      </c>
      <c r="AG155" t="s">
        <v>54</v>
      </c>
      <c r="AH155">
        <v>130.5</v>
      </c>
      <c r="AI155">
        <v>285.5</v>
      </c>
      <c r="AJ155">
        <v>403</v>
      </c>
      <c r="AK155">
        <v>454.5</v>
      </c>
      <c r="AL155">
        <v>485.5</v>
      </c>
      <c r="AM155" t="s">
        <v>64</v>
      </c>
      <c r="AN155" t="s">
        <v>64</v>
      </c>
      <c r="AO155" t="s">
        <v>64</v>
      </c>
      <c r="AP155" t="s">
        <v>64</v>
      </c>
      <c r="AQ155" t="s">
        <v>57</v>
      </c>
      <c r="AR155">
        <v>8</v>
      </c>
    </row>
    <row r="156" spans="1:44" hidden="1">
      <c r="A156" t="s">
        <v>76</v>
      </c>
      <c r="B156" t="s">
        <v>98</v>
      </c>
      <c r="C156" t="s">
        <v>402</v>
      </c>
      <c r="D156" t="s">
        <v>404</v>
      </c>
      <c r="F156" t="s">
        <v>48</v>
      </c>
      <c r="G156">
        <v>90</v>
      </c>
      <c r="H156" t="s">
        <v>80</v>
      </c>
      <c r="I156">
        <v>37102</v>
      </c>
      <c r="P156" t="s">
        <v>60</v>
      </c>
      <c r="S156" t="s">
        <v>81</v>
      </c>
      <c r="T156" t="s">
        <v>105</v>
      </c>
      <c r="U156" t="s">
        <v>106</v>
      </c>
      <c r="V156">
        <v>485.5</v>
      </c>
      <c r="W156">
        <v>130.5</v>
      </c>
      <c r="X156">
        <v>306.39999999999998</v>
      </c>
      <c r="Y156">
        <v>246</v>
      </c>
      <c r="Z156">
        <v>265</v>
      </c>
      <c r="AA156">
        <v>297.5</v>
      </c>
      <c r="AB156">
        <v>297.5</v>
      </c>
      <c r="AC156" t="s">
        <v>64</v>
      </c>
      <c r="AD156" t="s">
        <v>64</v>
      </c>
      <c r="AE156" t="s">
        <v>57</v>
      </c>
      <c r="AF156" t="s">
        <v>55</v>
      </c>
      <c r="AG156" t="s">
        <v>54</v>
      </c>
      <c r="AH156">
        <v>130.5</v>
      </c>
      <c r="AI156">
        <v>285.5</v>
      </c>
      <c r="AJ156">
        <v>403</v>
      </c>
      <c r="AK156">
        <v>454.5</v>
      </c>
      <c r="AL156">
        <v>485.5</v>
      </c>
      <c r="AM156" t="s">
        <v>64</v>
      </c>
      <c r="AN156" t="s">
        <v>64</v>
      </c>
      <c r="AO156" t="s">
        <v>64</v>
      </c>
      <c r="AP156" t="s">
        <v>64</v>
      </c>
      <c r="AQ156" t="s">
        <v>57</v>
      </c>
      <c r="AR156">
        <v>8</v>
      </c>
    </row>
    <row r="157" spans="1:44" hidden="1">
      <c r="A157" t="s">
        <v>76</v>
      </c>
      <c r="B157" t="s">
        <v>98</v>
      </c>
      <c r="C157" t="s">
        <v>402</v>
      </c>
      <c r="D157" t="s">
        <v>405</v>
      </c>
      <c r="F157" t="s">
        <v>127</v>
      </c>
      <c r="G157">
        <v>90</v>
      </c>
      <c r="H157" t="s">
        <v>80</v>
      </c>
      <c r="I157">
        <v>37102</v>
      </c>
      <c r="P157" t="s">
        <v>60</v>
      </c>
      <c r="S157" t="s">
        <v>81</v>
      </c>
      <c r="T157" t="s">
        <v>105</v>
      </c>
      <c r="U157" t="s">
        <v>106</v>
      </c>
      <c r="V157">
        <v>485.5</v>
      </c>
      <c r="W157">
        <v>130.5</v>
      </c>
      <c r="X157">
        <v>306.39999999999998</v>
      </c>
      <c r="Y157">
        <v>246</v>
      </c>
      <c r="Z157">
        <v>265</v>
      </c>
      <c r="AA157">
        <v>297.5</v>
      </c>
      <c r="AB157">
        <v>297.5</v>
      </c>
      <c r="AC157" t="s">
        <v>64</v>
      </c>
      <c r="AD157" t="s">
        <v>64</v>
      </c>
      <c r="AE157" t="s">
        <v>57</v>
      </c>
      <c r="AF157" t="s">
        <v>55</v>
      </c>
      <c r="AG157" t="s">
        <v>54</v>
      </c>
      <c r="AH157">
        <v>130.5</v>
      </c>
      <c r="AI157">
        <v>285.5</v>
      </c>
      <c r="AJ157">
        <v>403</v>
      </c>
      <c r="AK157">
        <v>454.5</v>
      </c>
      <c r="AL157">
        <v>485.5</v>
      </c>
      <c r="AM157" t="s">
        <v>64</v>
      </c>
      <c r="AN157" t="s">
        <v>64</v>
      </c>
      <c r="AO157" t="s">
        <v>64</v>
      </c>
      <c r="AP157" t="s">
        <v>64</v>
      </c>
      <c r="AQ157" t="s">
        <v>57</v>
      </c>
      <c r="AR157">
        <v>8</v>
      </c>
    </row>
    <row r="158" spans="1:44" hidden="1">
      <c r="A158" t="s">
        <v>76</v>
      </c>
      <c r="B158" t="s">
        <v>98</v>
      </c>
      <c r="C158" t="s">
        <v>369</v>
      </c>
      <c r="D158" t="s">
        <v>406</v>
      </c>
      <c r="F158" t="s">
        <v>48</v>
      </c>
      <c r="G158">
        <v>90</v>
      </c>
      <c r="H158" t="s">
        <v>80</v>
      </c>
      <c r="I158">
        <v>37102.25</v>
      </c>
      <c r="P158" t="s">
        <v>60</v>
      </c>
      <c r="S158" t="s">
        <v>81</v>
      </c>
      <c r="T158" t="s">
        <v>105</v>
      </c>
      <c r="U158" t="s">
        <v>106</v>
      </c>
      <c r="V158">
        <v>485.5</v>
      </c>
      <c r="W158">
        <v>86.5</v>
      </c>
      <c r="X158">
        <v>175.4</v>
      </c>
      <c r="Y158">
        <v>126</v>
      </c>
      <c r="Z158">
        <v>137.5</v>
      </c>
      <c r="AA158">
        <v>167</v>
      </c>
      <c r="AB158">
        <v>167</v>
      </c>
      <c r="AC158" t="s">
        <v>56</v>
      </c>
      <c r="AD158" t="s">
        <v>54</v>
      </c>
      <c r="AE158" t="s">
        <v>63</v>
      </c>
      <c r="AF158" t="s">
        <v>63</v>
      </c>
      <c r="AG158" t="s">
        <v>63</v>
      </c>
      <c r="AH158">
        <v>130.5</v>
      </c>
      <c r="AI158">
        <v>285.5</v>
      </c>
      <c r="AJ158">
        <v>403</v>
      </c>
      <c r="AK158">
        <v>454.5</v>
      </c>
      <c r="AL158">
        <v>485.5</v>
      </c>
      <c r="AM158" t="s">
        <v>64</v>
      </c>
      <c r="AN158" t="s">
        <v>64</v>
      </c>
      <c r="AO158" t="s">
        <v>64</v>
      </c>
      <c r="AP158" t="s">
        <v>64</v>
      </c>
      <c r="AQ158" t="s">
        <v>57</v>
      </c>
      <c r="AR158">
        <v>8</v>
      </c>
    </row>
    <row r="159" spans="1:44" hidden="1">
      <c r="A159" t="s">
        <v>76</v>
      </c>
      <c r="B159" t="s">
        <v>98</v>
      </c>
      <c r="C159" t="s">
        <v>99</v>
      </c>
      <c r="D159" t="s">
        <v>407</v>
      </c>
      <c r="F159" t="s">
        <v>48</v>
      </c>
      <c r="G159">
        <v>90</v>
      </c>
      <c r="H159" t="s">
        <v>80</v>
      </c>
      <c r="I159">
        <v>37102.291666666664</v>
      </c>
      <c r="P159" t="s">
        <v>60</v>
      </c>
      <c r="S159" t="s">
        <v>81</v>
      </c>
      <c r="T159" t="s">
        <v>105</v>
      </c>
      <c r="U159" t="s">
        <v>106</v>
      </c>
      <c r="V159">
        <v>485.5</v>
      </c>
      <c r="W159">
        <v>130.5</v>
      </c>
      <c r="X159">
        <v>306.39999999999998</v>
      </c>
      <c r="Y159">
        <v>246</v>
      </c>
      <c r="Z159">
        <v>265</v>
      </c>
      <c r="AA159">
        <v>297.5</v>
      </c>
      <c r="AB159">
        <v>297.5</v>
      </c>
      <c r="AC159" t="s">
        <v>64</v>
      </c>
      <c r="AD159" t="s">
        <v>64</v>
      </c>
      <c r="AE159" t="s">
        <v>57</v>
      </c>
      <c r="AF159" t="s">
        <v>55</v>
      </c>
      <c r="AG159" t="s">
        <v>54</v>
      </c>
      <c r="AH159">
        <v>130.5</v>
      </c>
      <c r="AI159">
        <v>285.5</v>
      </c>
      <c r="AJ159">
        <v>403</v>
      </c>
      <c r="AK159">
        <v>454.5</v>
      </c>
      <c r="AL159">
        <v>485.5</v>
      </c>
      <c r="AM159" t="s">
        <v>64</v>
      </c>
      <c r="AN159" t="s">
        <v>64</v>
      </c>
      <c r="AO159" t="s">
        <v>64</v>
      </c>
      <c r="AP159" t="s">
        <v>64</v>
      </c>
      <c r="AQ159" t="s">
        <v>57</v>
      </c>
      <c r="AR159">
        <v>8</v>
      </c>
    </row>
    <row r="160" spans="1:44" hidden="1">
      <c r="A160" t="s">
        <v>76</v>
      </c>
      <c r="B160" t="s">
        <v>98</v>
      </c>
      <c r="C160" t="s">
        <v>99</v>
      </c>
      <c r="D160" t="s">
        <v>408</v>
      </c>
      <c r="F160" t="s">
        <v>127</v>
      </c>
      <c r="G160">
        <v>90</v>
      </c>
      <c r="H160" t="s">
        <v>80</v>
      </c>
      <c r="I160">
        <v>37102.25</v>
      </c>
      <c r="P160" t="s">
        <v>60</v>
      </c>
      <c r="S160" t="s">
        <v>81</v>
      </c>
      <c r="T160" t="s">
        <v>105</v>
      </c>
      <c r="U160" t="s">
        <v>106</v>
      </c>
      <c r="V160">
        <v>485.5</v>
      </c>
      <c r="W160">
        <v>86.5</v>
      </c>
      <c r="X160">
        <v>175.4</v>
      </c>
      <c r="Y160">
        <v>126</v>
      </c>
      <c r="Z160">
        <v>137.5</v>
      </c>
      <c r="AA160">
        <v>167</v>
      </c>
      <c r="AB160">
        <v>167</v>
      </c>
      <c r="AC160" t="s">
        <v>56</v>
      </c>
      <c r="AD160" t="s">
        <v>54</v>
      </c>
      <c r="AE160" t="s">
        <v>63</v>
      </c>
      <c r="AF160" t="s">
        <v>63</v>
      </c>
      <c r="AG160" t="s">
        <v>63</v>
      </c>
      <c r="AH160">
        <v>130.5</v>
      </c>
      <c r="AI160">
        <v>285.5</v>
      </c>
      <c r="AJ160">
        <v>403</v>
      </c>
      <c r="AK160">
        <v>454.5</v>
      </c>
      <c r="AL160">
        <v>485.5</v>
      </c>
      <c r="AM160" t="s">
        <v>64</v>
      </c>
      <c r="AN160" t="s">
        <v>64</v>
      </c>
      <c r="AO160" t="s">
        <v>64</v>
      </c>
      <c r="AP160" t="s">
        <v>64</v>
      </c>
      <c r="AQ160" t="s">
        <v>57</v>
      </c>
      <c r="AR160">
        <v>8</v>
      </c>
    </row>
    <row r="161" spans="1:44" hidden="1">
      <c r="A161" t="s">
        <v>76</v>
      </c>
      <c r="B161" t="s">
        <v>98</v>
      </c>
      <c r="C161" t="s">
        <v>99</v>
      </c>
      <c r="D161" t="s">
        <v>409</v>
      </c>
      <c r="F161" t="s">
        <v>48</v>
      </c>
      <c r="G161">
        <v>90</v>
      </c>
      <c r="H161" t="s">
        <v>80</v>
      </c>
      <c r="I161">
        <v>37102.291666666664</v>
      </c>
      <c r="P161" t="s">
        <v>60</v>
      </c>
      <c r="S161" t="s">
        <v>81</v>
      </c>
      <c r="T161" t="s">
        <v>105</v>
      </c>
      <c r="U161" t="s">
        <v>106</v>
      </c>
      <c r="V161">
        <v>485.5</v>
      </c>
      <c r="W161">
        <v>130.5</v>
      </c>
      <c r="X161">
        <v>306.39999999999998</v>
      </c>
      <c r="Y161">
        <v>246</v>
      </c>
      <c r="Z161">
        <v>265</v>
      </c>
      <c r="AA161">
        <v>297.5</v>
      </c>
      <c r="AB161">
        <v>297.5</v>
      </c>
      <c r="AC161" t="s">
        <v>64</v>
      </c>
      <c r="AD161" t="s">
        <v>64</v>
      </c>
      <c r="AE161" t="s">
        <v>57</v>
      </c>
      <c r="AF161" t="s">
        <v>55</v>
      </c>
      <c r="AG161" t="s">
        <v>54</v>
      </c>
      <c r="AH161">
        <v>130.5</v>
      </c>
      <c r="AI161">
        <v>285.5</v>
      </c>
      <c r="AJ161">
        <v>403</v>
      </c>
      <c r="AK161">
        <v>454.5</v>
      </c>
      <c r="AL161">
        <v>485.5</v>
      </c>
      <c r="AM161" t="s">
        <v>64</v>
      </c>
      <c r="AN161" t="s">
        <v>64</v>
      </c>
      <c r="AO161" t="s">
        <v>64</v>
      </c>
      <c r="AP161" t="s">
        <v>64</v>
      </c>
      <c r="AQ161" t="s">
        <v>57</v>
      </c>
      <c r="AR161">
        <v>8</v>
      </c>
    </row>
    <row r="162" spans="1:44" hidden="1">
      <c r="A162" t="s">
        <v>76</v>
      </c>
      <c r="B162" t="s">
        <v>98</v>
      </c>
      <c r="C162" t="s">
        <v>111</v>
      </c>
      <c r="D162" t="s">
        <v>410</v>
      </c>
      <c r="E162" t="s">
        <v>411</v>
      </c>
      <c r="F162" t="s">
        <v>48</v>
      </c>
      <c r="G162">
        <v>90</v>
      </c>
      <c r="H162" t="s">
        <v>80</v>
      </c>
      <c r="I162">
        <v>37102.291666666664</v>
      </c>
      <c r="P162" t="s">
        <v>60</v>
      </c>
      <c r="S162" t="s">
        <v>81</v>
      </c>
      <c r="T162" t="s">
        <v>105</v>
      </c>
      <c r="U162" t="s">
        <v>106</v>
      </c>
      <c r="V162">
        <v>485.5</v>
      </c>
      <c r="W162">
        <v>130.5</v>
      </c>
      <c r="X162">
        <v>306.39999999999998</v>
      </c>
      <c r="Y162">
        <v>246</v>
      </c>
      <c r="Z162">
        <v>265</v>
      </c>
      <c r="AA162">
        <v>297.5</v>
      </c>
      <c r="AB162">
        <v>297.5</v>
      </c>
      <c r="AC162" t="s">
        <v>64</v>
      </c>
      <c r="AD162" t="s">
        <v>64</v>
      </c>
      <c r="AE162" t="s">
        <v>57</v>
      </c>
      <c r="AF162" t="s">
        <v>55</v>
      </c>
      <c r="AG162" t="s">
        <v>54</v>
      </c>
      <c r="AH162">
        <v>130.5</v>
      </c>
      <c r="AI162">
        <v>285.5</v>
      </c>
      <c r="AJ162">
        <v>403</v>
      </c>
      <c r="AK162">
        <v>454.5</v>
      </c>
      <c r="AL162">
        <v>485.5</v>
      </c>
      <c r="AM162" t="s">
        <v>64</v>
      </c>
      <c r="AN162" t="s">
        <v>64</v>
      </c>
      <c r="AO162" t="s">
        <v>64</v>
      </c>
      <c r="AP162" t="s">
        <v>64</v>
      </c>
      <c r="AQ162" t="s">
        <v>57</v>
      </c>
      <c r="AR162">
        <v>8</v>
      </c>
    </row>
    <row r="163" spans="1:44" hidden="1">
      <c r="A163" t="s">
        <v>76</v>
      </c>
      <c r="B163" t="s">
        <v>98</v>
      </c>
      <c r="C163" t="s">
        <v>412</v>
      </c>
      <c r="D163" t="s">
        <v>413</v>
      </c>
      <c r="F163" t="s">
        <v>127</v>
      </c>
      <c r="G163">
        <v>90</v>
      </c>
      <c r="H163" t="s">
        <v>80</v>
      </c>
      <c r="I163">
        <v>37102.333333333336</v>
      </c>
      <c r="P163" t="s">
        <v>60</v>
      </c>
      <c r="S163" t="s">
        <v>81</v>
      </c>
      <c r="T163" t="s">
        <v>105</v>
      </c>
      <c r="U163" t="s">
        <v>106</v>
      </c>
      <c r="V163">
        <v>485.5</v>
      </c>
      <c r="W163">
        <v>68.5</v>
      </c>
      <c r="X163">
        <v>374.9</v>
      </c>
      <c r="Y163">
        <v>285.5</v>
      </c>
      <c r="Z163">
        <v>330</v>
      </c>
      <c r="AA163">
        <v>366</v>
      </c>
      <c r="AB163">
        <v>366</v>
      </c>
      <c r="AC163" t="s">
        <v>54</v>
      </c>
      <c r="AD163" t="s">
        <v>64</v>
      </c>
      <c r="AE163" t="s">
        <v>64</v>
      </c>
      <c r="AF163" t="s">
        <v>57</v>
      </c>
      <c r="AG163" t="s">
        <v>55</v>
      </c>
      <c r="AH163">
        <v>130.5</v>
      </c>
      <c r="AI163">
        <v>285.5</v>
      </c>
      <c r="AJ163">
        <v>403</v>
      </c>
      <c r="AK163">
        <v>454.5</v>
      </c>
      <c r="AL163">
        <v>485.5</v>
      </c>
      <c r="AM163" t="s">
        <v>64</v>
      </c>
      <c r="AN163" t="s">
        <v>64</v>
      </c>
      <c r="AO163" t="s">
        <v>64</v>
      </c>
      <c r="AP163" t="s">
        <v>64</v>
      </c>
      <c r="AQ163" t="s">
        <v>57</v>
      </c>
      <c r="AR163">
        <v>10</v>
      </c>
    </row>
    <row r="164" spans="1:44" hidden="1">
      <c r="A164" t="s">
        <v>76</v>
      </c>
      <c r="B164" t="s">
        <v>98</v>
      </c>
      <c r="C164" t="s">
        <v>412</v>
      </c>
      <c r="D164" t="s">
        <v>414</v>
      </c>
      <c r="F164" t="s">
        <v>127</v>
      </c>
      <c r="G164">
        <v>90</v>
      </c>
      <c r="H164" t="s">
        <v>80</v>
      </c>
      <c r="I164">
        <v>37102</v>
      </c>
      <c r="P164" t="s">
        <v>60</v>
      </c>
      <c r="S164" t="s">
        <v>81</v>
      </c>
      <c r="T164" t="s">
        <v>105</v>
      </c>
      <c r="U164" t="s">
        <v>106</v>
      </c>
      <c r="V164">
        <v>485.5</v>
      </c>
      <c r="W164">
        <v>130.5</v>
      </c>
      <c r="X164">
        <v>306.39999999999998</v>
      </c>
      <c r="Y164">
        <v>246</v>
      </c>
      <c r="Z164">
        <v>265</v>
      </c>
      <c r="AA164">
        <v>297.5</v>
      </c>
      <c r="AB164">
        <v>297.5</v>
      </c>
      <c r="AC164" t="s">
        <v>64</v>
      </c>
      <c r="AD164" t="s">
        <v>64</v>
      </c>
      <c r="AE164" t="s">
        <v>57</v>
      </c>
      <c r="AF164" t="s">
        <v>55</v>
      </c>
      <c r="AG164" t="s">
        <v>54</v>
      </c>
      <c r="AH164">
        <v>130.5</v>
      </c>
      <c r="AI164">
        <v>285.5</v>
      </c>
      <c r="AJ164">
        <v>403</v>
      </c>
      <c r="AK164">
        <v>454.5</v>
      </c>
      <c r="AL164">
        <v>485.5</v>
      </c>
      <c r="AM164" t="s">
        <v>64</v>
      </c>
      <c r="AN164" t="s">
        <v>64</v>
      </c>
      <c r="AO164" t="s">
        <v>64</v>
      </c>
      <c r="AP164" t="s">
        <v>64</v>
      </c>
      <c r="AQ164" t="s">
        <v>57</v>
      </c>
      <c r="AR164">
        <v>8</v>
      </c>
    </row>
    <row r="165" spans="1:44" hidden="1">
      <c r="A165" t="s">
        <v>76</v>
      </c>
      <c r="B165" t="s">
        <v>98</v>
      </c>
      <c r="C165" t="s">
        <v>415</v>
      </c>
      <c r="D165" t="s">
        <v>416</v>
      </c>
      <c r="F165" t="s">
        <v>48</v>
      </c>
      <c r="G165">
        <v>90</v>
      </c>
      <c r="H165" t="s">
        <v>80</v>
      </c>
      <c r="I165">
        <v>37102.333333333336</v>
      </c>
      <c r="P165" t="s">
        <v>60</v>
      </c>
      <c r="S165" t="s">
        <v>81</v>
      </c>
      <c r="T165" t="s">
        <v>105</v>
      </c>
      <c r="U165" t="s">
        <v>106</v>
      </c>
      <c r="V165">
        <v>485.5</v>
      </c>
      <c r="W165">
        <v>68.5</v>
      </c>
      <c r="X165">
        <v>374.9</v>
      </c>
      <c r="Y165">
        <v>285.5</v>
      </c>
      <c r="Z165">
        <v>330</v>
      </c>
      <c r="AA165">
        <v>366</v>
      </c>
      <c r="AB165">
        <v>366</v>
      </c>
      <c r="AC165" t="s">
        <v>54</v>
      </c>
      <c r="AD165" t="s">
        <v>64</v>
      </c>
      <c r="AE165" t="s">
        <v>64</v>
      </c>
      <c r="AF165" t="s">
        <v>57</v>
      </c>
      <c r="AG165" t="s">
        <v>55</v>
      </c>
      <c r="AH165">
        <v>130.5</v>
      </c>
      <c r="AI165">
        <v>285.5</v>
      </c>
      <c r="AJ165">
        <v>403</v>
      </c>
      <c r="AK165">
        <v>454.5</v>
      </c>
      <c r="AL165">
        <v>485.5</v>
      </c>
      <c r="AM165" t="s">
        <v>64</v>
      </c>
      <c r="AN165" t="s">
        <v>64</v>
      </c>
      <c r="AO165" t="s">
        <v>64</v>
      </c>
      <c r="AP165" t="s">
        <v>64</v>
      </c>
      <c r="AQ165" t="s">
        <v>57</v>
      </c>
      <c r="AR165">
        <v>10</v>
      </c>
    </row>
    <row r="166" spans="1:44" hidden="1">
      <c r="A166" t="s">
        <v>76</v>
      </c>
      <c r="B166" t="s">
        <v>98</v>
      </c>
      <c r="C166" t="s">
        <v>415</v>
      </c>
      <c r="D166" t="s">
        <v>417</v>
      </c>
      <c r="F166" t="s">
        <v>48</v>
      </c>
      <c r="G166">
        <v>90</v>
      </c>
      <c r="H166" t="s">
        <v>80</v>
      </c>
      <c r="I166">
        <v>37102.291666666664</v>
      </c>
      <c r="P166" t="s">
        <v>60</v>
      </c>
      <c r="S166" t="s">
        <v>81</v>
      </c>
      <c r="T166" t="s">
        <v>122</v>
      </c>
      <c r="U166" t="s">
        <v>123</v>
      </c>
      <c r="V166">
        <v>459.5</v>
      </c>
      <c r="W166">
        <v>100.5</v>
      </c>
      <c r="X166">
        <v>284.8</v>
      </c>
      <c r="Y166">
        <v>185</v>
      </c>
      <c r="Z166">
        <v>228.5</v>
      </c>
      <c r="AA166">
        <v>265.5</v>
      </c>
      <c r="AB166">
        <v>265.5</v>
      </c>
      <c r="AC166" t="s">
        <v>57</v>
      </c>
      <c r="AD166" t="s">
        <v>57</v>
      </c>
      <c r="AE166" t="s">
        <v>56</v>
      </c>
      <c r="AF166" t="s">
        <v>54</v>
      </c>
      <c r="AG166" t="s">
        <v>63</v>
      </c>
      <c r="AH166">
        <v>100.5</v>
      </c>
      <c r="AI166">
        <v>251</v>
      </c>
      <c r="AJ166">
        <v>340</v>
      </c>
      <c r="AK166">
        <v>420</v>
      </c>
      <c r="AL166">
        <v>459.5</v>
      </c>
      <c r="AM166" t="s">
        <v>57</v>
      </c>
      <c r="AN166" t="s">
        <v>64</v>
      </c>
      <c r="AO166" t="s">
        <v>64</v>
      </c>
      <c r="AP166" t="s">
        <v>58</v>
      </c>
      <c r="AQ166" t="s">
        <v>56</v>
      </c>
      <c r="AR166">
        <v>9</v>
      </c>
    </row>
    <row r="167" spans="1:44" hidden="1">
      <c r="A167" t="s">
        <v>76</v>
      </c>
      <c r="B167" t="s">
        <v>98</v>
      </c>
      <c r="C167" t="s">
        <v>415</v>
      </c>
      <c r="D167" t="s">
        <v>418</v>
      </c>
      <c r="F167" t="s">
        <v>48</v>
      </c>
      <c r="G167">
        <v>90</v>
      </c>
      <c r="H167" t="s">
        <v>80</v>
      </c>
      <c r="I167">
        <v>37102.291666666664</v>
      </c>
      <c r="P167" t="s">
        <v>60</v>
      </c>
      <c r="S167" t="s">
        <v>81</v>
      </c>
      <c r="T167" t="s">
        <v>122</v>
      </c>
      <c r="U167" t="s">
        <v>123</v>
      </c>
      <c r="V167">
        <v>459.5</v>
      </c>
      <c r="W167">
        <v>100.5</v>
      </c>
      <c r="X167">
        <v>284.8</v>
      </c>
      <c r="Y167">
        <v>185</v>
      </c>
      <c r="Z167">
        <v>228.5</v>
      </c>
      <c r="AA167">
        <v>265.5</v>
      </c>
      <c r="AB167">
        <v>265.5</v>
      </c>
      <c r="AC167" t="s">
        <v>57</v>
      </c>
      <c r="AD167" t="s">
        <v>57</v>
      </c>
      <c r="AE167" t="s">
        <v>56</v>
      </c>
      <c r="AF167" t="s">
        <v>54</v>
      </c>
      <c r="AG167" t="s">
        <v>63</v>
      </c>
      <c r="AH167">
        <v>100.5</v>
      </c>
      <c r="AI167">
        <v>251</v>
      </c>
      <c r="AJ167">
        <v>340</v>
      </c>
      <c r="AK167">
        <v>420</v>
      </c>
      <c r="AL167">
        <v>459.5</v>
      </c>
      <c r="AM167" t="s">
        <v>57</v>
      </c>
      <c r="AN167" t="s">
        <v>64</v>
      </c>
      <c r="AO167" t="s">
        <v>64</v>
      </c>
      <c r="AP167" t="s">
        <v>58</v>
      </c>
      <c r="AQ167" t="s">
        <v>56</v>
      </c>
      <c r="AR167">
        <v>9</v>
      </c>
    </row>
    <row r="168" spans="1:44">
      <c r="A168" t="s">
        <v>76</v>
      </c>
      <c r="B168" t="s">
        <v>419</v>
      </c>
      <c r="C168" t="s">
        <v>420</v>
      </c>
      <c r="D168" t="s">
        <v>421</v>
      </c>
      <c r="E168" t="s">
        <v>422</v>
      </c>
      <c r="F168" t="s">
        <v>127</v>
      </c>
      <c r="G168">
        <v>108</v>
      </c>
      <c r="H168" t="s">
        <v>188</v>
      </c>
      <c r="I168">
        <v>43693.236111111109</v>
      </c>
      <c r="P168" t="s">
        <v>51</v>
      </c>
      <c r="S168">
        <v>500</v>
      </c>
      <c r="T168" t="s">
        <v>423</v>
      </c>
      <c r="U168" t="s">
        <v>424</v>
      </c>
      <c r="V168">
        <v>141.5</v>
      </c>
      <c r="W168">
        <v>33.5</v>
      </c>
      <c r="X168">
        <v>225</v>
      </c>
      <c r="Y168">
        <v>71</v>
      </c>
      <c r="Z168">
        <v>115</v>
      </c>
      <c r="AA168">
        <v>129</v>
      </c>
      <c r="AB168">
        <v>129</v>
      </c>
      <c r="AC168" t="s">
        <v>63</v>
      </c>
      <c r="AD168" t="s">
        <v>63</v>
      </c>
      <c r="AE168" t="s">
        <v>63</v>
      </c>
      <c r="AF168" t="s">
        <v>63</v>
      </c>
      <c r="AG168" t="s">
        <v>63</v>
      </c>
      <c r="AH168">
        <v>33.5</v>
      </c>
      <c r="AI168">
        <v>71</v>
      </c>
      <c r="AJ168">
        <v>115</v>
      </c>
      <c r="AK168">
        <v>141.5</v>
      </c>
      <c r="AL168">
        <v>141.5</v>
      </c>
      <c r="AM168" t="s">
        <v>63</v>
      </c>
      <c r="AN168" t="s">
        <v>63</v>
      </c>
      <c r="AO168" t="s">
        <v>63</v>
      </c>
      <c r="AP168" t="s">
        <v>63</v>
      </c>
      <c r="AQ168" t="s">
        <v>63</v>
      </c>
      <c r="AR168">
        <v>8</v>
      </c>
    </row>
    <row r="169" spans="1:44" hidden="1">
      <c r="A169" t="s">
        <v>76</v>
      </c>
      <c r="B169" t="s">
        <v>118</v>
      </c>
      <c r="C169" t="s">
        <v>119</v>
      </c>
      <c r="D169" t="s">
        <v>425</v>
      </c>
      <c r="F169" t="s">
        <v>48</v>
      </c>
      <c r="G169">
        <v>90</v>
      </c>
      <c r="H169" t="s">
        <v>80</v>
      </c>
      <c r="I169">
        <v>37102.291666666664</v>
      </c>
      <c r="P169" t="s">
        <v>60</v>
      </c>
      <c r="S169" t="s">
        <v>81</v>
      </c>
      <c r="T169" t="s">
        <v>122</v>
      </c>
      <c r="U169" t="s">
        <v>123</v>
      </c>
      <c r="V169">
        <v>459.5</v>
      </c>
      <c r="W169">
        <v>100.5</v>
      </c>
      <c r="X169">
        <v>284.8</v>
      </c>
      <c r="Y169">
        <v>185</v>
      </c>
      <c r="Z169">
        <v>228.5</v>
      </c>
      <c r="AA169">
        <v>265.5</v>
      </c>
      <c r="AB169">
        <v>265.5</v>
      </c>
      <c r="AC169" t="s">
        <v>57</v>
      </c>
      <c r="AD169" t="s">
        <v>57</v>
      </c>
      <c r="AE169" t="s">
        <v>56</v>
      </c>
      <c r="AF169" t="s">
        <v>54</v>
      </c>
      <c r="AG169" t="s">
        <v>63</v>
      </c>
      <c r="AH169">
        <v>100.5</v>
      </c>
      <c r="AI169">
        <v>251</v>
      </c>
      <c r="AJ169">
        <v>340</v>
      </c>
      <c r="AK169">
        <v>420</v>
      </c>
      <c r="AL169">
        <v>459.5</v>
      </c>
      <c r="AM169" t="s">
        <v>57</v>
      </c>
      <c r="AN169" t="s">
        <v>64</v>
      </c>
      <c r="AO169" t="s">
        <v>64</v>
      </c>
      <c r="AP169" t="s">
        <v>58</v>
      </c>
      <c r="AQ169" t="s">
        <v>56</v>
      </c>
      <c r="AR169">
        <v>9</v>
      </c>
    </row>
    <row r="170" spans="1:44" hidden="1">
      <c r="A170" t="s">
        <v>76</v>
      </c>
      <c r="B170" t="s">
        <v>118</v>
      </c>
      <c r="C170" t="s">
        <v>119</v>
      </c>
      <c r="D170" t="s">
        <v>426</v>
      </c>
      <c r="F170" t="s">
        <v>127</v>
      </c>
      <c r="G170">
        <v>90</v>
      </c>
      <c r="H170" t="s">
        <v>80</v>
      </c>
      <c r="I170">
        <v>37102</v>
      </c>
      <c r="P170" t="s">
        <v>60</v>
      </c>
      <c r="S170" t="s">
        <v>81</v>
      </c>
      <c r="T170" t="s">
        <v>122</v>
      </c>
      <c r="U170" t="s">
        <v>123</v>
      </c>
      <c r="V170">
        <v>459.5</v>
      </c>
      <c r="W170">
        <v>100.5</v>
      </c>
      <c r="X170">
        <v>284.8</v>
      </c>
      <c r="Y170">
        <v>185</v>
      </c>
      <c r="Z170">
        <v>228.5</v>
      </c>
      <c r="AA170">
        <v>265.5</v>
      </c>
      <c r="AB170">
        <v>265.5</v>
      </c>
      <c r="AC170" t="s">
        <v>57</v>
      </c>
      <c r="AD170" t="s">
        <v>57</v>
      </c>
      <c r="AE170" t="s">
        <v>56</v>
      </c>
      <c r="AF170" t="s">
        <v>54</v>
      </c>
      <c r="AG170" t="s">
        <v>63</v>
      </c>
      <c r="AH170">
        <v>100.5</v>
      </c>
      <c r="AI170">
        <v>251</v>
      </c>
      <c r="AJ170">
        <v>340</v>
      </c>
      <c r="AK170">
        <v>420</v>
      </c>
      <c r="AL170">
        <v>459.5</v>
      </c>
      <c r="AM170" t="s">
        <v>57</v>
      </c>
      <c r="AN170" t="s">
        <v>64</v>
      </c>
      <c r="AO170" t="s">
        <v>64</v>
      </c>
      <c r="AP170" t="s">
        <v>58</v>
      </c>
      <c r="AQ170" t="s">
        <v>56</v>
      </c>
      <c r="AR170">
        <v>9</v>
      </c>
    </row>
    <row r="171" spans="1:44" hidden="1">
      <c r="A171" t="s">
        <v>76</v>
      </c>
      <c r="B171" t="s">
        <v>118</v>
      </c>
      <c r="C171" t="s">
        <v>119</v>
      </c>
      <c r="D171" t="s">
        <v>427</v>
      </c>
      <c r="F171" t="s">
        <v>127</v>
      </c>
      <c r="G171">
        <v>90</v>
      </c>
      <c r="H171" t="s">
        <v>80</v>
      </c>
      <c r="I171">
        <v>37102.291666666664</v>
      </c>
      <c r="P171" t="s">
        <v>60</v>
      </c>
      <c r="S171" t="s">
        <v>81</v>
      </c>
      <c r="T171" t="s">
        <v>122</v>
      </c>
      <c r="U171" t="s">
        <v>123</v>
      </c>
      <c r="V171">
        <v>459.5</v>
      </c>
      <c r="W171">
        <v>100.5</v>
      </c>
      <c r="X171">
        <v>284.8</v>
      </c>
      <c r="Y171">
        <v>185</v>
      </c>
      <c r="Z171">
        <v>228.5</v>
      </c>
      <c r="AA171">
        <v>265.5</v>
      </c>
      <c r="AB171">
        <v>265.5</v>
      </c>
      <c r="AC171" t="s">
        <v>57</v>
      </c>
      <c r="AD171" t="s">
        <v>57</v>
      </c>
      <c r="AE171" t="s">
        <v>56</v>
      </c>
      <c r="AF171" t="s">
        <v>54</v>
      </c>
      <c r="AG171" t="s">
        <v>63</v>
      </c>
      <c r="AH171">
        <v>100.5</v>
      </c>
      <c r="AI171">
        <v>251</v>
      </c>
      <c r="AJ171">
        <v>340</v>
      </c>
      <c r="AK171">
        <v>420</v>
      </c>
      <c r="AL171">
        <v>459.5</v>
      </c>
      <c r="AM171" t="s">
        <v>57</v>
      </c>
      <c r="AN171" t="s">
        <v>64</v>
      </c>
      <c r="AO171" t="s">
        <v>64</v>
      </c>
      <c r="AP171" t="s">
        <v>58</v>
      </c>
      <c r="AQ171" t="s">
        <v>56</v>
      </c>
      <c r="AR171">
        <v>9</v>
      </c>
    </row>
    <row r="172" spans="1:44" hidden="1">
      <c r="A172" t="s">
        <v>76</v>
      </c>
      <c r="B172" t="s">
        <v>118</v>
      </c>
      <c r="C172" t="s">
        <v>428</v>
      </c>
      <c r="D172" t="s">
        <v>429</v>
      </c>
      <c r="E172" t="s">
        <v>428</v>
      </c>
      <c r="F172" t="s">
        <v>48</v>
      </c>
      <c r="G172">
        <v>90</v>
      </c>
      <c r="H172" t="s">
        <v>80</v>
      </c>
      <c r="I172">
        <v>37102</v>
      </c>
      <c r="P172" t="s">
        <v>60</v>
      </c>
      <c r="S172" t="s">
        <v>81</v>
      </c>
      <c r="T172" t="s">
        <v>122</v>
      </c>
      <c r="U172" t="s">
        <v>123</v>
      </c>
      <c r="V172">
        <v>459.5</v>
      </c>
      <c r="W172">
        <v>100.5</v>
      </c>
      <c r="X172">
        <v>284.8</v>
      </c>
      <c r="Y172">
        <v>185</v>
      </c>
      <c r="Z172">
        <v>228.5</v>
      </c>
      <c r="AA172">
        <v>265.5</v>
      </c>
      <c r="AB172">
        <v>265.5</v>
      </c>
      <c r="AC172" t="s">
        <v>57</v>
      </c>
      <c r="AD172" t="s">
        <v>57</v>
      </c>
      <c r="AE172" t="s">
        <v>56</v>
      </c>
      <c r="AF172" t="s">
        <v>54</v>
      </c>
      <c r="AG172" t="s">
        <v>63</v>
      </c>
      <c r="AH172">
        <v>100.5</v>
      </c>
      <c r="AI172">
        <v>251</v>
      </c>
      <c r="AJ172">
        <v>340</v>
      </c>
      <c r="AK172">
        <v>420</v>
      </c>
      <c r="AL172">
        <v>459.5</v>
      </c>
      <c r="AM172" t="s">
        <v>57</v>
      </c>
      <c r="AN172" t="s">
        <v>64</v>
      </c>
      <c r="AO172" t="s">
        <v>64</v>
      </c>
      <c r="AP172" t="s">
        <v>58</v>
      </c>
      <c r="AQ172" t="s">
        <v>56</v>
      </c>
      <c r="AR172">
        <v>9</v>
      </c>
    </row>
    <row r="173" spans="1:44" hidden="1">
      <c r="A173" t="s">
        <v>76</v>
      </c>
      <c r="B173" t="s">
        <v>118</v>
      </c>
      <c r="C173" t="s">
        <v>430</v>
      </c>
      <c r="D173" t="s">
        <v>431</v>
      </c>
      <c r="F173" t="s">
        <v>127</v>
      </c>
      <c r="G173">
        <v>90</v>
      </c>
      <c r="H173" t="s">
        <v>80</v>
      </c>
      <c r="I173">
        <v>37102.291666666664</v>
      </c>
      <c r="P173" t="s">
        <v>60</v>
      </c>
      <c r="S173" t="s">
        <v>81</v>
      </c>
      <c r="T173" t="s">
        <v>122</v>
      </c>
      <c r="U173" t="s">
        <v>123</v>
      </c>
      <c r="V173">
        <v>459.5</v>
      </c>
      <c r="W173">
        <v>100.5</v>
      </c>
      <c r="X173">
        <v>284.8</v>
      </c>
      <c r="Y173">
        <v>185</v>
      </c>
      <c r="Z173">
        <v>228.5</v>
      </c>
      <c r="AA173">
        <v>265.5</v>
      </c>
      <c r="AB173">
        <v>265.5</v>
      </c>
      <c r="AC173" t="s">
        <v>57</v>
      </c>
      <c r="AD173" t="s">
        <v>57</v>
      </c>
      <c r="AE173" t="s">
        <v>56</v>
      </c>
      <c r="AF173" t="s">
        <v>54</v>
      </c>
      <c r="AG173" t="s">
        <v>63</v>
      </c>
      <c r="AH173">
        <v>100.5</v>
      </c>
      <c r="AI173">
        <v>251</v>
      </c>
      <c r="AJ173">
        <v>340</v>
      </c>
      <c r="AK173">
        <v>420</v>
      </c>
      <c r="AL173">
        <v>459.5</v>
      </c>
      <c r="AM173" t="s">
        <v>57</v>
      </c>
      <c r="AN173" t="s">
        <v>64</v>
      </c>
      <c r="AO173" t="s">
        <v>64</v>
      </c>
      <c r="AP173" t="s">
        <v>58</v>
      </c>
      <c r="AQ173" t="s">
        <v>56</v>
      </c>
      <c r="AR173">
        <v>9</v>
      </c>
    </row>
    <row r="174" spans="1:44" hidden="1">
      <c r="A174" t="s">
        <v>76</v>
      </c>
      <c r="B174" t="s">
        <v>118</v>
      </c>
      <c r="C174" t="s">
        <v>125</v>
      </c>
      <c r="D174" t="s">
        <v>432</v>
      </c>
      <c r="F174" t="s">
        <v>127</v>
      </c>
      <c r="G174">
        <v>90</v>
      </c>
      <c r="H174" t="s">
        <v>80</v>
      </c>
      <c r="I174">
        <v>37102.291666666664</v>
      </c>
      <c r="P174" t="s">
        <v>60</v>
      </c>
      <c r="S174" t="s">
        <v>81</v>
      </c>
      <c r="T174" t="s">
        <v>103</v>
      </c>
      <c r="U174" t="s">
        <v>104</v>
      </c>
      <c r="V174">
        <v>465</v>
      </c>
      <c r="W174">
        <v>125.5</v>
      </c>
      <c r="X174">
        <v>340.9</v>
      </c>
      <c r="Y174">
        <v>129.5</v>
      </c>
      <c r="Z174">
        <v>146.5</v>
      </c>
      <c r="AA174">
        <v>182</v>
      </c>
      <c r="AB174">
        <v>182</v>
      </c>
      <c r="AC174" t="s">
        <v>64</v>
      </c>
      <c r="AD174" t="s">
        <v>54</v>
      </c>
      <c r="AE174" t="s">
        <v>63</v>
      </c>
      <c r="AF174" t="s">
        <v>63</v>
      </c>
      <c r="AG174" t="s">
        <v>63</v>
      </c>
      <c r="AH174">
        <v>125.5</v>
      </c>
      <c r="AI174">
        <v>244</v>
      </c>
      <c r="AJ174">
        <v>368</v>
      </c>
      <c r="AK174">
        <v>429.5</v>
      </c>
      <c r="AL174">
        <v>465</v>
      </c>
      <c r="AM174" t="s">
        <v>64</v>
      </c>
      <c r="AN174" t="s">
        <v>64</v>
      </c>
      <c r="AO174" t="s">
        <v>64</v>
      </c>
      <c r="AP174" t="s">
        <v>64</v>
      </c>
      <c r="AQ174" t="s">
        <v>57</v>
      </c>
      <c r="AR174">
        <v>9</v>
      </c>
    </row>
    <row r="175" spans="1:44" hidden="1">
      <c r="A175" t="s">
        <v>76</v>
      </c>
      <c r="B175" t="s">
        <v>118</v>
      </c>
      <c r="C175" t="s">
        <v>125</v>
      </c>
      <c r="D175" t="s">
        <v>433</v>
      </c>
      <c r="F175" t="s">
        <v>48</v>
      </c>
      <c r="G175">
        <v>90</v>
      </c>
      <c r="H175" t="s">
        <v>80</v>
      </c>
      <c r="I175">
        <v>37102</v>
      </c>
      <c r="P175" t="s">
        <v>60</v>
      </c>
      <c r="S175" t="s">
        <v>81</v>
      </c>
      <c r="T175" t="s">
        <v>103</v>
      </c>
      <c r="U175" t="s">
        <v>104</v>
      </c>
      <c r="V175">
        <v>465</v>
      </c>
      <c r="W175">
        <v>125.5</v>
      </c>
      <c r="X175">
        <v>340.9</v>
      </c>
      <c r="Y175">
        <v>129.5</v>
      </c>
      <c r="Z175">
        <v>146.5</v>
      </c>
      <c r="AA175">
        <v>182</v>
      </c>
      <c r="AB175">
        <v>182</v>
      </c>
      <c r="AC175" t="s">
        <v>64</v>
      </c>
      <c r="AD175" t="s">
        <v>54</v>
      </c>
      <c r="AE175" t="s">
        <v>63</v>
      </c>
      <c r="AF175" t="s">
        <v>63</v>
      </c>
      <c r="AG175" t="s">
        <v>63</v>
      </c>
      <c r="AH175">
        <v>125.5</v>
      </c>
      <c r="AI175">
        <v>244</v>
      </c>
      <c r="AJ175">
        <v>368</v>
      </c>
      <c r="AK175">
        <v>429.5</v>
      </c>
      <c r="AL175">
        <v>465</v>
      </c>
      <c r="AM175" t="s">
        <v>64</v>
      </c>
      <c r="AN175" t="s">
        <v>64</v>
      </c>
      <c r="AO175" t="s">
        <v>64</v>
      </c>
      <c r="AP175" t="s">
        <v>64</v>
      </c>
      <c r="AQ175" t="s">
        <v>57</v>
      </c>
      <c r="AR175">
        <v>9</v>
      </c>
    </row>
    <row r="176" spans="1:44" hidden="1">
      <c r="A176" t="s">
        <v>76</v>
      </c>
      <c r="B176" t="s">
        <v>118</v>
      </c>
      <c r="C176" t="s">
        <v>434</v>
      </c>
      <c r="D176" t="s">
        <v>435</v>
      </c>
      <c r="F176" t="s">
        <v>48</v>
      </c>
      <c r="G176">
        <v>90</v>
      </c>
      <c r="H176" t="s">
        <v>80</v>
      </c>
      <c r="I176">
        <v>37102.291666666664</v>
      </c>
      <c r="P176" t="s">
        <v>60</v>
      </c>
      <c r="S176" t="s">
        <v>81</v>
      </c>
      <c r="T176" t="s">
        <v>103</v>
      </c>
      <c r="U176" t="s">
        <v>104</v>
      </c>
      <c r="V176">
        <v>465</v>
      </c>
      <c r="W176">
        <v>125.5</v>
      </c>
      <c r="X176">
        <v>340.9</v>
      </c>
      <c r="Y176">
        <v>129.5</v>
      </c>
      <c r="Z176">
        <v>146.5</v>
      </c>
      <c r="AA176">
        <v>182</v>
      </c>
      <c r="AB176">
        <v>182</v>
      </c>
      <c r="AC176" t="s">
        <v>64</v>
      </c>
      <c r="AD176" t="s">
        <v>54</v>
      </c>
      <c r="AE176" t="s">
        <v>63</v>
      </c>
      <c r="AF176" t="s">
        <v>63</v>
      </c>
      <c r="AG176" t="s">
        <v>63</v>
      </c>
      <c r="AH176">
        <v>125.5</v>
      </c>
      <c r="AI176">
        <v>244</v>
      </c>
      <c r="AJ176">
        <v>368</v>
      </c>
      <c r="AK176">
        <v>429.5</v>
      </c>
      <c r="AL176">
        <v>465</v>
      </c>
      <c r="AM176" t="s">
        <v>64</v>
      </c>
      <c r="AN176" t="s">
        <v>64</v>
      </c>
      <c r="AO176" t="s">
        <v>64</v>
      </c>
      <c r="AP176" t="s">
        <v>64</v>
      </c>
      <c r="AQ176" t="s">
        <v>57</v>
      </c>
      <c r="AR176">
        <v>9</v>
      </c>
    </row>
    <row r="177" spans="1:44" hidden="1">
      <c r="A177" t="s">
        <v>76</v>
      </c>
      <c r="B177" t="s">
        <v>118</v>
      </c>
      <c r="C177" t="s">
        <v>142</v>
      </c>
      <c r="D177" t="s">
        <v>436</v>
      </c>
      <c r="F177" t="s">
        <v>48</v>
      </c>
      <c r="G177">
        <v>85</v>
      </c>
      <c r="H177" t="s">
        <v>102</v>
      </c>
      <c r="I177">
        <v>35278.041666666664</v>
      </c>
      <c r="P177" t="s">
        <v>51</v>
      </c>
      <c r="S177" t="s">
        <v>81</v>
      </c>
      <c r="T177" t="s">
        <v>145</v>
      </c>
      <c r="U177" t="s">
        <v>146</v>
      </c>
      <c r="V177">
        <v>671.5</v>
      </c>
      <c r="W177">
        <v>65.5</v>
      </c>
      <c r="X177">
        <v>454.1</v>
      </c>
      <c r="Y177">
        <v>181</v>
      </c>
      <c r="Z177">
        <v>266.5</v>
      </c>
      <c r="AA177">
        <v>346</v>
      </c>
      <c r="AB177">
        <v>443</v>
      </c>
      <c r="AC177" t="s">
        <v>54</v>
      </c>
      <c r="AD177" t="s">
        <v>57</v>
      </c>
      <c r="AE177" t="s">
        <v>57</v>
      </c>
      <c r="AF177" t="s">
        <v>57</v>
      </c>
      <c r="AG177" t="s">
        <v>57</v>
      </c>
      <c r="AH177">
        <v>65.5</v>
      </c>
      <c r="AI177">
        <v>181</v>
      </c>
      <c r="AJ177">
        <v>337.5</v>
      </c>
      <c r="AK177">
        <v>478</v>
      </c>
      <c r="AL177">
        <v>615</v>
      </c>
      <c r="AM177" t="s">
        <v>54</v>
      </c>
      <c r="AN177" t="s">
        <v>57</v>
      </c>
      <c r="AO177" t="s">
        <v>64</v>
      </c>
      <c r="AP177" t="s">
        <v>64</v>
      </c>
      <c r="AQ177" t="s">
        <v>64</v>
      </c>
      <c r="AR177">
        <v>20</v>
      </c>
    </row>
    <row r="178" spans="1:44" hidden="1">
      <c r="A178" t="s">
        <v>76</v>
      </c>
      <c r="B178" t="s">
        <v>118</v>
      </c>
      <c r="C178" t="s">
        <v>142</v>
      </c>
      <c r="D178" t="s">
        <v>437</v>
      </c>
      <c r="F178" t="s">
        <v>48</v>
      </c>
      <c r="G178">
        <v>90</v>
      </c>
      <c r="H178" t="s">
        <v>80</v>
      </c>
      <c r="I178">
        <v>37102</v>
      </c>
      <c r="P178" t="s">
        <v>60</v>
      </c>
      <c r="S178" t="s">
        <v>81</v>
      </c>
      <c r="T178" t="s">
        <v>145</v>
      </c>
      <c r="U178" t="s">
        <v>146</v>
      </c>
      <c r="V178">
        <v>430.5</v>
      </c>
      <c r="W178">
        <v>66.5</v>
      </c>
      <c r="X178">
        <v>200.7</v>
      </c>
      <c r="Y178">
        <v>104</v>
      </c>
      <c r="Z178">
        <v>139</v>
      </c>
      <c r="AA178">
        <v>172</v>
      </c>
      <c r="AB178">
        <v>172</v>
      </c>
      <c r="AC178" t="s">
        <v>54</v>
      </c>
      <c r="AD178" t="s">
        <v>63</v>
      </c>
      <c r="AE178" t="s">
        <v>63</v>
      </c>
      <c r="AF178" t="s">
        <v>63</v>
      </c>
      <c r="AG178" t="s">
        <v>63</v>
      </c>
      <c r="AH178">
        <v>66.5</v>
      </c>
      <c r="AI178">
        <v>191.5</v>
      </c>
      <c r="AJ178">
        <v>291.5</v>
      </c>
      <c r="AK178">
        <v>378</v>
      </c>
      <c r="AL178">
        <v>430.5</v>
      </c>
      <c r="AM178" t="s">
        <v>54</v>
      </c>
      <c r="AN178" t="s">
        <v>57</v>
      </c>
      <c r="AO178" t="s">
        <v>58</v>
      </c>
      <c r="AP178" t="s">
        <v>58</v>
      </c>
      <c r="AQ178" t="s">
        <v>56</v>
      </c>
      <c r="AR178">
        <v>7</v>
      </c>
    </row>
    <row r="179" spans="1:44" hidden="1">
      <c r="A179" t="s">
        <v>76</v>
      </c>
      <c r="B179" t="s">
        <v>118</v>
      </c>
      <c r="C179" t="s">
        <v>142</v>
      </c>
      <c r="D179" t="s">
        <v>438</v>
      </c>
      <c r="F179" t="s">
        <v>48</v>
      </c>
      <c r="G179">
        <v>90</v>
      </c>
      <c r="H179" t="s">
        <v>80</v>
      </c>
      <c r="I179">
        <v>37102</v>
      </c>
      <c r="P179" t="s">
        <v>60</v>
      </c>
      <c r="S179" t="s">
        <v>81</v>
      </c>
      <c r="T179" t="s">
        <v>147</v>
      </c>
      <c r="U179" t="s">
        <v>142</v>
      </c>
      <c r="V179">
        <v>629</v>
      </c>
      <c r="W179">
        <v>91.5</v>
      </c>
      <c r="X179">
        <v>458.6</v>
      </c>
      <c r="Y179">
        <v>218.5</v>
      </c>
      <c r="Z179">
        <v>335</v>
      </c>
      <c r="AA179">
        <v>406</v>
      </c>
      <c r="AB179">
        <v>406</v>
      </c>
      <c r="AC179" t="s">
        <v>56</v>
      </c>
      <c r="AD179" t="s">
        <v>57</v>
      </c>
      <c r="AE179" t="s">
        <v>58</v>
      </c>
      <c r="AF179" t="s">
        <v>56</v>
      </c>
      <c r="AG179" t="s">
        <v>54</v>
      </c>
      <c r="AH179">
        <v>91.5</v>
      </c>
      <c r="AI179">
        <v>219</v>
      </c>
      <c r="AJ179">
        <v>375</v>
      </c>
      <c r="AK179">
        <v>544</v>
      </c>
      <c r="AL179">
        <v>629</v>
      </c>
      <c r="AM179" t="s">
        <v>56</v>
      </c>
      <c r="AN179" t="s">
        <v>57</v>
      </c>
      <c r="AO179" t="s">
        <v>87</v>
      </c>
      <c r="AP179" t="s">
        <v>64</v>
      </c>
      <c r="AQ179" t="s">
        <v>57</v>
      </c>
      <c r="AR179">
        <v>9</v>
      </c>
    </row>
    <row r="180" spans="1:44" hidden="1">
      <c r="A180" t="s">
        <v>76</v>
      </c>
      <c r="B180" t="s">
        <v>118</v>
      </c>
      <c r="C180" t="s">
        <v>156</v>
      </c>
      <c r="D180" t="s">
        <v>439</v>
      </c>
      <c r="E180" t="s">
        <v>440</v>
      </c>
      <c r="F180" t="s">
        <v>48</v>
      </c>
      <c r="G180">
        <v>90</v>
      </c>
      <c r="H180" t="s">
        <v>80</v>
      </c>
      <c r="I180">
        <v>37102</v>
      </c>
      <c r="P180" t="s">
        <v>60</v>
      </c>
      <c r="S180" t="s">
        <v>81</v>
      </c>
      <c r="T180" t="s">
        <v>145</v>
      </c>
      <c r="U180" t="s">
        <v>146</v>
      </c>
      <c r="V180">
        <v>430.5</v>
      </c>
      <c r="W180">
        <v>66.5</v>
      </c>
      <c r="X180">
        <v>200.7</v>
      </c>
      <c r="Y180">
        <v>104</v>
      </c>
      <c r="Z180">
        <v>139</v>
      </c>
      <c r="AA180">
        <v>172</v>
      </c>
      <c r="AB180">
        <v>172</v>
      </c>
      <c r="AC180" t="s">
        <v>54</v>
      </c>
      <c r="AD180" t="s">
        <v>63</v>
      </c>
      <c r="AE180" t="s">
        <v>63</v>
      </c>
      <c r="AF180" t="s">
        <v>63</v>
      </c>
      <c r="AG180" t="s">
        <v>63</v>
      </c>
      <c r="AH180">
        <v>66.5</v>
      </c>
      <c r="AI180">
        <v>191.5</v>
      </c>
      <c r="AJ180">
        <v>291.5</v>
      </c>
      <c r="AK180">
        <v>378</v>
      </c>
      <c r="AL180">
        <v>430.5</v>
      </c>
      <c r="AM180" t="s">
        <v>54</v>
      </c>
      <c r="AN180" t="s">
        <v>57</v>
      </c>
      <c r="AO180" t="s">
        <v>58</v>
      </c>
      <c r="AP180" t="s">
        <v>58</v>
      </c>
      <c r="AQ180" t="s">
        <v>56</v>
      </c>
      <c r="AR180">
        <v>7</v>
      </c>
    </row>
    <row r="181" spans="1:44" hidden="1">
      <c r="A181" t="s">
        <v>76</v>
      </c>
      <c r="B181" t="s">
        <v>118</v>
      </c>
      <c r="C181" t="s">
        <v>156</v>
      </c>
      <c r="D181" t="s">
        <v>441</v>
      </c>
      <c r="F181" t="s">
        <v>48</v>
      </c>
      <c r="G181">
        <v>90</v>
      </c>
      <c r="H181" t="s">
        <v>80</v>
      </c>
      <c r="I181">
        <v>37102</v>
      </c>
      <c r="P181" t="s">
        <v>60</v>
      </c>
      <c r="S181" t="s">
        <v>81</v>
      </c>
      <c r="T181" t="s">
        <v>145</v>
      </c>
      <c r="U181" t="s">
        <v>146</v>
      </c>
      <c r="V181">
        <v>430.5</v>
      </c>
      <c r="W181">
        <v>66.5</v>
      </c>
      <c r="X181">
        <v>200.7</v>
      </c>
      <c r="Y181">
        <v>104</v>
      </c>
      <c r="Z181">
        <v>139</v>
      </c>
      <c r="AA181">
        <v>172</v>
      </c>
      <c r="AB181">
        <v>172</v>
      </c>
      <c r="AC181" t="s">
        <v>54</v>
      </c>
      <c r="AD181" t="s">
        <v>63</v>
      </c>
      <c r="AE181" t="s">
        <v>63</v>
      </c>
      <c r="AF181" t="s">
        <v>63</v>
      </c>
      <c r="AG181" t="s">
        <v>63</v>
      </c>
      <c r="AH181">
        <v>66.5</v>
      </c>
      <c r="AI181">
        <v>191.5</v>
      </c>
      <c r="AJ181">
        <v>291.5</v>
      </c>
      <c r="AK181">
        <v>378</v>
      </c>
      <c r="AL181">
        <v>430.5</v>
      </c>
      <c r="AM181" t="s">
        <v>54</v>
      </c>
      <c r="AN181" t="s">
        <v>57</v>
      </c>
      <c r="AO181" t="s">
        <v>58</v>
      </c>
      <c r="AP181" t="s">
        <v>58</v>
      </c>
      <c r="AQ181" t="s">
        <v>56</v>
      </c>
      <c r="AR181">
        <v>7</v>
      </c>
    </row>
    <row r="182" spans="1:44" hidden="1">
      <c r="A182" t="s">
        <v>76</v>
      </c>
      <c r="B182" t="s">
        <v>118</v>
      </c>
      <c r="C182" t="s">
        <v>162</v>
      </c>
      <c r="D182" t="s">
        <v>442</v>
      </c>
      <c r="F182" t="s">
        <v>48</v>
      </c>
      <c r="G182">
        <v>90</v>
      </c>
      <c r="H182" t="s">
        <v>80</v>
      </c>
      <c r="I182">
        <v>37102</v>
      </c>
      <c r="P182" t="s">
        <v>60</v>
      </c>
      <c r="S182" t="s">
        <v>81</v>
      </c>
      <c r="T182" t="s">
        <v>145</v>
      </c>
      <c r="U182" t="s">
        <v>146</v>
      </c>
      <c r="V182">
        <v>430.5</v>
      </c>
      <c r="W182">
        <v>66.5</v>
      </c>
      <c r="X182">
        <v>200.7</v>
      </c>
      <c r="Y182">
        <v>104</v>
      </c>
      <c r="Z182">
        <v>139</v>
      </c>
      <c r="AA182">
        <v>172</v>
      </c>
      <c r="AB182">
        <v>172</v>
      </c>
      <c r="AC182" t="s">
        <v>54</v>
      </c>
      <c r="AD182" t="s">
        <v>63</v>
      </c>
      <c r="AE182" t="s">
        <v>63</v>
      </c>
      <c r="AF182" t="s">
        <v>63</v>
      </c>
      <c r="AG182" t="s">
        <v>63</v>
      </c>
      <c r="AH182">
        <v>66.5</v>
      </c>
      <c r="AI182">
        <v>191.5</v>
      </c>
      <c r="AJ182">
        <v>291.5</v>
      </c>
      <c r="AK182">
        <v>378</v>
      </c>
      <c r="AL182">
        <v>430.5</v>
      </c>
      <c r="AM182" t="s">
        <v>54</v>
      </c>
      <c r="AN182" t="s">
        <v>57</v>
      </c>
      <c r="AO182" t="s">
        <v>58</v>
      </c>
      <c r="AP182" t="s">
        <v>58</v>
      </c>
      <c r="AQ182" t="s">
        <v>56</v>
      </c>
      <c r="AR182">
        <v>7</v>
      </c>
    </row>
    <row r="183" spans="1:44" hidden="1">
      <c r="A183" t="s">
        <v>76</v>
      </c>
      <c r="B183" t="s">
        <v>118</v>
      </c>
      <c r="C183" t="s">
        <v>162</v>
      </c>
      <c r="D183" t="s">
        <v>443</v>
      </c>
      <c r="F183" t="s">
        <v>127</v>
      </c>
      <c r="G183">
        <v>90</v>
      </c>
      <c r="H183" t="s">
        <v>80</v>
      </c>
      <c r="I183">
        <v>37102.291666666664</v>
      </c>
      <c r="P183" t="s">
        <v>60</v>
      </c>
      <c r="S183" t="s">
        <v>81</v>
      </c>
      <c r="T183" t="s">
        <v>145</v>
      </c>
      <c r="U183" t="s">
        <v>146</v>
      </c>
      <c r="V183">
        <v>430.5</v>
      </c>
      <c r="W183">
        <v>65</v>
      </c>
      <c r="X183">
        <v>325.7</v>
      </c>
      <c r="Y183">
        <v>191.5</v>
      </c>
      <c r="Z183">
        <v>239.5</v>
      </c>
      <c r="AA183">
        <v>297</v>
      </c>
      <c r="AB183">
        <v>297</v>
      </c>
      <c r="AC183" t="s">
        <v>54</v>
      </c>
      <c r="AD183" t="s">
        <v>57</v>
      </c>
      <c r="AE183" t="s">
        <v>56</v>
      </c>
      <c r="AF183" t="s">
        <v>56</v>
      </c>
      <c r="AG183" t="s">
        <v>54</v>
      </c>
      <c r="AH183">
        <v>66.5</v>
      </c>
      <c r="AI183">
        <v>191.5</v>
      </c>
      <c r="AJ183">
        <v>291.5</v>
      </c>
      <c r="AK183">
        <v>378</v>
      </c>
      <c r="AL183">
        <v>430.5</v>
      </c>
      <c r="AM183" t="s">
        <v>54</v>
      </c>
      <c r="AN183" t="s">
        <v>57</v>
      </c>
      <c r="AO183" t="s">
        <v>58</v>
      </c>
      <c r="AP183" t="s">
        <v>58</v>
      </c>
      <c r="AQ183" t="s">
        <v>56</v>
      </c>
      <c r="AR183">
        <v>9</v>
      </c>
    </row>
    <row r="184" spans="1:44" hidden="1">
      <c r="A184" t="s">
        <v>76</v>
      </c>
      <c r="B184" t="s">
        <v>118</v>
      </c>
      <c r="C184" t="s">
        <v>162</v>
      </c>
      <c r="D184" t="s">
        <v>444</v>
      </c>
      <c r="F184" t="s">
        <v>48</v>
      </c>
      <c r="G184">
        <v>90</v>
      </c>
      <c r="H184" t="s">
        <v>80</v>
      </c>
      <c r="I184">
        <v>37102</v>
      </c>
      <c r="P184" t="s">
        <v>60</v>
      </c>
      <c r="S184" t="s">
        <v>81</v>
      </c>
      <c r="T184" t="s">
        <v>145</v>
      </c>
      <c r="U184" t="s">
        <v>146</v>
      </c>
      <c r="V184">
        <v>430.5</v>
      </c>
      <c r="W184">
        <v>66.5</v>
      </c>
      <c r="X184">
        <v>200.7</v>
      </c>
      <c r="Y184">
        <v>104</v>
      </c>
      <c r="Z184">
        <v>139</v>
      </c>
      <c r="AA184">
        <v>172</v>
      </c>
      <c r="AB184">
        <v>172</v>
      </c>
      <c r="AC184" t="s">
        <v>54</v>
      </c>
      <c r="AD184" t="s">
        <v>63</v>
      </c>
      <c r="AE184" t="s">
        <v>63</v>
      </c>
      <c r="AF184" t="s">
        <v>63</v>
      </c>
      <c r="AG184" t="s">
        <v>63</v>
      </c>
      <c r="AH184">
        <v>66.5</v>
      </c>
      <c r="AI184">
        <v>191.5</v>
      </c>
      <c r="AJ184">
        <v>291.5</v>
      </c>
      <c r="AK184">
        <v>378</v>
      </c>
      <c r="AL184">
        <v>430.5</v>
      </c>
      <c r="AM184" t="s">
        <v>54</v>
      </c>
      <c r="AN184" t="s">
        <v>57</v>
      </c>
      <c r="AO184" t="s">
        <v>58</v>
      </c>
      <c r="AP184" t="s">
        <v>58</v>
      </c>
      <c r="AQ184" t="s">
        <v>56</v>
      </c>
      <c r="AR184">
        <v>7</v>
      </c>
    </row>
    <row r="185" spans="1:44">
      <c r="A185" t="s">
        <v>76</v>
      </c>
      <c r="B185" t="s">
        <v>118</v>
      </c>
      <c r="C185" t="s">
        <v>445</v>
      </c>
      <c r="D185" t="s">
        <v>446</v>
      </c>
      <c r="E185" t="s">
        <v>447</v>
      </c>
      <c r="F185" t="s">
        <v>48</v>
      </c>
      <c r="G185">
        <v>98</v>
      </c>
      <c r="H185" t="s">
        <v>153</v>
      </c>
      <c r="I185">
        <v>40034.083333333336</v>
      </c>
      <c r="P185" t="s">
        <v>51</v>
      </c>
      <c r="S185">
        <v>250</v>
      </c>
      <c r="T185" t="s">
        <v>135</v>
      </c>
      <c r="U185" t="s">
        <v>133</v>
      </c>
      <c r="V185">
        <v>1037</v>
      </c>
      <c r="W185">
        <v>51.5</v>
      </c>
      <c r="X185">
        <v>695.1</v>
      </c>
      <c r="Y185">
        <v>141.5</v>
      </c>
      <c r="Z185">
        <v>195.5</v>
      </c>
      <c r="AA185">
        <v>300.5</v>
      </c>
      <c r="AB185">
        <v>409.5</v>
      </c>
      <c r="AC185" t="s">
        <v>63</v>
      </c>
      <c r="AD185" t="s">
        <v>54</v>
      </c>
      <c r="AE185" t="s">
        <v>54</v>
      </c>
      <c r="AF185" t="s">
        <v>55</v>
      </c>
      <c r="AG185" t="s">
        <v>56</v>
      </c>
      <c r="AH185">
        <v>63.5</v>
      </c>
      <c r="AI185">
        <v>152.5</v>
      </c>
      <c r="AJ185">
        <v>217</v>
      </c>
      <c r="AK185">
        <v>343</v>
      </c>
      <c r="AL185">
        <v>565.5</v>
      </c>
      <c r="AM185" t="s">
        <v>54</v>
      </c>
      <c r="AN185" t="s">
        <v>55</v>
      </c>
      <c r="AO185" t="s">
        <v>55</v>
      </c>
      <c r="AP185" t="s">
        <v>56</v>
      </c>
      <c r="AQ185" t="s">
        <v>87</v>
      </c>
      <c r="AR185">
        <v>58</v>
      </c>
    </row>
    <row r="186" spans="1:44" hidden="1">
      <c r="A186" t="s">
        <v>76</v>
      </c>
      <c r="B186" t="s">
        <v>448</v>
      </c>
      <c r="C186" t="s">
        <v>449</v>
      </c>
      <c r="D186" t="s">
        <v>450</v>
      </c>
      <c r="F186" t="s">
        <v>127</v>
      </c>
      <c r="G186">
        <v>90</v>
      </c>
      <c r="H186" t="s">
        <v>80</v>
      </c>
      <c r="I186">
        <v>37102.375</v>
      </c>
      <c r="P186" t="s">
        <v>60</v>
      </c>
      <c r="S186" t="s">
        <v>81</v>
      </c>
      <c r="T186" t="s">
        <v>451</v>
      </c>
      <c r="U186" t="s">
        <v>452</v>
      </c>
      <c r="V186">
        <v>280</v>
      </c>
      <c r="W186">
        <v>76.5</v>
      </c>
      <c r="X186">
        <v>238.7</v>
      </c>
      <c r="Y186">
        <v>174.5</v>
      </c>
      <c r="Z186">
        <v>203.5</v>
      </c>
      <c r="AA186">
        <v>223.5</v>
      </c>
      <c r="AB186">
        <v>223.5</v>
      </c>
      <c r="AC186" t="s">
        <v>55</v>
      </c>
      <c r="AD186" t="s">
        <v>56</v>
      </c>
      <c r="AE186" t="s">
        <v>55</v>
      </c>
      <c r="AF186" t="s">
        <v>63</v>
      </c>
      <c r="AG186" t="s">
        <v>63</v>
      </c>
      <c r="AH186">
        <v>83</v>
      </c>
      <c r="AI186">
        <v>181.5</v>
      </c>
      <c r="AJ186">
        <v>221</v>
      </c>
      <c r="AK186">
        <v>264.5</v>
      </c>
      <c r="AL186">
        <v>280</v>
      </c>
      <c r="AM186" t="s">
        <v>55</v>
      </c>
      <c r="AN186" t="s">
        <v>56</v>
      </c>
      <c r="AO186" t="s">
        <v>55</v>
      </c>
      <c r="AP186" t="s">
        <v>54</v>
      </c>
      <c r="AQ186" t="s">
        <v>63</v>
      </c>
      <c r="AR186">
        <v>11</v>
      </c>
    </row>
    <row r="187" spans="1:44" hidden="1">
      <c r="A187" t="s">
        <v>76</v>
      </c>
      <c r="B187" t="s">
        <v>448</v>
      </c>
      <c r="C187" t="s">
        <v>449</v>
      </c>
      <c r="D187" t="s">
        <v>453</v>
      </c>
      <c r="F187" t="s">
        <v>48</v>
      </c>
      <c r="G187">
        <v>93</v>
      </c>
      <c r="H187" t="s">
        <v>70</v>
      </c>
      <c r="I187" t="s">
        <v>454</v>
      </c>
      <c r="P187" t="s">
        <v>51</v>
      </c>
      <c r="S187">
        <v>250</v>
      </c>
      <c r="T187" t="s">
        <v>451</v>
      </c>
      <c r="U187" t="s">
        <v>452</v>
      </c>
      <c r="V187">
        <v>380.5</v>
      </c>
      <c r="W187">
        <v>43</v>
      </c>
      <c r="X187">
        <v>321.60000000000002</v>
      </c>
      <c r="Y187">
        <v>72.5</v>
      </c>
      <c r="Z187">
        <v>102</v>
      </c>
      <c r="AA187">
        <v>142.5</v>
      </c>
      <c r="AB187">
        <v>307</v>
      </c>
      <c r="AC187" t="s">
        <v>63</v>
      </c>
      <c r="AD187" t="s">
        <v>63</v>
      </c>
      <c r="AE187" t="s">
        <v>63</v>
      </c>
      <c r="AF187" t="s">
        <v>63</v>
      </c>
      <c r="AG187" t="s">
        <v>63</v>
      </c>
      <c r="AH187">
        <v>43</v>
      </c>
      <c r="AI187">
        <v>112</v>
      </c>
      <c r="AJ187">
        <v>131.5</v>
      </c>
      <c r="AK187">
        <v>184</v>
      </c>
      <c r="AL187">
        <v>330.5</v>
      </c>
      <c r="AM187" t="s">
        <v>63</v>
      </c>
      <c r="AN187" t="s">
        <v>63</v>
      </c>
      <c r="AO187" t="s">
        <v>63</v>
      </c>
      <c r="AP187" t="s">
        <v>63</v>
      </c>
      <c r="AQ187" t="s">
        <v>54</v>
      </c>
      <c r="AR187">
        <v>24</v>
      </c>
    </row>
    <row r="188" spans="1:44" hidden="1">
      <c r="A188" t="s">
        <v>76</v>
      </c>
      <c r="B188" t="s">
        <v>448</v>
      </c>
      <c r="C188" t="s">
        <v>455</v>
      </c>
      <c r="D188" t="s">
        <v>456</v>
      </c>
      <c r="F188" t="s">
        <v>48</v>
      </c>
      <c r="G188">
        <v>90</v>
      </c>
      <c r="H188" t="s">
        <v>80</v>
      </c>
      <c r="I188">
        <v>37102.375</v>
      </c>
      <c r="P188" t="s">
        <v>60</v>
      </c>
      <c r="S188" t="s">
        <v>81</v>
      </c>
      <c r="T188" t="s">
        <v>451</v>
      </c>
      <c r="U188" t="s">
        <v>452</v>
      </c>
      <c r="V188">
        <v>280</v>
      </c>
      <c r="W188">
        <v>76.5</v>
      </c>
      <c r="X188">
        <v>238.7</v>
      </c>
      <c r="Y188">
        <v>174.5</v>
      </c>
      <c r="Z188">
        <v>203.5</v>
      </c>
      <c r="AA188">
        <v>223.5</v>
      </c>
      <c r="AB188">
        <v>223.5</v>
      </c>
      <c r="AC188" t="s">
        <v>55</v>
      </c>
      <c r="AD188" t="s">
        <v>56</v>
      </c>
      <c r="AE188" t="s">
        <v>55</v>
      </c>
      <c r="AF188" t="s">
        <v>63</v>
      </c>
      <c r="AG188" t="s">
        <v>63</v>
      </c>
      <c r="AH188">
        <v>83</v>
      </c>
      <c r="AI188">
        <v>181.5</v>
      </c>
      <c r="AJ188">
        <v>221</v>
      </c>
      <c r="AK188">
        <v>264.5</v>
      </c>
      <c r="AL188">
        <v>280</v>
      </c>
      <c r="AM188" t="s">
        <v>55</v>
      </c>
      <c r="AN188" t="s">
        <v>56</v>
      </c>
      <c r="AO188" t="s">
        <v>55</v>
      </c>
      <c r="AP188" t="s">
        <v>54</v>
      </c>
      <c r="AQ188" t="s">
        <v>63</v>
      </c>
      <c r="AR188">
        <v>11</v>
      </c>
    </row>
    <row r="189" spans="1:44" hidden="1">
      <c r="A189" t="s">
        <v>76</v>
      </c>
      <c r="B189" t="s">
        <v>448</v>
      </c>
      <c r="C189" t="s">
        <v>457</v>
      </c>
      <c r="D189" t="s">
        <v>458</v>
      </c>
      <c r="F189" t="s">
        <v>48</v>
      </c>
      <c r="G189">
        <v>90</v>
      </c>
      <c r="H189" t="s">
        <v>80</v>
      </c>
      <c r="I189">
        <v>37102.375</v>
      </c>
      <c r="P189" t="s">
        <v>60</v>
      </c>
      <c r="S189" t="s">
        <v>81</v>
      </c>
      <c r="T189" t="s">
        <v>459</v>
      </c>
      <c r="U189" t="s">
        <v>460</v>
      </c>
      <c r="V189">
        <v>28.5</v>
      </c>
      <c r="W189">
        <v>112</v>
      </c>
      <c r="X189">
        <v>213.9</v>
      </c>
      <c r="Y189">
        <v>179</v>
      </c>
      <c r="Z189">
        <v>199</v>
      </c>
      <c r="AA189">
        <v>199</v>
      </c>
      <c r="AB189">
        <v>199</v>
      </c>
      <c r="AC189" t="s">
        <v>58</v>
      </c>
      <c r="AD189" t="s">
        <v>56</v>
      </c>
      <c r="AE189" t="s">
        <v>54</v>
      </c>
      <c r="AF189" t="s">
        <v>63</v>
      </c>
      <c r="AG189" t="s">
        <v>63</v>
      </c>
      <c r="AH189">
        <v>12</v>
      </c>
      <c r="AI189">
        <v>22</v>
      </c>
      <c r="AJ189">
        <v>28.5</v>
      </c>
      <c r="AK189">
        <v>28.5</v>
      </c>
      <c r="AL189">
        <v>28.5</v>
      </c>
      <c r="AM189" t="s">
        <v>63</v>
      </c>
      <c r="AN189" t="s">
        <v>63</v>
      </c>
      <c r="AO189" t="s">
        <v>63</v>
      </c>
      <c r="AP189" t="s">
        <v>63</v>
      </c>
      <c r="AQ189" t="s">
        <v>63</v>
      </c>
      <c r="AR189">
        <v>6</v>
      </c>
    </row>
    <row r="190" spans="1:44">
      <c r="A190" t="s">
        <v>76</v>
      </c>
      <c r="B190" t="s">
        <v>448</v>
      </c>
      <c r="C190" t="s">
        <v>461</v>
      </c>
      <c r="D190" t="s">
        <v>462</v>
      </c>
      <c r="F190" t="s">
        <v>127</v>
      </c>
      <c r="G190">
        <v>97</v>
      </c>
      <c r="H190" t="s">
        <v>124</v>
      </c>
      <c r="I190">
        <v>39647.166666666664</v>
      </c>
      <c r="P190" t="s">
        <v>51</v>
      </c>
      <c r="S190">
        <v>350</v>
      </c>
      <c r="T190" t="s">
        <v>463</v>
      </c>
      <c r="U190" t="s">
        <v>464</v>
      </c>
      <c r="V190">
        <v>431.5</v>
      </c>
      <c r="W190">
        <v>97</v>
      </c>
      <c r="X190">
        <v>415.8</v>
      </c>
      <c r="Y190">
        <v>162</v>
      </c>
      <c r="Z190">
        <v>303.5</v>
      </c>
      <c r="AA190">
        <v>313</v>
      </c>
      <c r="AB190">
        <v>324</v>
      </c>
      <c r="AC190" t="s">
        <v>56</v>
      </c>
      <c r="AD190" t="s">
        <v>55</v>
      </c>
      <c r="AE190" t="s">
        <v>57</v>
      </c>
      <c r="AF190" t="s">
        <v>54</v>
      </c>
      <c r="AG190" t="s">
        <v>63</v>
      </c>
      <c r="AH190">
        <v>93.5</v>
      </c>
      <c r="AI190">
        <v>166.5</v>
      </c>
      <c r="AJ190">
        <v>326</v>
      </c>
      <c r="AK190">
        <v>403.5</v>
      </c>
      <c r="AL190">
        <v>431.5</v>
      </c>
      <c r="AM190" t="s">
        <v>56</v>
      </c>
      <c r="AN190" t="s">
        <v>55</v>
      </c>
      <c r="AO190" t="s">
        <v>58</v>
      </c>
      <c r="AP190" t="s">
        <v>57</v>
      </c>
      <c r="AQ190" t="s">
        <v>55</v>
      </c>
      <c r="AR190">
        <v>13</v>
      </c>
    </row>
    <row r="191" spans="1:44">
      <c r="A191" t="s">
        <v>76</v>
      </c>
      <c r="B191" t="s">
        <v>448</v>
      </c>
      <c r="C191" t="s">
        <v>461</v>
      </c>
      <c r="D191" t="s">
        <v>465</v>
      </c>
      <c r="F191" t="s">
        <v>48</v>
      </c>
      <c r="G191">
        <v>97</v>
      </c>
      <c r="H191" t="s">
        <v>124</v>
      </c>
      <c r="I191">
        <v>39647.166666666664</v>
      </c>
      <c r="P191" t="s">
        <v>51</v>
      </c>
      <c r="S191">
        <v>350</v>
      </c>
      <c r="T191" t="s">
        <v>463</v>
      </c>
      <c r="U191" t="s">
        <v>464</v>
      </c>
      <c r="V191">
        <v>431.5</v>
      </c>
      <c r="W191">
        <v>97</v>
      </c>
      <c r="X191">
        <v>415.8</v>
      </c>
      <c r="Y191">
        <v>162</v>
      </c>
      <c r="Z191">
        <v>303.5</v>
      </c>
      <c r="AA191">
        <v>313</v>
      </c>
      <c r="AB191">
        <v>324</v>
      </c>
      <c r="AC191" t="s">
        <v>56</v>
      </c>
      <c r="AD191" t="s">
        <v>55</v>
      </c>
      <c r="AE191" t="s">
        <v>57</v>
      </c>
      <c r="AF191" t="s">
        <v>54</v>
      </c>
      <c r="AG191" t="s">
        <v>63</v>
      </c>
      <c r="AH191">
        <v>93.5</v>
      </c>
      <c r="AI191">
        <v>166.5</v>
      </c>
      <c r="AJ191">
        <v>326</v>
      </c>
      <c r="AK191">
        <v>403.5</v>
      </c>
      <c r="AL191">
        <v>431.5</v>
      </c>
      <c r="AM191" t="s">
        <v>56</v>
      </c>
      <c r="AN191" t="s">
        <v>55</v>
      </c>
      <c r="AO191" t="s">
        <v>58</v>
      </c>
      <c r="AP191" t="s">
        <v>57</v>
      </c>
      <c r="AQ191" t="s">
        <v>55</v>
      </c>
      <c r="AR191">
        <v>13</v>
      </c>
    </row>
    <row r="192" spans="1:44" hidden="1">
      <c r="A192" t="s">
        <v>76</v>
      </c>
      <c r="B192" t="s">
        <v>448</v>
      </c>
      <c r="C192" t="s">
        <v>461</v>
      </c>
      <c r="D192" t="s">
        <v>466</v>
      </c>
      <c r="F192" t="s">
        <v>48</v>
      </c>
      <c r="G192">
        <v>90</v>
      </c>
      <c r="H192" t="s">
        <v>80</v>
      </c>
      <c r="I192">
        <v>37102.333333333336</v>
      </c>
      <c r="P192" t="s">
        <v>60</v>
      </c>
      <c r="S192" t="s">
        <v>81</v>
      </c>
      <c r="T192" t="s">
        <v>451</v>
      </c>
      <c r="U192" t="s">
        <v>452</v>
      </c>
      <c r="V192">
        <v>280</v>
      </c>
      <c r="W192">
        <v>83</v>
      </c>
      <c r="X192">
        <v>162.19999999999999</v>
      </c>
      <c r="Y192">
        <v>103.5</v>
      </c>
      <c r="Z192">
        <v>131.5</v>
      </c>
      <c r="AA192">
        <v>147</v>
      </c>
      <c r="AB192">
        <v>147</v>
      </c>
      <c r="AC192" t="s">
        <v>55</v>
      </c>
      <c r="AD192" t="s">
        <v>63</v>
      </c>
      <c r="AE192" t="s">
        <v>63</v>
      </c>
      <c r="AF192" t="s">
        <v>63</v>
      </c>
      <c r="AG192" t="s">
        <v>63</v>
      </c>
      <c r="AH192">
        <v>83</v>
      </c>
      <c r="AI192">
        <v>181.5</v>
      </c>
      <c r="AJ192">
        <v>221</v>
      </c>
      <c r="AK192">
        <v>264.5</v>
      </c>
      <c r="AL192">
        <v>280</v>
      </c>
      <c r="AM192" t="s">
        <v>55</v>
      </c>
      <c r="AN192" t="s">
        <v>56</v>
      </c>
      <c r="AO192" t="s">
        <v>55</v>
      </c>
      <c r="AP192" t="s">
        <v>54</v>
      </c>
      <c r="AQ192" t="s">
        <v>63</v>
      </c>
      <c r="AR192">
        <v>10</v>
      </c>
    </row>
    <row r="193" spans="1:44" hidden="1">
      <c r="A193" t="s">
        <v>76</v>
      </c>
      <c r="B193" t="s">
        <v>448</v>
      </c>
      <c r="C193" t="s">
        <v>461</v>
      </c>
      <c r="D193" t="s">
        <v>467</v>
      </c>
      <c r="F193" t="s">
        <v>48</v>
      </c>
      <c r="G193">
        <v>90</v>
      </c>
      <c r="H193" t="s">
        <v>80</v>
      </c>
      <c r="I193">
        <v>37102.333333333336</v>
      </c>
      <c r="P193" t="s">
        <v>60</v>
      </c>
      <c r="S193" t="s">
        <v>81</v>
      </c>
      <c r="T193" t="s">
        <v>451</v>
      </c>
      <c r="U193" t="s">
        <v>452</v>
      </c>
      <c r="V193">
        <v>280</v>
      </c>
      <c r="W193">
        <v>83</v>
      </c>
      <c r="X193">
        <v>162.19999999999999</v>
      </c>
      <c r="Y193">
        <v>103.5</v>
      </c>
      <c r="Z193">
        <v>131.5</v>
      </c>
      <c r="AA193">
        <v>147</v>
      </c>
      <c r="AB193">
        <v>147</v>
      </c>
      <c r="AC193" t="s">
        <v>55</v>
      </c>
      <c r="AD193" t="s">
        <v>63</v>
      </c>
      <c r="AE193" t="s">
        <v>63</v>
      </c>
      <c r="AF193" t="s">
        <v>63</v>
      </c>
      <c r="AG193" t="s">
        <v>63</v>
      </c>
      <c r="AH193">
        <v>83</v>
      </c>
      <c r="AI193">
        <v>181.5</v>
      </c>
      <c r="AJ193">
        <v>221</v>
      </c>
      <c r="AK193">
        <v>264.5</v>
      </c>
      <c r="AL193">
        <v>280</v>
      </c>
      <c r="AM193" t="s">
        <v>55</v>
      </c>
      <c r="AN193" t="s">
        <v>56</v>
      </c>
      <c r="AO193" t="s">
        <v>55</v>
      </c>
      <c r="AP193" t="s">
        <v>54</v>
      </c>
      <c r="AQ193" t="s">
        <v>63</v>
      </c>
      <c r="AR193">
        <v>10</v>
      </c>
    </row>
    <row r="194" spans="1:44" hidden="1">
      <c r="A194" t="s">
        <v>76</v>
      </c>
      <c r="B194" t="s">
        <v>448</v>
      </c>
      <c r="C194" t="s">
        <v>468</v>
      </c>
      <c r="D194" t="s">
        <v>469</v>
      </c>
      <c r="F194" t="s">
        <v>127</v>
      </c>
      <c r="G194">
        <v>90</v>
      </c>
      <c r="H194" t="s">
        <v>80</v>
      </c>
      <c r="I194">
        <v>37102.333333333336</v>
      </c>
      <c r="P194" t="s">
        <v>60</v>
      </c>
      <c r="S194" t="s">
        <v>81</v>
      </c>
      <c r="T194" t="s">
        <v>451</v>
      </c>
      <c r="U194" t="s">
        <v>452</v>
      </c>
      <c r="V194">
        <v>280</v>
      </c>
      <c r="W194">
        <v>83</v>
      </c>
      <c r="X194">
        <v>162.19999999999999</v>
      </c>
      <c r="Y194">
        <v>103.5</v>
      </c>
      <c r="Z194">
        <v>131.5</v>
      </c>
      <c r="AA194">
        <v>147</v>
      </c>
      <c r="AB194">
        <v>147</v>
      </c>
      <c r="AC194" t="s">
        <v>55</v>
      </c>
      <c r="AD194" t="s">
        <v>63</v>
      </c>
      <c r="AE194" t="s">
        <v>63</v>
      </c>
      <c r="AF194" t="s">
        <v>63</v>
      </c>
      <c r="AG194" t="s">
        <v>63</v>
      </c>
      <c r="AH194">
        <v>83</v>
      </c>
      <c r="AI194">
        <v>181.5</v>
      </c>
      <c r="AJ194">
        <v>221</v>
      </c>
      <c r="AK194">
        <v>264.5</v>
      </c>
      <c r="AL194">
        <v>280</v>
      </c>
      <c r="AM194" t="s">
        <v>55</v>
      </c>
      <c r="AN194" t="s">
        <v>56</v>
      </c>
      <c r="AO194" t="s">
        <v>55</v>
      </c>
      <c r="AP194" t="s">
        <v>54</v>
      </c>
      <c r="AQ194" t="s">
        <v>63</v>
      </c>
      <c r="AR194">
        <v>10</v>
      </c>
    </row>
    <row r="195" spans="1:44" hidden="1">
      <c r="A195" t="s">
        <v>76</v>
      </c>
      <c r="B195" t="s">
        <v>448</v>
      </c>
      <c r="C195" t="s">
        <v>468</v>
      </c>
      <c r="D195" t="s">
        <v>470</v>
      </c>
      <c r="F195" t="s">
        <v>48</v>
      </c>
      <c r="G195">
        <v>90</v>
      </c>
      <c r="H195" t="s">
        <v>80</v>
      </c>
      <c r="I195">
        <v>37102.333333333336</v>
      </c>
      <c r="P195" t="s">
        <v>60</v>
      </c>
      <c r="S195" t="s">
        <v>81</v>
      </c>
      <c r="T195" t="s">
        <v>451</v>
      </c>
      <c r="U195" t="s">
        <v>452</v>
      </c>
      <c r="V195">
        <v>280</v>
      </c>
      <c r="W195">
        <v>83</v>
      </c>
      <c r="X195">
        <v>162.19999999999999</v>
      </c>
      <c r="Y195">
        <v>103.5</v>
      </c>
      <c r="Z195">
        <v>131.5</v>
      </c>
      <c r="AA195">
        <v>147</v>
      </c>
      <c r="AB195">
        <v>147</v>
      </c>
      <c r="AC195" t="s">
        <v>55</v>
      </c>
      <c r="AD195" t="s">
        <v>63</v>
      </c>
      <c r="AE195" t="s">
        <v>63</v>
      </c>
      <c r="AF195" t="s">
        <v>63</v>
      </c>
      <c r="AG195" t="s">
        <v>63</v>
      </c>
      <c r="AH195">
        <v>83</v>
      </c>
      <c r="AI195">
        <v>181.5</v>
      </c>
      <c r="AJ195">
        <v>221</v>
      </c>
      <c r="AK195">
        <v>264.5</v>
      </c>
      <c r="AL195">
        <v>280</v>
      </c>
      <c r="AM195" t="s">
        <v>55</v>
      </c>
      <c r="AN195" t="s">
        <v>56</v>
      </c>
      <c r="AO195" t="s">
        <v>55</v>
      </c>
      <c r="AP195" t="s">
        <v>54</v>
      </c>
      <c r="AQ195" t="s">
        <v>63</v>
      </c>
      <c r="AR195">
        <v>10</v>
      </c>
    </row>
    <row r="196" spans="1:44" hidden="1">
      <c r="A196" t="s">
        <v>76</v>
      </c>
      <c r="B196" t="s">
        <v>448</v>
      </c>
      <c r="C196" t="s">
        <v>468</v>
      </c>
      <c r="D196" t="s">
        <v>471</v>
      </c>
      <c r="F196" t="s">
        <v>127</v>
      </c>
      <c r="G196">
        <v>90</v>
      </c>
      <c r="H196" t="s">
        <v>80</v>
      </c>
      <c r="I196">
        <v>37102.375</v>
      </c>
      <c r="P196" t="s">
        <v>60</v>
      </c>
      <c r="S196" t="s">
        <v>81</v>
      </c>
      <c r="T196" t="s">
        <v>451</v>
      </c>
      <c r="U196" t="s">
        <v>452</v>
      </c>
      <c r="V196">
        <v>280</v>
      </c>
      <c r="W196">
        <v>76.5</v>
      </c>
      <c r="X196">
        <v>238.7</v>
      </c>
      <c r="Y196">
        <v>174.5</v>
      </c>
      <c r="Z196">
        <v>203.5</v>
      </c>
      <c r="AA196">
        <v>223.5</v>
      </c>
      <c r="AB196">
        <v>223.5</v>
      </c>
      <c r="AC196" t="s">
        <v>55</v>
      </c>
      <c r="AD196" t="s">
        <v>56</v>
      </c>
      <c r="AE196" t="s">
        <v>55</v>
      </c>
      <c r="AF196" t="s">
        <v>63</v>
      </c>
      <c r="AG196" t="s">
        <v>63</v>
      </c>
      <c r="AH196">
        <v>83</v>
      </c>
      <c r="AI196">
        <v>181.5</v>
      </c>
      <c r="AJ196">
        <v>221</v>
      </c>
      <c r="AK196">
        <v>264.5</v>
      </c>
      <c r="AL196">
        <v>280</v>
      </c>
      <c r="AM196" t="s">
        <v>55</v>
      </c>
      <c r="AN196" t="s">
        <v>56</v>
      </c>
      <c r="AO196" t="s">
        <v>55</v>
      </c>
      <c r="AP196" t="s">
        <v>54</v>
      </c>
      <c r="AQ196" t="s">
        <v>63</v>
      </c>
      <c r="AR196">
        <v>11</v>
      </c>
    </row>
    <row r="197" spans="1:44">
      <c r="A197" t="s">
        <v>76</v>
      </c>
      <c r="B197" t="s">
        <v>448</v>
      </c>
      <c r="C197" t="s">
        <v>468</v>
      </c>
      <c r="D197" t="s">
        <v>472</v>
      </c>
      <c r="F197" t="s">
        <v>48</v>
      </c>
      <c r="G197">
        <v>106</v>
      </c>
      <c r="H197" t="s">
        <v>178</v>
      </c>
      <c r="I197">
        <v>42889.333333333336</v>
      </c>
      <c r="P197" t="s">
        <v>51</v>
      </c>
      <c r="S197">
        <v>300</v>
      </c>
      <c r="T197" t="s">
        <v>473</v>
      </c>
      <c r="U197" t="s">
        <v>474</v>
      </c>
      <c r="V197">
        <v>659.5</v>
      </c>
      <c r="W197">
        <v>23</v>
      </c>
      <c r="X197">
        <v>318</v>
      </c>
      <c r="Y197">
        <v>60</v>
      </c>
      <c r="Z197">
        <v>100.5</v>
      </c>
      <c r="AA197">
        <v>128.5</v>
      </c>
      <c r="AB197">
        <v>263.5</v>
      </c>
      <c r="AC197" t="s">
        <v>63</v>
      </c>
      <c r="AD197" t="s">
        <v>63</v>
      </c>
      <c r="AE197" t="s">
        <v>63</v>
      </c>
      <c r="AF197" t="s">
        <v>63</v>
      </c>
      <c r="AG197" t="s">
        <v>63</v>
      </c>
      <c r="AH197">
        <v>60</v>
      </c>
      <c r="AI197">
        <v>116.5</v>
      </c>
      <c r="AJ197">
        <v>153</v>
      </c>
      <c r="AK197">
        <v>236.5</v>
      </c>
      <c r="AL197">
        <v>410.5</v>
      </c>
      <c r="AM197" t="s">
        <v>63</v>
      </c>
      <c r="AN197" t="s">
        <v>63</v>
      </c>
      <c r="AO197" t="s">
        <v>63</v>
      </c>
      <c r="AP197" t="s">
        <v>63</v>
      </c>
      <c r="AQ197" t="s">
        <v>55</v>
      </c>
      <c r="AR197">
        <v>29</v>
      </c>
    </row>
    <row r="198" spans="1:44" hidden="1">
      <c r="A198" t="s">
        <v>76</v>
      </c>
      <c r="B198" t="s">
        <v>448</v>
      </c>
      <c r="C198" t="s">
        <v>468</v>
      </c>
      <c r="D198" t="s">
        <v>475</v>
      </c>
      <c r="F198" t="s">
        <v>127</v>
      </c>
      <c r="G198">
        <v>90</v>
      </c>
      <c r="H198" t="s">
        <v>80</v>
      </c>
      <c r="I198">
        <v>37102.333333333336</v>
      </c>
      <c r="P198" t="s">
        <v>60</v>
      </c>
      <c r="S198" t="s">
        <v>81</v>
      </c>
      <c r="T198" t="s">
        <v>451</v>
      </c>
      <c r="U198" t="s">
        <v>452</v>
      </c>
      <c r="V198">
        <v>280</v>
      </c>
      <c r="W198">
        <v>83</v>
      </c>
      <c r="X198">
        <v>162.19999999999999</v>
      </c>
      <c r="Y198">
        <v>103.5</v>
      </c>
      <c r="Z198">
        <v>131.5</v>
      </c>
      <c r="AA198">
        <v>147</v>
      </c>
      <c r="AB198">
        <v>147</v>
      </c>
      <c r="AC198" t="s">
        <v>55</v>
      </c>
      <c r="AD198" t="s">
        <v>63</v>
      </c>
      <c r="AE198" t="s">
        <v>63</v>
      </c>
      <c r="AF198" t="s">
        <v>63</v>
      </c>
      <c r="AG198" t="s">
        <v>63</v>
      </c>
      <c r="AH198">
        <v>83</v>
      </c>
      <c r="AI198">
        <v>181.5</v>
      </c>
      <c r="AJ198">
        <v>221</v>
      </c>
      <c r="AK198">
        <v>264.5</v>
      </c>
      <c r="AL198">
        <v>280</v>
      </c>
      <c r="AM198" t="s">
        <v>55</v>
      </c>
      <c r="AN198" t="s">
        <v>56</v>
      </c>
      <c r="AO198" t="s">
        <v>55</v>
      </c>
      <c r="AP198" t="s">
        <v>54</v>
      </c>
      <c r="AQ198" t="s">
        <v>63</v>
      </c>
      <c r="AR198">
        <v>10</v>
      </c>
    </row>
    <row r="199" spans="1:44" hidden="1">
      <c r="A199" t="s">
        <v>76</v>
      </c>
      <c r="B199" t="s">
        <v>448</v>
      </c>
      <c r="C199" t="s">
        <v>468</v>
      </c>
      <c r="D199" t="s">
        <v>476</v>
      </c>
      <c r="F199" t="s">
        <v>127</v>
      </c>
      <c r="G199">
        <v>90</v>
      </c>
      <c r="H199" t="s">
        <v>80</v>
      </c>
      <c r="I199">
        <v>37102.333333333336</v>
      </c>
      <c r="P199" t="s">
        <v>60</v>
      </c>
      <c r="S199" t="s">
        <v>81</v>
      </c>
      <c r="T199" t="s">
        <v>451</v>
      </c>
      <c r="U199" t="s">
        <v>452</v>
      </c>
      <c r="V199">
        <v>280</v>
      </c>
      <c r="W199">
        <v>83</v>
      </c>
      <c r="X199">
        <v>162.19999999999999</v>
      </c>
      <c r="Y199">
        <v>103.5</v>
      </c>
      <c r="Z199">
        <v>131.5</v>
      </c>
      <c r="AA199">
        <v>147</v>
      </c>
      <c r="AB199">
        <v>147</v>
      </c>
      <c r="AC199" t="s">
        <v>55</v>
      </c>
      <c r="AD199" t="s">
        <v>63</v>
      </c>
      <c r="AE199" t="s">
        <v>63</v>
      </c>
      <c r="AF199" t="s">
        <v>63</v>
      </c>
      <c r="AG199" t="s">
        <v>63</v>
      </c>
      <c r="AH199">
        <v>83</v>
      </c>
      <c r="AI199">
        <v>181.5</v>
      </c>
      <c r="AJ199">
        <v>221</v>
      </c>
      <c r="AK199">
        <v>264.5</v>
      </c>
      <c r="AL199">
        <v>280</v>
      </c>
      <c r="AM199" t="s">
        <v>55</v>
      </c>
      <c r="AN199" t="s">
        <v>56</v>
      </c>
      <c r="AO199" t="s">
        <v>55</v>
      </c>
      <c r="AP199" t="s">
        <v>54</v>
      </c>
      <c r="AQ199" t="s">
        <v>63</v>
      </c>
      <c r="AR199">
        <v>10</v>
      </c>
    </row>
    <row r="200" spans="1:44" hidden="1">
      <c r="A200" t="s">
        <v>76</v>
      </c>
      <c r="B200" t="s">
        <v>448</v>
      </c>
      <c r="C200" t="s">
        <v>468</v>
      </c>
      <c r="D200" t="s">
        <v>477</v>
      </c>
      <c r="F200" t="s">
        <v>127</v>
      </c>
      <c r="G200">
        <v>90</v>
      </c>
      <c r="H200" t="s">
        <v>80</v>
      </c>
      <c r="I200">
        <v>37102.333333333336</v>
      </c>
      <c r="P200" t="s">
        <v>60</v>
      </c>
      <c r="S200" t="s">
        <v>81</v>
      </c>
      <c r="T200" t="s">
        <v>451</v>
      </c>
      <c r="U200" t="s">
        <v>452</v>
      </c>
      <c r="V200">
        <v>280</v>
      </c>
      <c r="W200">
        <v>83</v>
      </c>
      <c r="X200">
        <v>162.19999999999999</v>
      </c>
      <c r="Y200">
        <v>103.5</v>
      </c>
      <c r="Z200">
        <v>131.5</v>
      </c>
      <c r="AA200">
        <v>147</v>
      </c>
      <c r="AB200">
        <v>147</v>
      </c>
      <c r="AC200" t="s">
        <v>55</v>
      </c>
      <c r="AD200" t="s">
        <v>63</v>
      </c>
      <c r="AE200" t="s">
        <v>63</v>
      </c>
      <c r="AF200" t="s">
        <v>63</v>
      </c>
      <c r="AG200" t="s">
        <v>63</v>
      </c>
      <c r="AH200">
        <v>83</v>
      </c>
      <c r="AI200">
        <v>181.5</v>
      </c>
      <c r="AJ200">
        <v>221</v>
      </c>
      <c r="AK200">
        <v>264.5</v>
      </c>
      <c r="AL200">
        <v>280</v>
      </c>
      <c r="AM200" t="s">
        <v>55</v>
      </c>
      <c r="AN200" t="s">
        <v>56</v>
      </c>
      <c r="AO200" t="s">
        <v>55</v>
      </c>
      <c r="AP200" t="s">
        <v>54</v>
      </c>
      <c r="AQ200" t="s">
        <v>63</v>
      </c>
      <c r="AR200">
        <v>10</v>
      </c>
    </row>
    <row r="201" spans="1:44" hidden="1">
      <c r="A201" t="s">
        <v>76</v>
      </c>
      <c r="B201" t="s">
        <v>448</v>
      </c>
      <c r="C201" t="s">
        <v>478</v>
      </c>
      <c r="D201" t="s">
        <v>479</v>
      </c>
      <c r="F201" t="s">
        <v>48</v>
      </c>
      <c r="G201">
        <v>90</v>
      </c>
      <c r="H201" t="s">
        <v>80</v>
      </c>
      <c r="I201">
        <v>37102.333333333336</v>
      </c>
      <c r="P201" t="s">
        <v>60</v>
      </c>
      <c r="S201" t="s">
        <v>81</v>
      </c>
      <c r="T201" t="s">
        <v>451</v>
      </c>
      <c r="U201" t="s">
        <v>452</v>
      </c>
      <c r="V201">
        <v>280</v>
      </c>
      <c r="W201">
        <v>83</v>
      </c>
      <c r="X201">
        <v>162.19999999999999</v>
      </c>
      <c r="Y201">
        <v>103.5</v>
      </c>
      <c r="Z201">
        <v>131.5</v>
      </c>
      <c r="AA201">
        <v>147</v>
      </c>
      <c r="AB201">
        <v>147</v>
      </c>
      <c r="AC201" t="s">
        <v>55</v>
      </c>
      <c r="AD201" t="s">
        <v>63</v>
      </c>
      <c r="AE201" t="s">
        <v>63</v>
      </c>
      <c r="AF201" t="s">
        <v>63</v>
      </c>
      <c r="AG201" t="s">
        <v>63</v>
      </c>
      <c r="AH201">
        <v>83</v>
      </c>
      <c r="AI201">
        <v>181.5</v>
      </c>
      <c r="AJ201">
        <v>221</v>
      </c>
      <c r="AK201">
        <v>264.5</v>
      </c>
      <c r="AL201">
        <v>280</v>
      </c>
      <c r="AM201" t="s">
        <v>55</v>
      </c>
      <c r="AN201" t="s">
        <v>56</v>
      </c>
      <c r="AO201" t="s">
        <v>55</v>
      </c>
      <c r="AP201" t="s">
        <v>54</v>
      </c>
      <c r="AQ201" t="s">
        <v>63</v>
      </c>
      <c r="AR201">
        <v>10</v>
      </c>
    </row>
    <row r="202" spans="1:44" hidden="1">
      <c r="A202" t="s">
        <v>76</v>
      </c>
      <c r="B202" t="s">
        <v>448</v>
      </c>
      <c r="C202" t="s">
        <v>480</v>
      </c>
      <c r="D202" t="s">
        <v>481</v>
      </c>
      <c r="F202" t="s">
        <v>48</v>
      </c>
      <c r="G202">
        <v>90</v>
      </c>
      <c r="H202" t="s">
        <v>80</v>
      </c>
      <c r="I202">
        <v>37102.375</v>
      </c>
      <c r="P202" t="s">
        <v>60</v>
      </c>
      <c r="S202" t="s">
        <v>81</v>
      </c>
      <c r="T202" t="s">
        <v>451</v>
      </c>
      <c r="U202" t="s">
        <v>452</v>
      </c>
      <c r="V202">
        <v>280</v>
      </c>
      <c r="W202">
        <v>76.5</v>
      </c>
      <c r="X202">
        <v>238.7</v>
      </c>
      <c r="Y202">
        <v>174.5</v>
      </c>
      <c r="Z202">
        <v>203.5</v>
      </c>
      <c r="AA202">
        <v>223.5</v>
      </c>
      <c r="AB202">
        <v>223.5</v>
      </c>
      <c r="AC202" t="s">
        <v>55</v>
      </c>
      <c r="AD202" t="s">
        <v>56</v>
      </c>
      <c r="AE202" t="s">
        <v>55</v>
      </c>
      <c r="AF202" t="s">
        <v>63</v>
      </c>
      <c r="AG202" t="s">
        <v>63</v>
      </c>
      <c r="AH202">
        <v>83</v>
      </c>
      <c r="AI202">
        <v>181.5</v>
      </c>
      <c r="AJ202">
        <v>221</v>
      </c>
      <c r="AK202">
        <v>264.5</v>
      </c>
      <c r="AL202">
        <v>280</v>
      </c>
      <c r="AM202" t="s">
        <v>55</v>
      </c>
      <c r="AN202" t="s">
        <v>56</v>
      </c>
      <c r="AO202" t="s">
        <v>55</v>
      </c>
      <c r="AP202" t="s">
        <v>54</v>
      </c>
      <c r="AQ202" t="s">
        <v>63</v>
      </c>
      <c r="AR202">
        <v>11</v>
      </c>
    </row>
    <row r="203" spans="1:44" hidden="1">
      <c r="A203" t="s">
        <v>76</v>
      </c>
      <c r="B203" t="s">
        <v>482</v>
      </c>
      <c r="C203" t="s">
        <v>483</v>
      </c>
      <c r="D203" t="s">
        <v>484</v>
      </c>
      <c r="F203" t="s">
        <v>48</v>
      </c>
      <c r="G203">
        <v>90</v>
      </c>
      <c r="H203" t="s">
        <v>80</v>
      </c>
      <c r="I203">
        <v>37102.291666666664</v>
      </c>
      <c r="P203" t="s">
        <v>60</v>
      </c>
      <c r="S203" t="s">
        <v>81</v>
      </c>
      <c r="T203">
        <v>467650</v>
      </c>
      <c r="U203" t="s">
        <v>485</v>
      </c>
      <c r="V203">
        <v>330.5</v>
      </c>
      <c r="W203">
        <v>110</v>
      </c>
      <c r="X203">
        <v>225.2</v>
      </c>
      <c r="Y203">
        <v>169.6</v>
      </c>
      <c r="Z203">
        <v>195.6</v>
      </c>
      <c r="AA203">
        <v>214</v>
      </c>
      <c r="AB203">
        <v>214</v>
      </c>
      <c r="AC203" t="s">
        <v>58</v>
      </c>
      <c r="AD203" t="s">
        <v>56</v>
      </c>
      <c r="AE203" t="s">
        <v>54</v>
      </c>
      <c r="AF203" t="s">
        <v>63</v>
      </c>
      <c r="AG203" t="s">
        <v>63</v>
      </c>
      <c r="AH203">
        <v>110</v>
      </c>
      <c r="AI203">
        <v>213</v>
      </c>
      <c r="AJ203">
        <v>271.2</v>
      </c>
      <c r="AK203">
        <v>312.10000000000002</v>
      </c>
      <c r="AL203">
        <v>330.5</v>
      </c>
      <c r="AM203" t="s">
        <v>58</v>
      </c>
      <c r="AN203" t="s">
        <v>58</v>
      </c>
      <c r="AO203" t="s">
        <v>57</v>
      </c>
      <c r="AP203" t="s">
        <v>55</v>
      </c>
      <c r="AQ203" t="s">
        <v>54</v>
      </c>
      <c r="AR203">
        <v>10</v>
      </c>
    </row>
    <row r="204" spans="1:44" hidden="1">
      <c r="A204" t="s">
        <v>76</v>
      </c>
      <c r="B204" t="s">
        <v>486</v>
      </c>
      <c r="C204" t="s">
        <v>487</v>
      </c>
      <c r="D204" t="s">
        <v>488</v>
      </c>
      <c r="F204" t="s">
        <v>48</v>
      </c>
      <c r="G204">
        <v>90</v>
      </c>
      <c r="H204" t="s">
        <v>80</v>
      </c>
      <c r="I204">
        <v>37102.25</v>
      </c>
      <c r="P204" t="s">
        <v>60</v>
      </c>
      <c r="S204" t="s">
        <v>81</v>
      </c>
      <c r="T204" t="s">
        <v>489</v>
      </c>
      <c r="U204" t="s">
        <v>490</v>
      </c>
      <c r="V204">
        <v>380</v>
      </c>
      <c r="W204">
        <v>61</v>
      </c>
      <c r="X204">
        <v>263.60000000000002</v>
      </c>
      <c r="Y204">
        <v>159</v>
      </c>
      <c r="Z204">
        <v>196</v>
      </c>
      <c r="AA204">
        <v>242.5</v>
      </c>
      <c r="AB204">
        <v>242.5</v>
      </c>
      <c r="AC204" t="s">
        <v>63</v>
      </c>
      <c r="AD204" t="s">
        <v>55</v>
      </c>
      <c r="AE204" t="s">
        <v>54</v>
      </c>
      <c r="AF204" t="s">
        <v>54</v>
      </c>
      <c r="AG204" t="s">
        <v>63</v>
      </c>
      <c r="AH204">
        <v>61</v>
      </c>
      <c r="AI204">
        <v>159</v>
      </c>
      <c r="AJ204">
        <v>249.5</v>
      </c>
      <c r="AK204">
        <v>322.5</v>
      </c>
      <c r="AL204">
        <v>380</v>
      </c>
      <c r="AM204" t="s">
        <v>63</v>
      </c>
      <c r="AN204" t="s">
        <v>55</v>
      </c>
      <c r="AO204" t="s">
        <v>56</v>
      </c>
      <c r="AP204" t="s">
        <v>56</v>
      </c>
      <c r="AQ204" t="s">
        <v>54</v>
      </c>
      <c r="AR204">
        <v>9</v>
      </c>
    </row>
    <row r="205" spans="1:44" hidden="1">
      <c r="A205" t="s">
        <v>76</v>
      </c>
      <c r="B205" t="s">
        <v>486</v>
      </c>
      <c r="C205" t="s">
        <v>491</v>
      </c>
      <c r="D205" t="s">
        <v>492</v>
      </c>
      <c r="F205" t="s">
        <v>48</v>
      </c>
      <c r="G205">
        <v>90</v>
      </c>
      <c r="H205" t="s">
        <v>80</v>
      </c>
      <c r="I205">
        <v>37102.25</v>
      </c>
      <c r="P205" t="s">
        <v>60</v>
      </c>
      <c r="S205" t="s">
        <v>81</v>
      </c>
      <c r="T205" t="s">
        <v>489</v>
      </c>
      <c r="U205" t="s">
        <v>490</v>
      </c>
      <c r="V205">
        <v>380</v>
      </c>
      <c r="W205">
        <v>61</v>
      </c>
      <c r="X205">
        <v>263.60000000000002</v>
      </c>
      <c r="Y205">
        <v>159</v>
      </c>
      <c r="Z205">
        <v>196</v>
      </c>
      <c r="AA205">
        <v>242.5</v>
      </c>
      <c r="AB205">
        <v>242.5</v>
      </c>
      <c r="AC205" t="s">
        <v>63</v>
      </c>
      <c r="AD205" t="s">
        <v>55</v>
      </c>
      <c r="AE205" t="s">
        <v>54</v>
      </c>
      <c r="AF205" t="s">
        <v>54</v>
      </c>
      <c r="AG205" t="s">
        <v>63</v>
      </c>
      <c r="AH205">
        <v>61</v>
      </c>
      <c r="AI205">
        <v>159</v>
      </c>
      <c r="AJ205">
        <v>249.5</v>
      </c>
      <c r="AK205">
        <v>322.5</v>
      </c>
      <c r="AL205">
        <v>380</v>
      </c>
      <c r="AM205" t="s">
        <v>63</v>
      </c>
      <c r="AN205" t="s">
        <v>55</v>
      </c>
      <c r="AO205" t="s">
        <v>56</v>
      </c>
      <c r="AP205" t="s">
        <v>56</v>
      </c>
      <c r="AQ205" t="s">
        <v>54</v>
      </c>
      <c r="AR205">
        <v>9</v>
      </c>
    </row>
    <row r="206" spans="1:44" hidden="1">
      <c r="A206" t="s">
        <v>174</v>
      </c>
      <c r="B206" t="s">
        <v>175</v>
      </c>
      <c r="C206" t="s">
        <v>493</v>
      </c>
      <c r="D206" t="s">
        <v>494</v>
      </c>
      <c r="F206" t="s">
        <v>48</v>
      </c>
      <c r="G206">
        <v>90</v>
      </c>
      <c r="H206" t="s">
        <v>200</v>
      </c>
      <c r="I206">
        <v>37151</v>
      </c>
      <c r="P206" t="s">
        <v>60</v>
      </c>
      <c r="S206" t="s">
        <v>81</v>
      </c>
      <c r="T206" t="s">
        <v>495</v>
      </c>
      <c r="U206" t="s">
        <v>496</v>
      </c>
      <c r="V206">
        <v>580</v>
      </c>
      <c r="W206">
        <v>68</v>
      </c>
      <c r="X206">
        <v>364.9</v>
      </c>
      <c r="Y206">
        <v>145.5</v>
      </c>
      <c r="Z206">
        <v>161</v>
      </c>
      <c r="AA206">
        <v>210</v>
      </c>
      <c r="AB206">
        <v>356.5</v>
      </c>
      <c r="AC206" t="s">
        <v>54</v>
      </c>
      <c r="AD206" t="s">
        <v>54</v>
      </c>
      <c r="AE206" t="s">
        <v>63</v>
      </c>
      <c r="AF206" t="s">
        <v>63</v>
      </c>
      <c r="AG206" t="s">
        <v>54</v>
      </c>
      <c r="AH206">
        <v>68</v>
      </c>
      <c r="AI206">
        <v>145.5</v>
      </c>
      <c r="AJ206">
        <v>179.5</v>
      </c>
      <c r="AK206">
        <v>214.5</v>
      </c>
      <c r="AL206">
        <v>387</v>
      </c>
      <c r="AM206" t="s">
        <v>54</v>
      </c>
      <c r="AN206" t="s">
        <v>54</v>
      </c>
      <c r="AO206" t="s">
        <v>54</v>
      </c>
      <c r="AP206" t="s">
        <v>63</v>
      </c>
      <c r="AQ206" t="s">
        <v>55</v>
      </c>
      <c r="AR206">
        <v>20</v>
      </c>
    </row>
    <row r="207" spans="1:44">
      <c r="A207" t="s">
        <v>174</v>
      </c>
      <c r="B207" t="s">
        <v>175</v>
      </c>
      <c r="C207" t="s">
        <v>497</v>
      </c>
      <c r="D207" t="s">
        <v>498</v>
      </c>
      <c r="F207" t="s">
        <v>48</v>
      </c>
      <c r="G207">
        <v>98</v>
      </c>
      <c r="H207" t="s">
        <v>153</v>
      </c>
      <c r="I207">
        <v>40033.916666666664</v>
      </c>
      <c r="P207" t="s">
        <v>51</v>
      </c>
      <c r="S207">
        <v>400</v>
      </c>
      <c r="T207" t="s">
        <v>198</v>
      </c>
      <c r="U207" t="s">
        <v>199</v>
      </c>
      <c r="V207">
        <v>1975</v>
      </c>
      <c r="W207">
        <v>33</v>
      </c>
      <c r="X207">
        <v>1051.0999999999999</v>
      </c>
      <c r="Y207">
        <v>116.5</v>
      </c>
      <c r="Z207">
        <v>239</v>
      </c>
      <c r="AA207">
        <v>381.5</v>
      </c>
      <c r="AB207">
        <v>555.5</v>
      </c>
      <c r="AC207" t="s">
        <v>63</v>
      </c>
      <c r="AD207" t="s">
        <v>63</v>
      </c>
      <c r="AE207" t="s">
        <v>55</v>
      </c>
      <c r="AF207" t="s">
        <v>56</v>
      </c>
      <c r="AG207" t="s">
        <v>57</v>
      </c>
      <c r="AH207">
        <v>88</v>
      </c>
      <c r="AI207">
        <v>233</v>
      </c>
      <c r="AJ207">
        <v>380.5</v>
      </c>
      <c r="AK207">
        <v>624</v>
      </c>
      <c r="AL207">
        <v>1028.5</v>
      </c>
      <c r="AM207" t="s">
        <v>55</v>
      </c>
      <c r="AN207" t="s">
        <v>58</v>
      </c>
      <c r="AO207" t="s">
        <v>64</v>
      </c>
      <c r="AP207" t="s">
        <v>64</v>
      </c>
      <c r="AQ207" t="s">
        <v>64</v>
      </c>
      <c r="AR207">
        <v>54</v>
      </c>
    </row>
    <row r="208" spans="1:44">
      <c r="A208" t="s">
        <v>183</v>
      </c>
      <c r="B208" t="s">
        <v>499</v>
      </c>
      <c r="C208" t="s">
        <v>500</v>
      </c>
      <c r="D208" t="s">
        <v>501</v>
      </c>
      <c r="F208" t="s">
        <v>48</v>
      </c>
      <c r="G208">
        <v>98</v>
      </c>
      <c r="H208" t="s">
        <v>153</v>
      </c>
      <c r="I208">
        <v>40033.125</v>
      </c>
      <c r="P208" t="s">
        <v>51</v>
      </c>
      <c r="S208">
        <v>500</v>
      </c>
      <c r="T208" t="s">
        <v>502</v>
      </c>
      <c r="U208" t="s">
        <v>503</v>
      </c>
      <c r="V208">
        <v>2253.5</v>
      </c>
      <c r="W208">
        <v>33</v>
      </c>
      <c r="X208">
        <v>701.3</v>
      </c>
      <c r="Y208">
        <v>115</v>
      </c>
      <c r="Z208">
        <v>193.5</v>
      </c>
      <c r="AA208">
        <v>340</v>
      </c>
      <c r="AB208">
        <v>563.5</v>
      </c>
      <c r="AC208" t="s">
        <v>63</v>
      </c>
      <c r="AD208" t="s">
        <v>63</v>
      </c>
      <c r="AE208" t="s">
        <v>54</v>
      </c>
      <c r="AF208" t="s">
        <v>56</v>
      </c>
      <c r="AG208" t="s">
        <v>57</v>
      </c>
      <c r="AH208">
        <v>103.5</v>
      </c>
      <c r="AI208">
        <v>264</v>
      </c>
      <c r="AJ208">
        <v>473</v>
      </c>
      <c r="AK208">
        <v>874.5</v>
      </c>
      <c r="AL208">
        <v>1380</v>
      </c>
      <c r="AM208" t="s">
        <v>57</v>
      </c>
      <c r="AN208" t="s">
        <v>64</v>
      </c>
      <c r="AO208" t="s">
        <v>64</v>
      </c>
      <c r="AP208" t="s">
        <v>64</v>
      </c>
      <c r="AQ208" t="s">
        <v>64</v>
      </c>
      <c r="AR208">
        <v>34</v>
      </c>
    </row>
    <row r="209" spans="1:44" hidden="1">
      <c r="A209" t="s">
        <v>183</v>
      </c>
      <c r="B209" t="s">
        <v>504</v>
      </c>
      <c r="C209" t="s">
        <v>505</v>
      </c>
      <c r="D209" t="s">
        <v>506</v>
      </c>
      <c r="F209" t="s">
        <v>48</v>
      </c>
      <c r="G209">
        <v>94</v>
      </c>
      <c r="H209" t="s">
        <v>74</v>
      </c>
      <c r="I209">
        <v>38596.333333333336</v>
      </c>
      <c r="P209" t="s">
        <v>51</v>
      </c>
      <c r="S209">
        <v>450</v>
      </c>
      <c r="T209" t="s">
        <v>507</v>
      </c>
      <c r="U209" t="s">
        <v>508</v>
      </c>
      <c r="V209">
        <v>396.5</v>
      </c>
      <c r="W209">
        <v>30</v>
      </c>
      <c r="X209">
        <v>662</v>
      </c>
      <c r="Y209">
        <v>85.5</v>
      </c>
      <c r="Z209">
        <v>133.5</v>
      </c>
      <c r="AA209">
        <v>329</v>
      </c>
      <c r="AB209">
        <v>338</v>
      </c>
      <c r="AC209" t="s">
        <v>63</v>
      </c>
      <c r="AD209" t="s">
        <v>63</v>
      </c>
      <c r="AE209" t="s">
        <v>63</v>
      </c>
      <c r="AF209" t="s">
        <v>55</v>
      </c>
      <c r="AG209" t="s">
        <v>63</v>
      </c>
      <c r="AH209">
        <v>49.5</v>
      </c>
      <c r="AI209">
        <v>126.5</v>
      </c>
      <c r="AJ209">
        <v>206</v>
      </c>
      <c r="AK209">
        <v>337</v>
      </c>
      <c r="AL209">
        <v>396.5</v>
      </c>
      <c r="AM209" t="s">
        <v>63</v>
      </c>
      <c r="AN209" t="s">
        <v>63</v>
      </c>
      <c r="AO209" t="s">
        <v>54</v>
      </c>
      <c r="AP209" t="s">
        <v>55</v>
      </c>
      <c r="AQ209" t="s">
        <v>54</v>
      </c>
      <c r="AR209">
        <v>13</v>
      </c>
    </row>
    <row r="210" spans="1:44">
      <c r="A210" t="s">
        <v>183</v>
      </c>
      <c r="B210" t="s">
        <v>504</v>
      </c>
      <c r="C210" t="s">
        <v>505</v>
      </c>
      <c r="D210" t="s">
        <v>509</v>
      </c>
      <c r="F210" t="s">
        <v>127</v>
      </c>
      <c r="G210">
        <v>105</v>
      </c>
      <c r="H210" t="s">
        <v>254</v>
      </c>
      <c r="I210">
        <v>42640.958333333336</v>
      </c>
      <c r="P210" t="s">
        <v>51</v>
      </c>
      <c r="S210">
        <v>350</v>
      </c>
      <c r="T210" t="s">
        <v>507</v>
      </c>
      <c r="U210" t="s">
        <v>508</v>
      </c>
      <c r="V210">
        <v>397.5</v>
      </c>
      <c r="W210">
        <v>28.5</v>
      </c>
      <c r="X210">
        <v>325.5</v>
      </c>
      <c r="Y210">
        <v>46</v>
      </c>
      <c r="Z210">
        <v>78.5</v>
      </c>
      <c r="AA210">
        <v>286</v>
      </c>
      <c r="AB210">
        <v>325.5</v>
      </c>
      <c r="AC210" t="s">
        <v>63</v>
      </c>
      <c r="AD210" t="s">
        <v>63</v>
      </c>
      <c r="AE210" t="s">
        <v>63</v>
      </c>
      <c r="AF210" t="s">
        <v>54</v>
      </c>
      <c r="AG210" t="s">
        <v>63</v>
      </c>
      <c r="AH210">
        <v>69.5</v>
      </c>
      <c r="AI210">
        <v>157.5</v>
      </c>
      <c r="AJ210">
        <v>207.5</v>
      </c>
      <c r="AK210">
        <v>302</v>
      </c>
      <c r="AL210">
        <v>397.5</v>
      </c>
      <c r="AM210" t="s">
        <v>54</v>
      </c>
      <c r="AN210" t="s">
        <v>54</v>
      </c>
      <c r="AO210" t="s">
        <v>54</v>
      </c>
      <c r="AP210" t="s">
        <v>54</v>
      </c>
      <c r="AQ210" t="s">
        <v>54</v>
      </c>
      <c r="AR210">
        <v>15</v>
      </c>
    </row>
    <row r="211" spans="1:44" hidden="1">
      <c r="A211" t="s">
        <v>183</v>
      </c>
      <c r="B211" t="s">
        <v>193</v>
      </c>
      <c r="C211" t="s">
        <v>194</v>
      </c>
      <c r="D211" t="s">
        <v>510</v>
      </c>
      <c r="F211" t="s">
        <v>48</v>
      </c>
      <c r="G211">
        <v>90</v>
      </c>
      <c r="H211" t="s">
        <v>80</v>
      </c>
      <c r="I211">
        <v>37102</v>
      </c>
      <c r="P211" t="s">
        <v>60</v>
      </c>
      <c r="S211" t="s">
        <v>81</v>
      </c>
      <c r="T211" t="s">
        <v>198</v>
      </c>
      <c r="U211" t="s">
        <v>199</v>
      </c>
      <c r="V211">
        <v>395</v>
      </c>
      <c r="W211">
        <v>58</v>
      </c>
      <c r="X211">
        <v>316.39999999999998</v>
      </c>
      <c r="Y211">
        <v>168.5</v>
      </c>
      <c r="Z211">
        <v>245</v>
      </c>
      <c r="AA211">
        <v>283</v>
      </c>
      <c r="AB211">
        <v>283</v>
      </c>
      <c r="AC211" t="s">
        <v>63</v>
      </c>
      <c r="AD211" t="s">
        <v>55</v>
      </c>
      <c r="AE211" t="s">
        <v>55</v>
      </c>
      <c r="AF211" t="s">
        <v>54</v>
      </c>
      <c r="AG211" t="s">
        <v>63</v>
      </c>
      <c r="AH211">
        <v>58</v>
      </c>
      <c r="AI211">
        <v>168.5</v>
      </c>
      <c r="AJ211">
        <v>267</v>
      </c>
      <c r="AK211">
        <v>358.5</v>
      </c>
      <c r="AL211">
        <v>395</v>
      </c>
      <c r="AM211" t="s">
        <v>63</v>
      </c>
      <c r="AN211" t="s">
        <v>55</v>
      </c>
      <c r="AO211" t="s">
        <v>56</v>
      </c>
      <c r="AP211" t="s">
        <v>56</v>
      </c>
      <c r="AQ211" t="s">
        <v>54</v>
      </c>
      <c r="AR211">
        <v>10</v>
      </c>
    </row>
    <row r="212" spans="1:44" hidden="1">
      <c r="A212" t="s">
        <v>183</v>
      </c>
      <c r="B212" t="s">
        <v>193</v>
      </c>
      <c r="C212" t="s">
        <v>511</v>
      </c>
      <c r="D212" t="s">
        <v>512</v>
      </c>
      <c r="F212" t="s">
        <v>48</v>
      </c>
      <c r="G212">
        <v>90</v>
      </c>
      <c r="H212" t="s">
        <v>200</v>
      </c>
      <c r="I212">
        <v>37152</v>
      </c>
      <c r="P212" t="s">
        <v>60</v>
      </c>
      <c r="S212" t="s">
        <v>81</v>
      </c>
      <c r="T212" t="s">
        <v>513</v>
      </c>
      <c r="U212" t="s">
        <v>514</v>
      </c>
      <c r="V212">
        <v>771.5</v>
      </c>
      <c r="W212">
        <v>66.5</v>
      </c>
      <c r="X212">
        <v>465.4</v>
      </c>
      <c r="Y212">
        <v>148</v>
      </c>
      <c r="Z212">
        <v>182.5</v>
      </c>
      <c r="AA212">
        <v>296</v>
      </c>
      <c r="AB212">
        <v>461.5</v>
      </c>
      <c r="AC212" t="s">
        <v>63</v>
      </c>
      <c r="AD212" t="s">
        <v>54</v>
      </c>
      <c r="AE212" t="s">
        <v>63</v>
      </c>
      <c r="AF212" t="s">
        <v>54</v>
      </c>
      <c r="AG212" t="s">
        <v>54</v>
      </c>
      <c r="AH212">
        <v>66.5</v>
      </c>
      <c r="AI212">
        <v>167</v>
      </c>
      <c r="AJ212">
        <v>211.5</v>
      </c>
      <c r="AK212">
        <v>327</v>
      </c>
      <c r="AL212">
        <v>519</v>
      </c>
      <c r="AM212" t="s">
        <v>63</v>
      </c>
      <c r="AN212" t="s">
        <v>55</v>
      </c>
      <c r="AO212" t="s">
        <v>54</v>
      </c>
      <c r="AP212" t="s">
        <v>54</v>
      </c>
      <c r="AQ212" t="s">
        <v>55</v>
      </c>
      <c r="AR212">
        <v>20</v>
      </c>
    </row>
    <row r="213" spans="1:44">
      <c r="A213" t="s">
        <v>183</v>
      </c>
      <c r="B213" t="s">
        <v>193</v>
      </c>
      <c r="C213" t="s">
        <v>203</v>
      </c>
      <c r="D213" t="s">
        <v>515</v>
      </c>
      <c r="E213" t="s">
        <v>516</v>
      </c>
      <c r="F213" t="s">
        <v>127</v>
      </c>
      <c r="G213">
        <v>98</v>
      </c>
      <c r="H213" t="s">
        <v>153</v>
      </c>
      <c r="I213">
        <v>40034.25</v>
      </c>
      <c r="P213" t="s">
        <v>51</v>
      </c>
      <c r="S213">
        <v>300</v>
      </c>
      <c r="T213" t="s">
        <v>206</v>
      </c>
      <c r="U213" t="s">
        <v>207</v>
      </c>
      <c r="V213">
        <v>1882</v>
      </c>
      <c r="W213">
        <v>24</v>
      </c>
      <c r="X213">
        <v>1347.7</v>
      </c>
      <c r="Y213">
        <v>90</v>
      </c>
      <c r="Z213">
        <v>376.5</v>
      </c>
      <c r="AA213">
        <v>631</v>
      </c>
      <c r="AB213">
        <v>891.5</v>
      </c>
      <c r="AC213" t="s">
        <v>63</v>
      </c>
      <c r="AD213" t="s">
        <v>63</v>
      </c>
      <c r="AE213" t="s">
        <v>87</v>
      </c>
      <c r="AF213" t="s">
        <v>64</v>
      </c>
      <c r="AG213" t="s">
        <v>64</v>
      </c>
      <c r="AH213">
        <v>121.5</v>
      </c>
      <c r="AI213">
        <v>286.5</v>
      </c>
      <c r="AJ213">
        <v>415.5</v>
      </c>
      <c r="AK213">
        <v>654.5</v>
      </c>
      <c r="AL213">
        <v>1065.5</v>
      </c>
      <c r="AM213" t="s">
        <v>58</v>
      </c>
      <c r="AN213" t="s">
        <v>64</v>
      </c>
      <c r="AO213" t="s">
        <v>64</v>
      </c>
      <c r="AP213" t="s">
        <v>64</v>
      </c>
      <c r="AQ213" t="s">
        <v>64</v>
      </c>
      <c r="AR213">
        <v>62</v>
      </c>
    </row>
    <row r="214" spans="1:44">
      <c r="A214" t="s">
        <v>183</v>
      </c>
      <c r="B214" t="s">
        <v>193</v>
      </c>
      <c r="C214" t="s">
        <v>517</v>
      </c>
      <c r="D214" t="s">
        <v>518</v>
      </c>
      <c r="E214" t="s">
        <v>519</v>
      </c>
      <c r="F214" t="s">
        <v>127</v>
      </c>
      <c r="G214">
        <v>98</v>
      </c>
      <c r="H214" t="s">
        <v>153</v>
      </c>
      <c r="I214">
        <v>40033.083333333336</v>
      </c>
      <c r="P214" t="s">
        <v>51</v>
      </c>
      <c r="S214">
        <v>300</v>
      </c>
      <c r="T214" t="s">
        <v>520</v>
      </c>
      <c r="U214" t="s">
        <v>521</v>
      </c>
      <c r="V214">
        <v>2379</v>
      </c>
      <c r="W214">
        <v>36</v>
      </c>
      <c r="X214">
        <v>589.79999999999995</v>
      </c>
      <c r="Y214">
        <v>79</v>
      </c>
      <c r="Z214">
        <v>151.5</v>
      </c>
      <c r="AA214">
        <v>272.5</v>
      </c>
      <c r="AB214">
        <v>491.5</v>
      </c>
      <c r="AC214" t="s">
        <v>63</v>
      </c>
      <c r="AD214" t="s">
        <v>63</v>
      </c>
      <c r="AE214" t="s">
        <v>63</v>
      </c>
      <c r="AF214" t="s">
        <v>54</v>
      </c>
      <c r="AG214" t="s">
        <v>56</v>
      </c>
      <c r="AH214">
        <v>75.5</v>
      </c>
      <c r="AI214">
        <v>209.5</v>
      </c>
      <c r="AJ214">
        <v>392.5</v>
      </c>
      <c r="AK214">
        <v>715</v>
      </c>
      <c r="AL214">
        <v>1214.5</v>
      </c>
      <c r="AM214" t="s">
        <v>54</v>
      </c>
      <c r="AN214" t="s">
        <v>57</v>
      </c>
      <c r="AO214" t="s">
        <v>64</v>
      </c>
      <c r="AP214" t="s">
        <v>64</v>
      </c>
      <c r="AQ214" t="s">
        <v>64</v>
      </c>
      <c r="AR214">
        <v>31</v>
      </c>
    </row>
    <row r="215" spans="1:44">
      <c r="A215" t="s">
        <v>183</v>
      </c>
      <c r="B215" t="s">
        <v>193</v>
      </c>
      <c r="C215" t="s">
        <v>522</v>
      </c>
      <c r="D215" t="s">
        <v>523</v>
      </c>
      <c r="E215" t="s">
        <v>524</v>
      </c>
      <c r="F215" t="s">
        <v>48</v>
      </c>
      <c r="G215">
        <v>98</v>
      </c>
      <c r="H215" t="s">
        <v>153</v>
      </c>
      <c r="I215">
        <v>40033.708333333336</v>
      </c>
      <c r="P215" t="s">
        <v>51</v>
      </c>
      <c r="S215">
        <v>300</v>
      </c>
      <c r="T215" t="s">
        <v>520</v>
      </c>
      <c r="U215" t="s">
        <v>521</v>
      </c>
      <c r="V215">
        <v>2379</v>
      </c>
      <c r="W215">
        <v>59.5</v>
      </c>
      <c r="X215">
        <v>1062.3</v>
      </c>
      <c r="Y215">
        <v>154.5</v>
      </c>
      <c r="Z215">
        <v>280</v>
      </c>
      <c r="AA215">
        <v>439.5</v>
      </c>
      <c r="AB215">
        <v>744.5</v>
      </c>
      <c r="AC215" t="s">
        <v>63</v>
      </c>
      <c r="AD215" t="s">
        <v>54</v>
      </c>
      <c r="AE215" t="s">
        <v>56</v>
      </c>
      <c r="AF215" t="s">
        <v>57</v>
      </c>
      <c r="AG215" t="s">
        <v>64</v>
      </c>
      <c r="AH215">
        <v>75.5</v>
      </c>
      <c r="AI215">
        <v>209.5</v>
      </c>
      <c r="AJ215">
        <v>392.5</v>
      </c>
      <c r="AK215">
        <v>715</v>
      </c>
      <c r="AL215">
        <v>1214.5</v>
      </c>
      <c r="AM215" t="s">
        <v>54</v>
      </c>
      <c r="AN215" t="s">
        <v>57</v>
      </c>
      <c r="AO215" t="s">
        <v>64</v>
      </c>
      <c r="AP215" t="s">
        <v>64</v>
      </c>
      <c r="AQ215" t="s">
        <v>64</v>
      </c>
      <c r="AR215">
        <v>46</v>
      </c>
    </row>
    <row r="216" spans="1:44">
      <c r="A216" t="s">
        <v>183</v>
      </c>
      <c r="B216" t="s">
        <v>208</v>
      </c>
      <c r="C216" t="s">
        <v>525</v>
      </c>
      <c r="D216" t="s">
        <v>526</v>
      </c>
      <c r="E216" t="s">
        <v>527</v>
      </c>
      <c r="F216" t="s">
        <v>127</v>
      </c>
      <c r="G216">
        <v>98</v>
      </c>
      <c r="H216" t="s">
        <v>153</v>
      </c>
      <c r="I216">
        <v>40033.916666666664</v>
      </c>
      <c r="P216" t="s">
        <v>51</v>
      </c>
      <c r="S216">
        <v>400</v>
      </c>
      <c r="T216" t="s">
        <v>211</v>
      </c>
      <c r="U216" t="s">
        <v>212</v>
      </c>
      <c r="V216">
        <v>1889.5</v>
      </c>
      <c r="W216">
        <v>38</v>
      </c>
      <c r="X216">
        <v>923.4</v>
      </c>
      <c r="Y216">
        <v>119</v>
      </c>
      <c r="Z216">
        <v>235.5</v>
      </c>
      <c r="AA216">
        <v>405.5</v>
      </c>
      <c r="AB216">
        <v>564.5</v>
      </c>
      <c r="AC216" t="s">
        <v>63</v>
      </c>
      <c r="AD216" t="s">
        <v>63</v>
      </c>
      <c r="AE216" t="s">
        <v>55</v>
      </c>
      <c r="AF216" t="s">
        <v>56</v>
      </c>
      <c r="AG216" t="s">
        <v>57</v>
      </c>
      <c r="AH216">
        <v>105</v>
      </c>
      <c r="AI216">
        <v>257</v>
      </c>
      <c r="AJ216">
        <v>404</v>
      </c>
      <c r="AK216">
        <v>644.5</v>
      </c>
      <c r="AL216">
        <v>1084.5</v>
      </c>
      <c r="AM216" t="s">
        <v>57</v>
      </c>
      <c r="AN216" t="s">
        <v>87</v>
      </c>
      <c r="AO216" t="s">
        <v>64</v>
      </c>
      <c r="AP216" t="s">
        <v>64</v>
      </c>
      <c r="AQ216" t="s">
        <v>64</v>
      </c>
      <c r="AR216">
        <v>64</v>
      </c>
    </row>
    <row r="217" spans="1:44">
      <c r="A217" t="s">
        <v>183</v>
      </c>
      <c r="B217" t="s">
        <v>208</v>
      </c>
      <c r="C217" t="s">
        <v>209</v>
      </c>
      <c r="D217" t="s">
        <v>528</v>
      </c>
      <c r="F217" t="s">
        <v>127</v>
      </c>
      <c r="G217">
        <v>98</v>
      </c>
      <c r="H217" t="s">
        <v>153</v>
      </c>
      <c r="I217">
        <v>40033.875</v>
      </c>
      <c r="P217" t="s">
        <v>51</v>
      </c>
      <c r="S217">
        <v>400</v>
      </c>
      <c r="T217" t="s">
        <v>211</v>
      </c>
      <c r="U217" t="s">
        <v>212</v>
      </c>
      <c r="V217">
        <v>1889.5</v>
      </c>
      <c r="W217">
        <v>37</v>
      </c>
      <c r="X217">
        <v>887.9</v>
      </c>
      <c r="Y217">
        <v>126</v>
      </c>
      <c r="Z217">
        <v>237.5</v>
      </c>
      <c r="AA217">
        <v>350</v>
      </c>
      <c r="AB217">
        <v>507</v>
      </c>
      <c r="AC217" t="s">
        <v>63</v>
      </c>
      <c r="AD217" t="s">
        <v>63</v>
      </c>
      <c r="AE217" t="s">
        <v>55</v>
      </c>
      <c r="AF217" t="s">
        <v>55</v>
      </c>
      <c r="AG217" t="s">
        <v>56</v>
      </c>
      <c r="AH217">
        <v>105</v>
      </c>
      <c r="AI217">
        <v>257</v>
      </c>
      <c r="AJ217">
        <v>404</v>
      </c>
      <c r="AK217">
        <v>644.5</v>
      </c>
      <c r="AL217">
        <v>1084.5</v>
      </c>
      <c r="AM217" t="s">
        <v>57</v>
      </c>
      <c r="AN217" t="s">
        <v>87</v>
      </c>
      <c r="AO217" t="s">
        <v>64</v>
      </c>
      <c r="AP217" t="s">
        <v>64</v>
      </c>
      <c r="AQ217" t="s">
        <v>64</v>
      </c>
      <c r="AR217">
        <v>63</v>
      </c>
    </row>
    <row r="218" spans="1:44">
      <c r="A218" t="s">
        <v>183</v>
      </c>
      <c r="B218" t="s">
        <v>208</v>
      </c>
      <c r="C218" t="s">
        <v>209</v>
      </c>
      <c r="D218" t="s">
        <v>529</v>
      </c>
      <c r="F218" t="s">
        <v>127</v>
      </c>
      <c r="G218">
        <v>98</v>
      </c>
      <c r="H218" t="s">
        <v>153</v>
      </c>
      <c r="I218">
        <v>40033.875</v>
      </c>
      <c r="P218" t="s">
        <v>51</v>
      </c>
      <c r="S218">
        <v>400</v>
      </c>
      <c r="T218" t="s">
        <v>211</v>
      </c>
      <c r="U218" t="s">
        <v>212</v>
      </c>
      <c r="V218">
        <v>1889.5</v>
      </c>
      <c r="W218">
        <v>37</v>
      </c>
      <c r="X218">
        <v>887.9</v>
      </c>
      <c r="Y218">
        <v>126</v>
      </c>
      <c r="Z218">
        <v>237.5</v>
      </c>
      <c r="AA218">
        <v>350</v>
      </c>
      <c r="AB218">
        <v>507</v>
      </c>
      <c r="AC218" t="s">
        <v>63</v>
      </c>
      <c r="AD218" t="s">
        <v>63</v>
      </c>
      <c r="AE218" t="s">
        <v>55</v>
      </c>
      <c r="AF218" t="s">
        <v>55</v>
      </c>
      <c r="AG218" t="s">
        <v>56</v>
      </c>
      <c r="AH218">
        <v>105</v>
      </c>
      <c r="AI218">
        <v>257</v>
      </c>
      <c r="AJ218">
        <v>404</v>
      </c>
      <c r="AK218">
        <v>644.5</v>
      </c>
      <c r="AL218">
        <v>1084.5</v>
      </c>
      <c r="AM218" t="s">
        <v>57</v>
      </c>
      <c r="AN218" t="s">
        <v>87</v>
      </c>
      <c r="AO218" t="s">
        <v>64</v>
      </c>
      <c r="AP218" t="s">
        <v>64</v>
      </c>
      <c r="AQ218" t="s">
        <v>64</v>
      </c>
      <c r="AR218">
        <v>63</v>
      </c>
    </row>
    <row r="219" spans="1:44">
      <c r="A219" t="s">
        <v>213</v>
      </c>
      <c r="B219" t="s">
        <v>214</v>
      </c>
      <c r="C219" t="s">
        <v>530</v>
      </c>
      <c r="D219" t="s">
        <v>531</v>
      </c>
      <c r="E219" t="s">
        <v>532</v>
      </c>
      <c r="F219" t="s">
        <v>48</v>
      </c>
      <c r="G219">
        <v>97</v>
      </c>
      <c r="H219" t="s">
        <v>124</v>
      </c>
      <c r="I219">
        <v>39647</v>
      </c>
      <c r="P219" t="s">
        <v>51</v>
      </c>
      <c r="S219">
        <v>500</v>
      </c>
      <c r="T219" t="s">
        <v>533</v>
      </c>
      <c r="U219" t="s">
        <v>534</v>
      </c>
      <c r="V219">
        <v>741</v>
      </c>
      <c r="W219">
        <v>100</v>
      </c>
      <c r="X219">
        <v>564.4</v>
      </c>
      <c r="Y219">
        <v>347</v>
      </c>
      <c r="Z219">
        <v>472.5</v>
      </c>
      <c r="AA219">
        <v>516.5</v>
      </c>
      <c r="AB219">
        <v>516.5</v>
      </c>
      <c r="AC219" t="s">
        <v>57</v>
      </c>
      <c r="AD219" t="s">
        <v>64</v>
      </c>
      <c r="AE219" t="s">
        <v>64</v>
      </c>
      <c r="AF219" t="s">
        <v>64</v>
      </c>
      <c r="AG219" t="s">
        <v>56</v>
      </c>
      <c r="AH219">
        <v>137.5</v>
      </c>
      <c r="AI219">
        <v>347</v>
      </c>
      <c r="AJ219">
        <v>494.5</v>
      </c>
      <c r="AK219">
        <v>616.5</v>
      </c>
      <c r="AL219">
        <v>734.5</v>
      </c>
      <c r="AM219" t="s">
        <v>64</v>
      </c>
      <c r="AN219" t="s">
        <v>64</v>
      </c>
      <c r="AO219" t="s">
        <v>64</v>
      </c>
      <c r="AP219" t="s">
        <v>64</v>
      </c>
      <c r="AQ219" t="s">
        <v>64</v>
      </c>
      <c r="AR219">
        <v>10</v>
      </c>
    </row>
    <row r="220" spans="1:44">
      <c r="A220" t="s">
        <v>220</v>
      </c>
      <c r="B220" t="s">
        <v>221</v>
      </c>
      <c r="C220" t="s">
        <v>238</v>
      </c>
      <c r="D220" t="s">
        <v>290</v>
      </c>
      <c r="E220" t="s">
        <v>535</v>
      </c>
      <c r="F220" t="s">
        <v>48</v>
      </c>
      <c r="G220">
        <v>98</v>
      </c>
      <c r="H220" t="s">
        <v>153</v>
      </c>
      <c r="I220">
        <v>40032.833333333336</v>
      </c>
      <c r="P220" t="s">
        <v>51</v>
      </c>
      <c r="S220">
        <v>400</v>
      </c>
      <c r="T220" t="s">
        <v>233</v>
      </c>
      <c r="U220" t="s">
        <v>234</v>
      </c>
      <c r="V220">
        <v>1211</v>
      </c>
      <c r="W220">
        <v>15.5</v>
      </c>
      <c r="X220">
        <v>290.10000000000002</v>
      </c>
      <c r="Y220">
        <v>41</v>
      </c>
      <c r="Z220">
        <v>73.5</v>
      </c>
      <c r="AA220">
        <v>132</v>
      </c>
      <c r="AB220">
        <v>256</v>
      </c>
      <c r="AH220">
        <v>52.5</v>
      </c>
      <c r="AI220">
        <v>124</v>
      </c>
      <c r="AJ220">
        <v>244</v>
      </c>
      <c r="AK220">
        <v>416</v>
      </c>
      <c r="AL220">
        <v>743</v>
      </c>
      <c r="AR220">
        <v>25</v>
      </c>
    </row>
    <row r="221" spans="1:44">
      <c r="A221" t="s">
        <v>220</v>
      </c>
      <c r="B221" t="s">
        <v>221</v>
      </c>
      <c r="C221" t="s">
        <v>222</v>
      </c>
      <c r="D221" t="s">
        <v>536</v>
      </c>
      <c r="E221" t="s">
        <v>537</v>
      </c>
      <c r="F221" t="s">
        <v>48</v>
      </c>
      <c r="G221">
        <v>98</v>
      </c>
      <c r="H221" t="s">
        <v>153</v>
      </c>
      <c r="I221">
        <v>40033.708333333336</v>
      </c>
      <c r="P221" t="s">
        <v>51</v>
      </c>
      <c r="S221">
        <v>400</v>
      </c>
      <c r="T221" t="s">
        <v>225</v>
      </c>
      <c r="U221" t="s">
        <v>226</v>
      </c>
      <c r="V221">
        <v>2418</v>
      </c>
      <c r="W221">
        <v>71</v>
      </c>
      <c r="X221">
        <v>1046.0999999999999</v>
      </c>
      <c r="Y221">
        <v>232.5</v>
      </c>
      <c r="Z221">
        <v>358.5</v>
      </c>
      <c r="AA221">
        <v>590</v>
      </c>
      <c r="AB221">
        <v>846.5</v>
      </c>
      <c r="AC221" t="s">
        <v>54</v>
      </c>
      <c r="AD221" t="s">
        <v>58</v>
      </c>
      <c r="AE221" t="s">
        <v>58</v>
      </c>
      <c r="AF221" t="s">
        <v>64</v>
      </c>
      <c r="AG221" t="s">
        <v>64</v>
      </c>
      <c r="AH221">
        <v>103</v>
      </c>
      <c r="AI221">
        <v>253.5</v>
      </c>
      <c r="AJ221">
        <v>473.5</v>
      </c>
      <c r="AK221">
        <v>786.5</v>
      </c>
      <c r="AL221">
        <v>1199.5</v>
      </c>
      <c r="AM221" t="s">
        <v>56</v>
      </c>
      <c r="AN221" t="s">
        <v>87</v>
      </c>
      <c r="AO221" t="s">
        <v>64</v>
      </c>
      <c r="AP221" t="s">
        <v>64</v>
      </c>
      <c r="AQ221" t="s">
        <v>64</v>
      </c>
      <c r="AR221">
        <v>44</v>
      </c>
    </row>
    <row r="222" spans="1:44">
      <c r="A222" t="s">
        <v>220</v>
      </c>
      <c r="B222" t="s">
        <v>221</v>
      </c>
      <c r="C222" t="s">
        <v>538</v>
      </c>
      <c r="D222" t="s">
        <v>539</v>
      </c>
      <c r="E222" t="s">
        <v>540</v>
      </c>
      <c r="F222" t="s">
        <v>48</v>
      </c>
      <c r="G222">
        <v>99</v>
      </c>
      <c r="H222" t="s">
        <v>237</v>
      </c>
      <c r="I222">
        <v>40440.875</v>
      </c>
      <c r="P222" t="s">
        <v>51</v>
      </c>
      <c r="S222">
        <v>200</v>
      </c>
      <c r="T222" t="s">
        <v>225</v>
      </c>
      <c r="U222" t="s">
        <v>226</v>
      </c>
      <c r="V222">
        <v>510</v>
      </c>
      <c r="W222">
        <v>26.5</v>
      </c>
      <c r="X222">
        <v>443</v>
      </c>
      <c r="Y222">
        <v>140.5</v>
      </c>
      <c r="Z222">
        <v>157.5</v>
      </c>
      <c r="AA222">
        <v>290</v>
      </c>
      <c r="AB222">
        <v>437.5</v>
      </c>
      <c r="AC222" t="s">
        <v>63</v>
      </c>
      <c r="AD222" t="s">
        <v>54</v>
      </c>
      <c r="AE222" t="s">
        <v>63</v>
      </c>
      <c r="AF222" t="s">
        <v>54</v>
      </c>
      <c r="AG222" t="s">
        <v>54</v>
      </c>
      <c r="AH222">
        <v>66.5</v>
      </c>
      <c r="AI222">
        <v>140.5</v>
      </c>
      <c r="AJ222">
        <v>201</v>
      </c>
      <c r="AK222">
        <v>290</v>
      </c>
      <c r="AL222">
        <v>510</v>
      </c>
      <c r="AM222" t="s">
        <v>63</v>
      </c>
      <c r="AN222" t="s">
        <v>54</v>
      </c>
      <c r="AO222" t="s">
        <v>63</v>
      </c>
      <c r="AP222" t="s">
        <v>54</v>
      </c>
      <c r="AQ222" t="s">
        <v>55</v>
      </c>
      <c r="AR222">
        <v>19</v>
      </c>
    </row>
    <row r="223" spans="1:44">
      <c r="A223" t="s">
        <v>220</v>
      </c>
      <c r="B223" t="s">
        <v>221</v>
      </c>
      <c r="C223" t="s">
        <v>243</v>
      </c>
      <c r="D223" t="s">
        <v>541</v>
      </c>
      <c r="E223" t="s">
        <v>542</v>
      </c>
      <c r="F223" t="s">
        <v>127</v>
      </c>
      <c r="G223">
        <v>98</v>
      </c>
      <c r="H223" t="s">
        <v>153</v>
      </c>
      <c r="I223">
        <v>40033.875</v>
      </c>
      <c r="P223" t="s">
        <v>51</v>
      </c>
      <c r="S223">
        <v>400</v>
      </c>
      <c r="T223" t="s">
        <v>225</v>
      </c>
      <c r="U223" t="s">
        <v>226</v>
      </c>
      <c r="V223">
        <v>2418</v>
      </c>
      <c r="W223">
        <v>63.5</v>
      </c>
      <c r="X223">
        <v>1330.7</v>
      </c>
      <c r="Y223">
        <v>180</v>
      </c>
      <c r="Z223">
        <v>433.5</v>
      </c>
      <c r="AA223">
        <v>751</v>
      </c>
      <c r="AB223">
        <v>1127</v>
      </c>
      <c r="AC223" t="s">
        <v>63</v>
      </c>
      <c r="AD223" t="s">
        <v>55</v>
      </c>
      <c r="AE223" t="s">
        <v>64</v>
      </c>
      <c r="AF223" t="s">
        <v>64</v>
      </c>
      <c r="AG223" t="s">
        <v>64</v>
      </c>
      <c r="AH223">
        <v>103</v>
      </c>
      <c r="AI223">
        <v>253.5</v>
      </c>
      <c r="AJ223">
        <v>473.5</v>
      </c>
      <c r="AK223">
        <v>786.5</v>
      </c>
      <c r="AL223">
        <v>1199.5</v>
      </c>
      <c r="AM223" t="s">
        <v>56</v>
      </c>
      <c r="AN223" t="s">
        <v>87</v>
      </c>
      <c r="AO223" t="s">
        <v>64</v>
      </c>
      <c r="AP223" t="s">
        <v>64</v>
      </c>
      <c r="AQ223" t="s">
        <v>64</v>
      </c>
      <c r="AR223">
        <v>48</v>
      </c>
    </row>
    <row r="224" spans="1:44">
      <c r="A224" t="s">
        <v>220</v>
      </c>
      <c r="B224" t="s">
        <v>221</v>
      </c>
      <c r="C224" t="s">
        <v>243</v>
      </c>
      <c r="D224" t="s">
        <v>543</v>
      </c>
      <c r="E224" t="s">
        <v>544</v>
      </c>
      <c r="F224" t="s">
        <v>127</v>
      </c>
      <c r="G224">
        <v>101</v>
      </c>
      <c r="H224" t="s">
        <v>159</v>
      </c>
      <c r="I224">
        <v>41070.666666666664</v>
      </c>
      <c r="P224" t="s">
        <v>51</v>
      </c>
      <c r="S224">
        <v>250</v>
      </c>
      <c r="T224" t="s">
        <v>225</v>
      </c>
      <c r="U224" t="s">
        <v>226</v>
      </c>
      <c r="V224">
        <v>1141.5</v>
      </c>
      <c r="W224">
        <v>26</v>
      </c>
      <c r="X224">
        <v>358.6</v>
      </c>
      <c r="Y224">
        <v>72</v>
      </c>
      <c r="Z224">
        <v>89</v>
      </c>
      <c r="AA224">
        <v>260</v>
      </c>
      <c r="AB224">
        <v>331</v>
      </c>
      <c r="AC224" t="s">
        <v>63</v>
      </c>
      <c r="AD224" t="s">
        <v>63</v>
      </c>
      <c r="AE224" t="s">
        <v>63</v>
      </c>
      <c r="AF224" t="s">
        <v>63</v>
      </c>
      <c r="AG224" t="s">
        <v>63</v>
      </c>
      <c r="AH224">
        <v>65.5</v>
      </c>
      <c r="AI224">
        <v>122</v>
      </c>
      <c r="AJ224">
        <v>171</v>
      </c>
      <c r="AK224">
        <v>260</v>
      </c>
      <c r="AL224">
        <v>422</v>
      </c>
      <c r="AM224" t="s">
        <v>63</v>
      </c>
      <c r="AN224" t="s">
        <v>63</v>
      </c>
      <c r="AO224" t="s">
        <v>63</v>
      </c>
      <c r="AP224" t="s">
        <v>63</v>
      </c>
      <c r="AQ224" t="s">
        <v>54</v>
      </c>
      <c r="AR224">
        <v>25</v>
      </c>
    </row>
    <row r="225" spans="1:44">
      <c r="A225" t="s">
        <v>220</v>
      </c>
      <c r="B225" t="s">
        <v>221</v>
      </c>
      <c r="C225" t="s">
        <v>538</v>
      </c>
      <c r="D225" t="s">
        <v>545</v>
      </c>
      <c r="F225" t="s">
        <v>127</v>
      </c>
      <c r="G225">
        <v>113</v>
      </c>
      <c r="H225" t="s">
        <v>165</v>
      </c>
      <c r="I225">
        <v>45557.583333333336</v>
      </c>
      <c r="P225" t="s">
        <v>51</v>
      </c>
      <c r="S225">
        <v>350</v>
      </c>
      <c r="T225" t="s">
        <v>241</v>
      </c>
      <c r="U225" t="s">
        <v>242</v>
      </c>
      <c r="V225">
        <v>247</v>
      </c>
      <c r="W225">
        <v>21</v>
      </c>
      <c r="X225">
        <v>238</v>
      </c>
      <c r="Y225">
        <v>62.5</v>
      </c>
      <c r="Z225">
        <v>75.5</v>
      </c>
      <c r="AA225">
        <v>157.5</v>
      </c>
      <c r="AB225">
        <v>200</v>
      </c>
      <c r="AC225" t="s">
        <v>63</v>
      </c>
      <c r="AD225" t="s">
        <v>63</v>
      </c>
      <c r="AE225" t="s">
        <v>63</v>
      </c>
      <c r="AF225" t="s">
        <v>63</v>
      </c>
      <c r="AG225" t="s">
        <v>63</v>
      </c>
      <c r="AH225">
        <v>27</v>
      </c>
      <c r="AI225">
        <v>65.5</v>
      </c>
      <c r="AJ225">
        <v>108</v>
      </c>
      <c r="AK225">
        <v>157.5</v>
      </c>
      <c r="AL225">
        <v>247</v>
      </c>
      <c r="AM225" t="s">
        <v>63</v>
      </c>
      <c r="AN225" t="s">
        <v>63</v>
      </c>
      <c r="AO225" t="s">
        <v>63</v>
      </c>
      <c r="AP225" t="s">
        <v>63</v>
      </c>
      <c r="AQ225" t="s">
        <v>63</v>
      </c>
      <c r="AR225">
        <v>15</v>
      </c>
    </row>
    <row r="226" spans="1:44">
      <c r="A226" t="s">
        <v>220</v>
      </c>
      <c r="B226" t="s">
        <v>221</v>
      </c>
      <c r="C226" t="s">
        <v>243</v>
      </c>
      <c r="D226" t="s">
        <v>546</v>
      </c>
      <c r="E226" t="s">
        <v>547</v>
      </c>
      <c r="F226" t="s">
        <v>127</v>
      </c>
      <c r="G226">
        <v>98</v>
      </c>
      <c r="H226" t="s">
        <v>153</v>
      </c>
      <c r="I226">
        <v>40033.875</v>
      </c>
      <c r="P226" t="s">
        <v>51</v>
      </c>
      <c r="S226">
        <v>400</v>
      </c>
      <c r="T226" t="s">
        <v>225</v>
      </c>
      <c r="U226" t="s">
        <v>226</v>
      </c>
      <c r="V226">
        <v>2418</v>
      </c>
      <c r="W226">
        <v>63.5</v>
      </c>
      <c r="X226">
        <v>1330.7</v>
      </c>
      <c r="Y226">
        <v>180</v>
      </c>
      <c r="Z226">
        <v>433.5</v>
      </c>
      <c r="AA226">
        <v>751</v>
      </c>
      <c r="AB226">
        <v>1127</v>
      </c>
      <c r="AC226" t="s">
        <v>63</v>
      </c>
      <c r="AD226" t="s">
        <v>55</v>
      </c>
      <c r="AE226" t="s">
        <v>64</v>
      </c>
      <c r="AF226" t="s">
        <v>64</v>
      </c>
      <c r="AG226" t="s">
        <v>64</v>
      </c>
      <c r="AH226">
        <v>103</v>
      </c>
      <c r="AI226">
        <v>253.5</v>
      </c>
      <c r="AJ226">
        <v>473.5</v>
      </c>
      <c r="AK226">
        <v>786.5</v>
      </c>
      <c r="AL226">
        <v>1199.5</v>
      </c>
      <c r="AM226" t="s">
        <v>56</v>
      </c>
      <c r="AN226" t="s">
        <v>87</v>
      </c>
      <c r="AO226" t="s">
        <v>64</v>
      </c>
      <c r="AP226" t="s">
        <v>64</v>
      </c>
      <c r="AQ226" t="s">
        <v>64</v>
      </c>
      <c r="AR226">
        <v>48</v>
      </c>
    </row>
    <row r="227" spans="1:44">
      <c r="A227" t="s">
        <v>220</v>
      </c>
      <c r="B227" t="s">
        <v>221</v>
      </c>
      <c r="C227" t="s">
        <v>243</v>
      </c>
      <c r="D227" t="s">
        <v>548</v>
      </c>
      <c r="E227" t="s">
        <v>549</v>
      </c>
      <c r="F227" t="s">
        <v>127</v>
      </c>
      <c r="G227">
        <v>98</v>
      </c>
      <c r="H227" t="s">
        <v>153</v>
      </c>
      <c r="I227">
        <v>40034.25</v>
      </c>
      <c r="P227" t="s">
        <v>51</v>
      </c>
      <c r="S227">
        <v>400</v>
      </c>
      <c r="T227" t="s">
        <v>225</v>
      </c>
      <c r="U227" t="s">
        <v>226</v>
      </c>
      <c r="V227">
        <v>2418</v>
      </c>
      <c r="W227">
        <v>35.5</v>
      </c>
      <c r="X227">
        <v>1585.6</v>
      </c>
      <c r="Y227">
        <v>110</v>
      </c>
      <c r="Z227">
        <v>176</v>
      </c>
      <c r="AA227">
        <v>468</v>
      </c>
      <c r="AB227">
        <v>1151.5</v>
      </c>
      <c r="AC227" t="s">
        <v>63</v>
      </c>
      <c r="AD227" t="s">
        <v>63</v>
      </c>
      <c r="AE227" t="s">
        <v>63</v>
      </c>
      <c r="AF227" t="s">
        <v>57</v>
      </c>
      <c r="AG227" t="s">
        <v>64</v>
      </c>
      <c r="AH227">
        <v>103</v>
      </c>
      <c r="AI227">
        <v>253.5</v>
      </c>
      <c r="AJ227">
        <v>473.5</v>
      </c>
      <c r="AK227">
        <v>786.5</v>
      </c>
      <c r="AL227">
        <v>1199.5</v>
      </c>
      <c r="AM227" t="s">
        <v>56</v>
      </c>
      <c r="AN227" t="s">
        <v>87</v>
      </c>
      <c r="AO227" t="s">
        <v>64</v>
      </c>
      <c r="AP227" t="s">
        <v>64</v>
      </c>
      <c r="AQ227" t="s">
        <v>64</v>
      </c>
      <c r="AR227">
        <v>57</v>
      </c>
    </row>
    <row r="228" spans="1:44">
      <c r="A228" t="s">
        <v>220</v>
      </c>
      <c r="B228" t="s">
        <v>221</v>
      </c>
      <c r="C228" t="s">
        <v>243</v>
      </c>
      <c r="D228" t="s">
        <v>550</v>
      </c>
      <c r="E228" t="s">
        <v>551</v>
      </c>
      <c r="F228" t="s">
        <v>127</v>
      </c>
      <c r="G228">
        <v>110</v>
      </c>
      <c r="H228" t="s">
        <v>552</v>
      </c>
      <c r="I228">
        <v>44415.5</v>
      </c>
      <c r="P228" t="s">
        <v>51</v>
      </c>
      <c r="S228">
        <v>350</v>
      </c>
      <c r="T228" t="s">
        <v>553</v>
      </c>
      <c r="U228" t="s">
        <v>226</v>
      </c>
      <c r="V228">
        <v>1186</v>
      </c>
      <c r="W228">
        <v>9</v>
      </c>
      <c r="X228">
        <v>889</v>
      </c>
      <c r="Y228">
        <v>30.5</v>
      </c>
      <c r="Z228">
        <v>109</v>
      </c>
      <c r="AA228">
        <v>302.5</v>
      </c>
      <c r="AB228">
        <v>505</v>
      </c>
      <c r="AC228" t="s">
        <v>63</v>
      </c>
      <c r="AD228" t="s">
        <v>63</v>
      </c>
      <c r="AE228" t="s">
        <v>63</v>
      </c>
      <c r="AF228" t="s">
        <v>54</v>
      </c>
      <c r="AG228" t="s">
        <v>55</v>
      </c>
      <c r="AH228">
        <v>70</v>
      </c>
      <c r="AI228">
        <v>133</v>
      </c>
      <c r="AJ228">
        <v>201.5</v>
      </c>
      <c r="AK228">
        <v>337.5</v>
      </c>
      <c r="AL228">
        <v>509</v>
      </c>
      <c r="AM228" t="s">
        <v>54</v>
      </c>
      <c r="AN228" t="s">
        <v>63</v>
      </c>
      <c r="AO228" t="s">
        <v>63</v>
      </c>
      <c r="AP228" t="s">
        <v>54</v>
      </c>
      <c r="AQ228" t="s">
        <v>55</v>
      </c>
      <c r="AR228">
        <v>55</v>
      </c>
    </row>
    <row r="229" spans="1:44">
      <c r="A229" t="s">
        <v>220</v>
      </c>
      <c r="B229" t="s">
        <v>221</v>
      </c>
      <c r="C229" t="s">
        <v>243</v>
      </c>
      <c r="D229" t="s">
        <v>554</v>
      </c>
      <c r="E229" t="s">
        <v>555</v>
      </c>
      <c r="F229" t="s">
        <v>127</v>
      </c>
      <c r="G229">
        <v>110</v>
      </c>
      <c r="H229" t="s">
        <v>552</v>
      </c>
      <c r="I229">
        <v>44415.541666666664</v>
      </c>
      <c r="P229" t="s">
        <v>51</v>
      </c>
      <c r="S229">
        <v>350</v>
      </c>
      <c r="T229" t="s">
        <v>553</v>
      </c>
      <c r="U229" t="s">
        <v>226</v>
      </c>
      <c r="V229">
        <v>1186</v>
      </c>
      <c r="W229">
        <v>9</v>
      </c>
      <c r="X229">
        <v>889</v>
      </c>
      <c r="Y229">
        <v>30.5</v>
      </c>
      <c r="Z229">
        <v>109</v>
      </c>
      <c r="AA229">
        <v>302.5</v>
      </c>
      <c r="AB229">
        <v>505</v>
      </c>
      <c r="AC229" t="s">
        <v>63</v>
      </c>
      <c r="AD229" t="s">
        <v>63</v>
      </c>
      <c r="AE229" t="s">
        <v>63</v>
      </c>
      <c r="AF229" t="s">
        <v>54</v>
      </c>
      <c r="AG229" t="s">
        <v>55</v>
      </c>
      <c r="AH229">
        <v>70</v>
      </c>
      <c r="AI229">
        <v>133</v>
      </c>
      <c r="AJ229">
        <v>201.5</v>
      </c>
      <c r="AK229">
        <v>337.5</v>
      </c>
      <c r="AL229">
        <v>509</v>
      </c>
      <c r="AM229" t="s">
        <v>54</v>
      </c>
      <c r="AN229" t="s">
        <v>63</v>
      </c>
      <c r="AO229" t="s">
        <v>63</v>
      </c>
      <c r="AP229" t="s">
        <v>54</v>
      </c>
      <c r="AQ229" t="s">
        <v>55</v>
      </c>
      <c r="AR229">
        <v>56</v>
      </c>
    </row>
    <row r="230" spans="1:44">
      <c r="A230" t="s">
        <v>220</v>
      </c>
      <c r="B230" t="s">
        <v>556</v>
      </c>
      <c r="C230" t="s">
        <v>530</v>
      </c>
      <c r="D230" t="s">
        <v>557</v>
      </c>
      <c r="E230" t="s">
        <v>558</v>
      </c>
      <c r="F230" t="s">
        <v>127</v>
      </c>
      <c r="G230">
        <v>98</v>
      </c>
      <c r="H230" t="s">
        <v>153</v>
      </c>
      <c r="I230">
        <v>40033.833333333336</v>
      </c>
      <c r="P230" t="s">
        <v>51</v>
      </c>
      <c r="S230">
        <v>450</v>
      </c>
      <c r="T230" t="s">
        <v>559</v>
      </c>
      <c r="U230" t="s">
        <v>560</v>
      </c>
      <c r="V230">
        <v>2070.5</v>
      </c>
      <c r="W230">
        <v>42.5</v>
      </c>
      <c r="X230">
        <v>1328</v>
      </c>
      <c r="Y230">
        <v>208.5</v>
      </c>
      <c r="Z230">
        <v>420.5</v>
      </c>
      <c r="AA230">
        <v>603</v>
      </c>
      <c r="AB230">
        <v>944</v>
      </c>
      <c r="AC230" t="s">
        <v>63</v>
      </c>
      <c r="AD230" t="s">
        <v>57</v>
      </c>
      <c r="AE230" t="s">
        <v>64</v>
      </c>
      <c r="AF230" t="s">
        <v>64</v>
      </c>
      <c r="AG230" t="s">
        <v>64</v>
      </c>
      <c r="AH230">
        <v>93.5</v>
      </c>
      <c r="AI230">
        <v>249</v>
      </c>
      <c r="AJ230">
        <v>430.5</v>
      </c>
      <c r="AK230">
        <v>718</v>
      </c>
      <c r="AL230">
        <v>1077</v>
      </c>
      <c r="AM230" t="s">
        <v>56</v>
      </c>
      <c r="AN230" t="s">
        <v>87</v>
      </c>
      <c r="AO230" t="s">
        <v>64</v>
      </c>
      <c r="AP230" t="s">
        <v>64</v>
      </c>
      <c r="AQ230" t="s">
        <v>64</v>
      </c>
      <c r="AR230">
        <v>47</v>
      </c>
    </row>
    <row r="231" spans="1:44">
      <c r="A231" t="s">
        <v>220</v>
      </c>
      <c r="B231" t="s">
        <v>556</v>
      </c>
      <c r="C231" t="s">
        <v>561</v>
      </c>
      <c r="D231" t="s">
        <v>562</v>
      </c>
      <c r="E231" t="s">
        <v>563</v>
      </c>
      <c r="F231" t="s">
        <v>127</v>
      </c>
      <c r="G231">
        <v>98</v>
      </c>
      <c r="H231" t="s">
        <v>153</v>
      </c>
      <c r="I231">
        <v>40033.916666666664</v>
      </c>
      <c r="P231" t="s">
        <v>51</v>
      </c>
      <c r="S231">
        <v>450</v>
      </c>
      <c r="T231" t="s">
        <v>559</v>
      </c>
      <c r="U231" t="s">
        <v>560</v>
      </c>
      <c r="V231">
        <v>2070.5</v>
      </c>
      <c r="W231">
        <v>42.5</v>
      </c>
      <c r="X231">
        <v>1328.5</v>
      </c>
      <c r="Y231">
        <v>154.5</v>
      </c>
      <c r="Z231">
        <v>403.5</v>
      </c>
      <c r="AA231">
        <v>679.5</v>
      </c>
      <c r="AB231">
        <v>1016.5</v>
      </c>
      <c r="AC231" t="s">
        <v>63</v>
      </c>
      <c r="AD231" t="s">
        <v>54</v>
      </c>
      <c r="AE231" t="s">
        <v>64</v>
      </c>
      <c r="AF231" t="s">
        <v>64</v>
      </c>
      <c r="AG231" t="s">
        <v>64</v>
      </c>
      <c r="AH231">
        <v>93.5</v>
      </c>
      <c r="AI231">
        <v>249</v>
      </c>
      <c r="AJ231">
        <v>430.5</v>
      </c>
      <c r="AK231">
        <v>718</v>
      </c>
      <c r="AL231">
        <v>1077</v>
      </c>
      <c r="AM231" t="s">
        <v>56</v>
      </c>
      <c r="AN231" t="s">
        <v>87</v>
      </c>
      <c r="AO231" t="s">
        <v>64</v>
      </c>
      <c r="AP231" t="s">
        <v>64</v>
      </c>
      <c r="AQ231" t="s">
        <v>64</v>
      </c>
      <c r="AR231">
        <v>49</v>
      </c>
    </row>
    <row r="232" spans="1:44">
      <c r="A232" t="s">
        <v>220</v>
      </c>
      <c r="B232" t="s">
        <v>556</v>
      </c>
      <c r="C232" t="s">
        <v>564</v>
      </c>
      <c r="D232" t="s">
        <v>565</v>
      </c>
      <c r="E232" t="s">
        <v>566</v>
      </c>
      <c r="F232" t="s">
        <v>127</v>
      </c>
      <c r="G232">
        <v>98</v>
      </c>
      <c r="H232" t="s">
        <v>153</v>
      </c>
      <c r="I232">
        <v>40033.875</v>
      </c>
      <c r="P232" t="s">
        <v>51</v>
      </c>
      <c r="S232">
        <v>450</v>
      </c>
      <c r="T232" t="s">
        <v>559</v>
      </c>
      <c r="U232" t="s">
        <v>560</v>
      </c>
      <c r="V232">
        <v>2070.5</v>
      </c>
      <c r="W232">
        <v>67.5</v>
      </c>
      <c r="X232">
        <v>1395.51</v>
      </c>
      <c r="Y232">
        <v>180.5</v>
      </c>
      <c r="Z232">
        <v>413</v>
      </c>
      <c r="AA232">
        <v>645.5</v>
      </c>
      <c r="AB232">
        <v>984</v>
      </c>
      <c r="AC232" t="s">
        <v>54</v>
      </c>
      <c r="AD232" t="s">
        <v>56</v>
      </c>
      <c r="AE232" t="s">
        <v>64</v>
      </c>
      <c r="AF232" t="s">
        <v>64</v>
      </c>
      <c r="AG232" t="s">
        <v>64</v>
      </c>
      <c r="AH232">
        <v>93.5</v>
      </c>
      <c r="AI232">
        <v>249</v>
      </c>
      <c r="AJ232">
        <v>430.5</v>
      </c>
      <c r="AK232">
        <v>718</v>
      </c>
      <c r="AL232">
        <v>1077</v>
      </c>
      <c r="AM232" t="s">
        <v>56</v>
      </c>
      <c r="AN232" t="s">
        <v>87</v>
      </c>
      <c r="AO232" t="s">
        <v>64</v>
      </c>
      <c r="AP232" t="s">
        <v>64</v>
      </c>
      <c r="AQ232" t="s">
        <v>64</v>
      </c>
      <c r="AR232">
        <v>48</v>
      </c>
    </row>
    <row r="233" spans="1:44">
      <c r="A233" t="s">
        <v>220</v>
      </c>
      <c r="B233" t="s">
        <v>556</v>
      </c>
      <c r="C233" t="s">
        <v>564</v>
      </c>
      <c r="D233" t="s">
        <v>567</v>
      </c>
      <c r="E233" t="s">
        <v>568</v>
      </c>
      <c r="F233" t="s">
        <v>48</v>
      </c>
      <c r="G233">
        <v>98</v>
      </c>
      <c r="H233" t="s">
        <v>153</v>
      </c>
      <c r="I233">
        <v>40033.833333333336</v>
      </c>
      <c r="P233" t="s">
        <v>51</v>
      </c>
      <c r="S233">
        <v>450</v>
      </c>
      <c r="T233" t="s">
        <v>559</v>
      </c>
      <c r="U233" t="s">
        <v>560</v>
      </c>
      <c r="V233">
        <v>2070.5</v>
      </c>
      <c r="W233">
        <v>42.5</v>
      </c>
      <c r="X233">
        <v>1257.0999999999999</v>
      </c>
      <c r="Y233">
        <v>208.5</v>
      </c>
      <c r="Z233">
        <v>420.5</v>
      </c>
      <c r="AA233">
        <v>603</v>
      </c>
      <c r="AB233">
        <v>944</v>
      </c>
      <c r="AC233" t="s">
        <v>63</v>
      </c>
      <c r="AD233" t="s">
        <v>57</v>
      </c>
      <c r="AE233" t="s">
        <v>64</v>
      </c>
      <c r="AF233" t="s">
        <v>64</v>
      </c>
      <c r="AG233" t="s">
        <v>64</v>
      </c>
      <c r="AH233">
        <v>93.5</v>
      </c>
      <c r="AI233">
        <v>249</v>
      </c>
      <c r="AJ233">
        <v>430.5</v>
      </c>
      <c r="AK233">
        <v>718</v>
      </c>
      <c r="AL233">
        <v>1077</v>
      </c>
      <c r="AM233" t="s">
        <v>56</v>
      </c>
      <c r="AN233" t="s">
        <v>87</v>
      </c>
      <c r="AO233" t="s">
        <v>64</v>
      </c>
      <c r="AP233" t="s">
        <v>64</v>
      </c>
      <c r="AQ233" t="s">
        <v>64</v>
      </c>
      <c r="AR233">
        <v>47</v>
      </c>
    </row>
    <row r="234" spans="1:44">
      <c r="A234" t="s">
        <v>220</v>
      </c>
      <c r="B234" t="s">
        <v>556</v>
      </c>
      <c r="C234" t="s">
        <v>569</v>
      </c>
      <c r="D234" t="s">
        <v>570</v>
      </c>
      <c r="E234" t="s">
        <v>571</v>
      </c>
      <c r="F234" t="s">
        <v>48</v>
      </c>
      <c r="G234">
        <v>98</v>
      </c>
      <c r="H234" t="s">
        <v>153</v>
      </c>
      <c r="I234">
        <v>40033.833333333336</v>
      </c>
      <c r="P234" t="s">
        <v>51</v>
      </c>
      <c r="S234">
        <v>450</v>
      </c>
      <c r="T234" t="s">
        <v>559</v>
      </c>
      <c r="U234" t="s">
        <v>560</v>
      </c>
      <c r="V234">
        <v>2070.5</v>
      </c>
      <c r="W234">
        <v>42.5</v>
      </c>
      <c r="X234">
        <v>1257.0999999999999</v>
      </c>
      <c r="Y234">
        <v>208.5</v>
      </c>
      <c r="Z234">
        <v>420.5</v>
      </c>
      <c r="AA234">
        <v>603</v>
      </c>
      <c r="AB234">
        <v>944</v>
      </c>
      <c r="AC234" t="s">
        <v>63</v>
      </c>
      <c r="AD234" t="s">
        <v>57</v>
      </c>
      <c r="AE234" t="s">
        <v>64</v>
      </c>
      <c r="AF234" t="s">
        <v>64</v>
      </c>
      <c r="AG234" t="s">
        <v>64</v>
      </c>
      <c r="AH234">
        <v>93.5</v>
      </c>
      <c r="AI234">
        <v>249</v>
      </c>
      <c r="AJ234">
        <v>430.5</v>
      </c>
      <c r="AK234">
        <v>718</v>
      </c>
      <c r="AL234">
        <v>1077</v>
      </c>
      <c r="AM234" t="s">
        <v>56</v>
      </c>
      <c r="AN234" t="s">
        <v>87</v>
      </c>
      <c r="AO234" t="s">
        <v>64</v>
      </c>
      <c r="AP234" t="s">
        <v>64</v>
      </c>
      <c r="AQ234" t="s">
        <v>64</v>
      </c>
      <c r="AR234">
        <v>47</v>
      </c>
    </row>
    <row r="235" spans="1:44">
      <c r="A235" t="s">
        <v>220</v>
      </c>
      <c r="B235" t="s">
        <v>259</v>
      </c>
      <c r="C235" t="s">
        <v>572</v>
      </c>
      <c r="D235" t="s">
        <v>573</v>
      </c>
      <c r="E235" t="s">
        <v>574</v>
      </c>
      <c r="F235" t="s">
        <v>48</v>
      </c>
      <c r="G235">
        <v>98</v>
      </c>
      <c r="H235" t="s">
        <v>153</v>
      </c>
      <c r="I235">
        <v>40034.208333333336</v>
      </c>
      <c r="P235" t="s">
        <v>51</v>
      </c>
      <c r="S235">
        <v>450</v>
      </c>
      <c r="T235" t="s">
        <v>263</v>
      </c>
      <c r="U235" t="s">
        <v>264</v>
      </c>
      <c r="V235">
        <v>1195.5</v>
      </c>
      <c r="W235">
        <v>37</v>
      </c>
      <c r="X235">
        <v>1030.8</v>
      </c>
      <c r="Y235">
        <v>63</v>
      </c>
      <c r="Z235">
        <v>84</v>
      </c>
      <c r="AA235">
        <v>335</v>
      </c>
      <c r="AB235">
        <v>663</v>
      </c>
      <c r="AC235" t="s">
        <v>63</v>
      </c>
      <c r="AD235" t="s">
        <v>63</v>
      </c>
      <c r="AE235" t="s">
        <v>63</v>
      </c>
      <c r="AF235" t="s">
        <v>55</v>
      </c>
      <c r="AG235" t="s">
        <v>87</v>
      </c>
      <c r="AH235">
        <v>79.5</v>
      </c>
      <c r="AI235">
        <v>166.5</v>
      </c>
      <c r="AJ235">
        <v>290.5</v>
      </c>
      <c r="AK235">
        <v>446</v>
      </c>
      <c r="AL235">
        <v>743.5</v>
      </c>
      <c r="AM235" t="s">
        <v>55</v>
      </c>
      <c r="AN235" t="s">
        <v>55</v>
      </c>
      <c r="AO235" t="s">
        <v>57</v>
      </c>
      <c r="AP235" t="s">
        <v>58</v>
      </c>
      <c r="AQ235" t="s">
        <v>64</v>
      </c>
      <c r="AR235">
        <v>56</v>
      </c>
    </row>
    <row r="236" spans="1:44">
      <c r="A236" t="s">
        <v>220</v>
      </c>
      <c r="B236" t="s">
        <v>575</v>
      </c>
      <c r="C236" t="s">
        <v>576</v>
      </c>
      <c r="D236" t="s">
        <v>577</v>
      </c>
      <c r="E236" t="s">
        <v>578</v>
      </c>
      <c r="F236" t="s">
        <v>127</v>
      </c>
      <c r="G236">
        <v>98</v>
      </c>
      <c r="H236" t="s">
        <v>153</v>
      </c>
      <c r="I236">
        <v>40033.666666666664</v>
      </c>
      <c r="P236" t="s">
        <v>51</v>
      </c>
      <c r="S236">
        <v>500</v>
      </c>
      <c r="T236" t="s">
        <v>579</v>
      </c>
      <c r="U236" t="s">
        <v>580</v>
      </c>
      <c r="V236">
        <v>1759</v>
      </c>
      <c r="W236">
        <v>89</v>
      </c>
      <c r="X236">
        <v>712.6</v>
      </c>
      <c r="Y236">
        <v>162.5</v>
      </c>
      <c r="Z236">
        <v>374.5</v>
      </c>
      <c r="AA236">
        <v>532</v>
      </c>
      <c r="AB236">
        <v>757</v>
      </c>
      <c r="AC236" t="s">
        <v>55</v>
      </c>
      <c r="AD236" t="s">
        <v>55</v>
      </c>
      <c r="AE236" t="s">
        <v>87</v>
      </c>
      <c r="AF236" t="s">
        <v>87</v>
      </c>
      <c r="AG236" t="s">
        <v>64</v>
      </c>
      <c r="AH236">
        <v>95.5</v>
      </c>
      <c r="AI236">
        <v>261</v>
      </c>
      <c r="AJ236">
        <v>391.5</v>
      </c>
      <c r="AK236">
        <v>690.5</v>
      </c>
      <c r="AL236">
        <v>1028.5</v>
      </c>
      <c r="AM236" t="s">
        <v>56</v>
      </c>
      <c r="AN236" t="s">
        <v>87</v>
      </c>
      <c r="AO236" t="s">
        <v>64</v>
      </c>
      <c r="AP236" t="s">
        <v>64</v>
      </c>
      <c r="AQ236" t="s">
        <v>64</v>
      </c>
      <c r="AR236">
        <v>45</v>
      </c>
    </row>
    <row r="237" spans="1:44">
      <c r="A237" t="s">
        <v>220</v>
      </c>
      <c r="B237" t="s">
        <v>575</v>
      </c>
      <c r="C237" t="s">
        <v>581</v>
      </c>
      <c r="D237" t="s">
        <v>582</v>
      </c>
      <c r="E237" t="s">
        <v>583</v>
      </c>
      <c r="F237" t="s">
        <v>48</v>
      </c>
      <c r="G237">
        <v>98</v>
      </c>
      <c r="H237" t="s">
        <v>153</v>
      </c>
      <c r="I237">
        <v>40034.708333333336</v>
      </c>
      <c r="P237" t="s">
        <v>51</v>
      </c>
      <c r="S237">
        <v>500</v>
      </c>
      <c r="T237" t="s">
        <v>579</v>
      </c>
      <c r="U237" t="s">
        <v>580</v>
      </c>
      <c r="V237">
        <v>1759</v>
      </c>
      <c r="W237">
        <v>9.5</v>
      </c>
      <c r="X237">
        <v>1409.9</v>
      </c>
      <c r="Y237">
        <v>32</v>
      </c>
      <c r="Z237">
        <v>52</v>
      </c>
      <c r="AA237">
        <v>141</v>
      </c>
      <c r="AB237">
        <v>692.5</v>
      </c>
      <c r="AC237" t="s">
        <v>63</v>
      </c>
      <c r="AD237" t="s">
        <v>63</v>
      </c>
      <c r="AE237" t="s">
        <v>63</v>
      </c>
      <c r="AF237" t="s">
        <v>63</v>
      </c>
      <c r="AG237" t="s">
        <v>58</v>
      </c>
      <c r="AH237">
        <v>95.5</v>
      </c>
      <c r="AI237">
        <v>261</v>
      </c>
      <c r="AJ237">
        <v>391.5</v>
      </c>
      <c r="AK237">
        <v>690.5</v>
      </c>
      <c r="AL237">
        <v>1028.5</v>
      </c>
      <c r="AM237" t="s">
        <v>56</v>
      </c>
      <c r="AN237" t="s">
        <v>87</v>
      </c>
      <c r="AO237" t="s">
        <v>64</v>
      </c>
      <c r="AP237" t="s">
        <v>64</v>
      </c>
      <c r="AQ237" t="s">
        <v>64</v>
      </c>
      <c r="AR237">
        <v>69</v>
      </c>
    </row>
    <row r="238" spans="1:44">
      <c r="A238" t="s">
        <v>220</v>
      </c>
      <c r="B238" t="s">
        <v>575</v>
      </c>
      <c r="C238" t="s">
        <v>576</v>
      </c>
      <c r="D238" t="s">
        <v>584</v>
      </c>
      <c r="E238" t="s">
        <v>585</v>
      </c>
      <c r="F238" t="s">
        <v>48</v>
      </c>
      <c r="G238">
        <v>98</v>
      </c>
      <c r="H238" t="s">
        <v>153</v>
      </c>
      <c r="I238">
        <v>40033.666666666664</v>
      </c>
      <c r="P238" t="s">
        <v>51</v>
      </c>
      <c r="S238">
        <v>500</v>
      </c>
      <c r="T238" t="s">
        <v>579</v>
      </c>
      <c r="U238" t="s">
        <v>580</v>
      </c>
      <c r="V238">
        <v>1759</v>
      </c>
      <c r="W238">
        <v>89</v>
      </c>
      <c r="X238">
        <v>712.6</v>
      </c>
      <c r="Y238">
        <v>162.5</v>
      </c>
      <c r="Z238">
        <v>374.5</v>
      </c>
      <c r="AA238">
        <v>532</v>
      </c>
      <c r="AB238">
        <v>757</v>
      </c>
      <c r="AC238" t="s">
        <v>55</v>
      </c>
      <c r="AD238" t="s">
        <v>55</v>
      </c>
      <c r="AE238" t="s">
        <v>87</v>
      </c>
      <c r="AF238" t="s">
        <v>87</v>
      </c>
      <c r="AG238" t="s">
        <v>64</v>
      </c>
      <c r="AH238">
        <v>95.5</v>
      </c>
      <c r="AI238">
        <v>261</v>
      </c>
      <c r="AJ238">
        <v>391.5</v>
      </c>
      <c r="AK238">
        <v>690.5</v>
      </c>
      <c r="AL238">
        <v>1028.5</v>
      </c>
      <c r="AM238" t="s">
        <v>56</v>
      </c>
      <c r="AN238" t="s">
        <v>87</v>
      </c>
      <c r="AO238" t="s">
        <v>64</v>
      </c>
      <c r="AP238" t="s">
        <v>64</v>
      </c>
      <c r="AQ238" t="s">
        <v>64</v>
      </c>
      <c r="AR238">
        <v>45</v>
      </c>
    </row>
    <row r="239" spans="1:44">
      <c r="A239" t="s">
        <v>220</v>
      </c>
      <c r="B239" t="s">
        <v>586</v>
      </c>
      <c r="C239" t="s">
        <v>587</v>
      </c>
      <c r="D239" t="s">
        <v>588</v>
      </c>
      <c r="F239" t="s">
        <v>48</v>
      </c>
      <c r="G239">
        <v>97</v>
      </c>
      <c r="H239" t="s">
        <v>124</v>
      </c>
      <c r="I239">
        <v>39647.083333333336</v>
      </c>
      <c r="P239" t="s">
        <v>51</v>
      </c>
      <c r="S239">
        <v>450</v>
      </c>
      <c r="T239" t="s">
        <v>225</v>
      </c>
      <c r="U239" t="s">
        <v>226</v>
      </c>
      <c r="V239">
        <v>1034.5</v>
      </c>
      <c r="W239">
        <v>34.5</v>
      </c>
      <c r="X239">
        <v>677.1</v>
      </c>
      <c r="Y239">
        <v>147</v>
      </c>
      <c r="Z239">
        <v>515.5</v>
      </c>
      <c r="AA239">
        <v>684</v>
      </c>
      <c r="AB239">
        <v>684</v>
      </c>
      <c r="AC239" t="s">
        <v>63</v>
      </c>
      <c r="AD239" t="s">
        <v>54</v>
      </c>
      <c r="AE239" t="s">
        <v>64</v>
      </c>
      <c r="AF239" t="s">
        <v>64</v>
      </c>
      <c r="AG239" t="s">
        <v>58</v>
      </c>
      <c r="AH239">
        <v>148</v>
      </c>
      <c r="AI239">
        <v>368.5</v>
      </c>
      <c r="AJ239">
        <v>567</v>
      </c>
      <c r="AK239">
        <v>764.5</v>
      </c>
      <c r="AL239">
        <v>886.5</v>
      </c>
      <c r="AM239" t="s">
        <v>64</v>
      </c>
      <c r="AN239" t="s">
        <v>64</v>
      </c>
      <c r="AO239" t="s">
        <v>64</v>
      </c>
      <c r="AP239" t="s">
        <v>64</v>
      </c>
      <c r="AQ239" t="s">
        <v>64</v>
      </c>
      <c r="AR239">
        <v>10</v>
      </c>
    </row>
    <row r="240" spans="1:44">
      <c r="A240" t="s">
        <v>220</v>
      </c>
      <c r="B240" t="s">
        <v>586</v>
      </c>
      <c r="C240" t="s">
        <v>589</v>
      </c>
      <c r="D240" t="s">
        <v>590</v>
      </c>
      <c r="F240" t="s">
        <v>48</v>
      </c>
      <c r="G240">
        <v>113</v>
      </c>
      <c r="H240" t="s">
        <v>59</v>
      </c>
      <c r="I240">
        <v>45499.25</v>
      </c>
      <c r="P240" t="s">
        <v>51</v>
      </c>
      <c r="S240">
        <v>300</v>
      </c>
      <c r="T240" t="s">
        <v>591</v>
      </c>
      <c r="U240" t="s">
        <v>592</v>
      </c>
      <c r="V240">
        <v>1394</v>
      </c>
      <c r="W240">
        <v>32</v>
      </c>
      <c r="X240">
        <v>1103.7</v>
      </c>
      <c r="Y240">
        <v>45.5</v>
      </c>
      <c r="Z240">
        <v>59</v>
      </c>
      <c r="AA240">
        <v>207</v>
      </c>
      <c r="AB240">
        <v>623</v>
      </c>
      <c r="AC240" t="s">
        <v>63</v>
      </c>
      <c r="AD240" t="s">
        <v>63</v>
      </c>
      <c r="AE240" t="s">
        <v>63</v>
      </c>
      <c r="AF240" t="s">
        <v>63</v>
      </c>
      <c r="AG240" t="s">
        <v>57</v>
      </c>
      <c r="AH240">
        <v>71</v>
      </c>
      <c r="AI240">
        <v>174.5</v>
      </c>
      <c r="AJ240">
        <v>328</v>
      </c>
      <c r="AK240">
        <v>576</v>
      </c>
      <c r="AL240">
        <v>1000</v>
      </c>
      <c r="AM240" t="s">
        <v>54</v>
      </c>
      <c r="AN240" t="s">
        <v>55</v>
      </c>
      <c r="AO240" t="s">
        <v>57</v>
      </c>
      <c r="AP240" t="s">
        <v>64</v>
      </c>
      <c r="AQ240" t="s">
        <v>64</v>
      </c>
      <c r="AR240">
        <v>45</v>
      </c>
    </row>
    <row r="241" spans="1:44">
      <c r="A241" t="s">
        <v>220</v>
      </c>
      <c r="B241" t="s">
        <v>586</v>
      </c>
      <c r="C241" t="s">
        <v>587</v>
      </c>
      <c r="D241" t="s">
        <v>593</v>
      </c>
      <c r="E241" t="s">
        <v>594</v>
      </c>
      <c r="F241" t="s">
        <v>48</v>
      </c>
      <c r="G241">
        <v>98</v>
      </c>
      <c r="H241" t="s">
        <v>153</v>
      </c>
      <c r="I241">
        <v>40033.708333333336</v>
      </c>
      <c r="P241" t="s">
        <v>51</v>
      </c>
      <c r="S241">
        <v>450</v>
      </c>
      <c r="T241" t="s">
        <v>595</v>
      </c>
      <c r="U241" t="s">
        <v>596</v>
      </c>
      <c r="V241">
        <v>2239.5</v>
      </c>
      <c r="W241">
        <v>86.5</v>
      </c>
      <c r="X241">
        <v>732.6</v>
      </c>
      <c r="Y241">
        <v>191</v>
      </c>
      <c r="Z241">
        <v>277</v>
      </c>
      <c r="AA241">
        <v>402</v>
      </c>
      <c r="AB241">
        <v>616.5</v>
      </c>
      <c r="AC241" t="s">
        <v>55</v>
      </c>
      <c r="AD241" t="s">
        <v>56</v>
      </c>
      <c r="AE241" t="s">
        <v>56</v>
      </c>
      <c r="AF241" t="s">
        <v>57</v>
      </c>
      <c r="AG241" t="s">
        <v>58</v>
      </c>
      <c r="AH241">
        <v>116</v>
      </c>
      <c r="AI241">
        <v>292.5</v>
      </c>
      <c r="AJ241">
        <v>469</v>
      </c>
      <c r="AK241">
        <v>800.5</v>
      </c>
      <c r="AL241">
        <v>1231</v>
      </c>
      <c r="AM241" t="s">
        <v>58</v>
      </c>
      <c r="AN241" t="s">
        <v>64</v>
      </c>
      <c r="AO241" t="s">
        <v>64</v>
      </c>
      <c r="AP241" t="s">
        <v>64</v>
      </c>
      <c r="AQ241" t="s">
        <v>64</v>
      </c>
      <c r="AR241">
        <v>42</v>
      </c>
    </row>
    <row r="242" spans="1:44">
      <c r="A242" t="s">
        <v>220</v>
      </c>
      <c r="B242" t="s">
        <v>586</v>
      </c>
      <c r="C242" t="s">
        <v>597</v>
      </c>
      <c r="D242" t="s">
        <v>598</v>
      </c>
      <c r="E242" t="s">
        <v>599</v>
      </c>
      <c r="F242" t="s">
        <v>127</v>
      </c>
      <c r="G242">
        <v>98</v>
      </c>
      <c r="H242" t="s">
        <v>153</v>
      </c>
      <c r="I242">
        <v>40033.666666666664</v>
      </c>
      <c r="P242" t="s">
        <v>51</v>
      </c>
      <c r="S242">
        <v>450</v>
      </c>
      <c r="T242" t="s">
        <v>595</v>
      </c>
      <c r="U242" t="s">
        <v>596</v>
      </c>
      <c r="V242">
        <v>2239.5</v>
      </c>
      <c r="W242">
        <v>74</v>
      </c>
      <c r="X242">
        <v>647.4</v>
      </c>
      <c r="Y242">
        <v>139.5</v>
      </c>
      <c r="Z242">
        <v>213</v>
      </c>
      <c r="AA242">
        <v>345</v>
      </c>
      <c r="AB242">
        <v>542</v>
      </c>
      <c r="AC242" t="s">
        <v>54</v>
      </c>
      <c r="AD242" t="s">
        <v>54</v>
      </c>
      <c r="AE242" t="s">
        <v>54</v>
      </c>
      <c r="AF242" t="s">
        <v>56</v>
      </c>
      <c r="AG242" t="s">
        <v>57</v>
      </c>
      <c r="AH242">
        <v>116</v>
      </c>
      <c r="AI242">
        <v>292.5</v>
      </c>
      <c r="AJ242">
        <v>469</v>
      </c>
      <c r="AK242">
        <v>800.5</v>
      </c>
      <c r="AL242">
        <v>1231</v>
      </c>
      <c r="AM242" t="s">
        <v>58</v>
      </c>
      <c r="AN242" t="s">
        <v>64</v>
      </c>
      <c r="AO242" t="s">
        <v>64</v>
      </c>
      <c r="AP242" t="s">
        <v>64</v>
      </c>
      <c r="AQ242" t="s">
        <v>64</v>
      </c>
      <c r="AR242">
        <v>41</v>
      </c>
    </row>
    <row r="243" spans="1:44">
      <c r="A243" t="s">
        <v>265</v>
      </c>
      <c r="B243" t="s">
        <v>600</v>
      </c>
      <c r="C243" t="s">
        <v>601</v>
      </c>
      <c r="D243" t="s">
        <v>602</v>
      </c>
      <c r="F243" t="s">
        <v>48</v>
      </c>
      <c r="G243">
        <v>98</v>
      </c>
      <c r="H243" t="s">
        <v>153</v>
      </c>
      <c r="I243">
        <v>40033.541666666664</v>
      </c>
      <c r="P243" t="s">
        <v>51</v>
      </c>
      <c r="S243">
        <v>550</v>
      </c>
      <c r="T243" t="s">
        <v>603</v>
      </c>
      <c r="U243" t="s">
        <v>604</v>
      </c>
      <c r="V243">
        <v>2964.5</v>
      </c>
      <c r="W243">
        <v>71</v>
      </c>
      <c r="X243">
        <v>1532</v>
      </c>
      <c r="Y243">
        <v>227.5</v>
      </c>
      <c r="Z243">
        <v>427.5</v>
      </c>
      <c r="AA243">
        <v>842</v>
      </c>
      <c r="AB243">
        <v>1291.5</v>
      </c>
      <c r="AC243" t="s">
        <v>63</v>
      </c>
      <c r="AD243" t="s">
        <v>57</v>
      </c>
      <c r="AE243" t="s">
        <v>64</v>
      </c>
      <c r="AF243" t="s">
        <v>64</v>
      </c>
      <c r="AG243" t="s">
        <v>64</v>
      </c>
      <c r="AH243">
        <v>117</v>
      </c>
      <c r="AI243">
        <v>274</v>
      </c>
      <c r="AJ243">
        <v>452.5</v>
      </c>
      <c r="AK243">
        <v>842</v>
      </c>
      <c r="AL243">
        <v>1414</v>
      </c>
      <c r="AM243" t="s">
        <v>57</v>
      </c>
      <c r="AN243" t="s">
        <v>87</v>
      </c>
      <c r="AO243" t="s">
        <v>64</v>
      </c>
      <c r="AP243" t="s">
        <v>64</v>
      </c>
      <c r="AQ243" t="s">
        <v>64</v>
      </c>
      <c r="AR243">
        <v>42</v>
      </c>
    </row>
    <row r="244" spans="1:44">
      <c r="A244" t="s">
        <v>265</v>
      </c>
      <c r="B244" t="s">
        <v>600</v>
      </c>
      <c r="C244" t="s">
        <v>605</v>
      </c>
      <c r="D244" t="s">
        <v>606</v>
      </c>
      <c r="F244" t="s">
        <v>48</v>
      </c>
      <c r="G244">
        <v>96</v>
      </c>
      <c r="H244" t="s">
        <v>607</v>
      </c>
      <c r="I244">
        <v>39307.791666666664</v>
      </c>
      <c r="P244" t="s">
        <v>51</v>
      </c>
      <c r="S244">
        <v>550</v>
      </c>
      <c r="T244" t="s">
        <v>608</v>
      </c>
      <c r="U244" t="s">
        <v>609</v>
      </c>
      <c r="V244">
        <v>1155</v>
      </c>
      <c r="W244">
        <v>71</v>
      </c>
      <c r="X244">
        <v>1104.01</v>
      </c>
      <c r="Y244">
        <v>266</v>
      </c>
      <c r="Z244">
        <v>478</v>
      </c>
      <c r="AA244">
        <v>631</v>
      </c>
      <c r="AB244">
        <v>805.5</v>
      </c>
      <c r="AC244" t="s">
        <v>54</v>
      </c>
      <c r="AD244" t="s">
        <v>87</v>
      </c>
      <c r="AE244" t="s">
        <v>64</v>
      </c>
      <c r="AF244" t="s">
        <v>64</v>
      </c>
      <c r="AG244" t="s">
        <v>87</v>
      </c>
      <c r="AH244">
        <v>138</v>
      </c>
      <c r="AI244">
        <v>309</v>
      </c>
      <c r="AJ244">
        <v>561.5</v>
      </c>
      <c r="AK244">
        <v>747</v>
      </c>
      <c r="AL244">
        <v>1008.5</v>
      </c>
      <c r="AM244" t="s">
        <v>64</v>
      </c>
      <c r="AN244" t="s">
        <v>64</v>
      </c>
      <c r="AO244" t="s">
        <v>64</v>
      </c>
      <c r="AP244" t="s">
        <v>64</v>
      </c>
      <c r="AQ244" t="s">
        <v>64</v>
      </c>
      <c r="AR244">
        <v>35</v>
      </c>
    </row>
    <row r="245" spans="1:44">
      <c r="A245" t="s">
        <v>265</v>
      </c>
      <c r="B245" t="s">
        <v>610</v>
      </c>
      <c r="C245" t="s">
        <v>611</v>
      </c>
      <c r="D245" t="s">
        <v>612</v>
      </c>
      <c r="E245" t="s">
        <v>613</v>
      </c>
      <c r="F245" t="s">
        <v>48</v>
      </c>
      <c r="G245">
        <v>100</v>
      </c>
      <c r="H245" t="s">
        <v>614</v>
      </c>
      <c r="I245">
        <v>40784.291666666664</v>
      </c>
      <c r="P245" t="s">
        <v>51</v>
      </c>
      <c r="S245">
        <v>600</v>
      </c>
      <c r="T245" t="s">
        <v>615</v>
      </c>
      <c r="U245" t="s">
        <v>616</v>
      </c>
      <c r="V245">
        <v>1138</v>
      </c>
      <c r="W245">
        <v>15.5</v>
      </c>
      <c r="X245">
        <v>518.9</v>
      </c>
      <c r="Y245">
        <v>325.5</v>
      </c>
      <c r="Z245">
        <v>175</v>
      </c>
      <c r="AA245">
        <v>207</v>
      </c>
      <c r="AB245">
        <v>387</v>
      </c>
      <c r="AC245" t="s">
        <v>63</v>
      </c>
      <c r="AD245" t="s">
        <v>64</v>
      </c>
      <c r="AE245" t="s">
        <v>63</v>
      </c>
      <c r="AF245" t="s">
        <v>63</v>
      </c>
      <c r="AG245" t="s">
        <v>54</v>
      </c>
      <c r="AH245">
        <v>108</v>
      </c>
      <c r="AI245">
        <v>151</v>
      </c>
      <c r="AJ245">
        <v>254</v>
      </c>
      <c r="AK245">
        <v>326</v>
      </c>
      <c r="AL245">
        <v>420.5</v>
      </c>
      <c r="AM245" t="s">
        <v>57</v>
      </c>
      <c r="AN245" t="s">
        <v>54</v>
      </c>
      <c r="AO245" t="s">
        <v>55</v>
      </c>
      <c r="AP245" t="s">
        <v>55</v>
      </c>
      <c r="AQ245" t="s">
        <v>54</v>
      </c>
      <c r="AR245">
        <v>42</v>
      </c>
    </row>
    <row r="246" spans="1:44">
      <c r="A246" t="s">
        <v>617</v>
      </c>
      <c r="B246" t="s">
        <v>618</v>
      </c>
      <c r="C246" t="s">
        <v>619</v>
      </c>
      <c r="D246" t="s">
        <v>620</v>
      </c>
      <c r="F246" t="s">
        <v>48</v>
      </c>
      <c r="G246">
        <v>98</v>
      </c>
      <c r="H246" t="s">
        <v>153</v>
      </c>
      <c r="I246">
        <v>40034.041666666664</v>
      </c>
      <c r="P246" t="s">
        <v>51</v>
      </c>
      <c r="S246">
        <v>550</v>
      </c>
      <c r="T246" t="s">
        <v>621</v>
      </c>
      <c r="U246" t="s">
        <v>622</v>
      </c>
      <c r="V246">
        <v>1592</v>
      </c>
      <c r="W246">
        <v>47.5</v>
      </c>
      <c r="X246">
        <v>1252.9000000000001</v>
      </c>
      <c r="Y246">
        <v>127</v>
      </c>
      <c r="Z246">
        <v>218.5</v>
      </c>
      <c r="AA246">
        <v>377.5</v>
      </c>
      <c r="AB246">
        <v>1004</v>
      </c>
      <c r="AC246" t="s">
        <v>63</v>
      </c>
      <c r="AD246" t="s">
        <v>63</v>
      </c>
      <c r="AE246" t="s">
        <v>54</v>
      </c>
      <c r="AF246" t="s">
        <v>56</v>
      </c>
      <c r="AG246" t="s">
        <v>64</v>
      </c>
      <c r="AH246">
        <v>71.5</v>
      </c>
      <c r="AI246">
        <v>184.5</v>
      </c>
      <c r="AJ246">
        <v>357.5</v>
      </c>
      <c r="AK246">
        <v>626.5</v>
      </c>
      <c r="AL246">
        <v>1016</v>
      </c>
      <c r="AM246" t="s">
        <v>54</v>
      </c>
      <c r="AN246" t="s">
        <v>56</v>
      </c>
      <c r="AO246" t="s">
        <v>87</v>
      </c>
      <c r="AP246" t="s">
        <v>64</v>
      </c>
      <c r="AQ246" t="s">
        <v>64</v>
      </c>
      <c r="AR246">
        <v>43</v>
      </c>
    </row>
    <row r="247" spans="1:44">
      <c r="A247" t="s">
        <v>617</v>
      </c>
      <c r="B247" t="s">
        <v>618</v>
      </c>
      <c r="C247" t="s">
        <v>619</v>
      </c>
      <c r="D247" t="s">
        <v>623</v>
      </c>
      <c r="F247" t="s">
        <v>48</v>
      </c>
      <c r="G247">
        <v>110</v>
      </c>
      <c r="H247" t="s">
        <v>624</v>
      </c>
      <c r="I247">
        <v>44481.5625</v>
      </c>
      <c r="P247" t="s">
        <v>51</v>
      </c>
      <c r="S247">
        <v>450</v>
      </c>
      <c r="T247" t="s">
        <v>625</v>
      </c>
      <c r="U247" t="s">
        <v>626</v>
      </c>
      <c r="V247">
        <v>415.5</v>
      </c>
      <c r="W247">
        <v>11</v>
      </c>
      <c r="X247">
        <v>283.5</v>
      </c>
      <c r="Y247">
        <v>24</v>
      </c>
      <c r="Z247">
        <v>61</v>
      </c>
      <c r="AA247">
        <v>268.5</v>
      </c>
      <c r="AB247">
        <v>398.5</v>
      </c>
      <c r="AC247" t="s">
        <v>63</v>
      </c>
      <c r="AD247" t="s">
        <v>63</v>
      </c>
      <c r="AE247" t="s">
        <v>63</v>
      </c>
      <c r="AF247" t="s">
        <v>55</v>
      </c>
      <c r="AG247" t="s">
        <v>56</v>
      </c>
      <c r="AH247">
        <v>86.5</v>
      </c>
      <c r="AI247">
        <v>175</v>
      </c>
      <c r="AJ247">
        <v>233.5</v>
      </c>
      <c r="AK247">
        <v>296.5</v>
      </c>
      <c r="AL247">
        <v>398.5</v>
      </c>
      <c r="AM247" t="s">
        <v>56</v>
      </c>
      <c r="AN247" t="s">
        <v>56</v>
      </c>
      <c r="AO247" t="s">
        <v>56</v>
      </c>
      <c r="AP247" t="s">
        <v>55</v>
      </c>
      <c r="AQ247" t="s">
        <v>56</v>
      </c>
      <c r="AR247">
        <v>29</v>
      </c>
    </row>
    <row r="248" spans="1:44">
      <c r="A248" t="s">
        <v>617</v>
      </c>
      <c r="B248" t="s">
        <v>618</v>
      </c>
      <c r="C248" t="s">
        <v>627</v>
      </c>
      <c r="D248" t="s">
        <v>628</v>
      </c>
      <c r="F248" t="s">
        <v>48</v>
      </c>
      <c r="G248">
        <v>98</v>
      </c>
      <c r="H248" t="s">
        <v>153</v>
      </c>
      <c r="I248">
        <v>40033.625</v>
      </c>
      <c r="P248" t="s">
        <v>51</v>
      </c>
      <c r="S248">
        <v>550</v>
      </c>
      <c r="T248" t="s">
        <v>621</v>
      </c>
      <c r="U248" t="s">
        <v>622</v>
      </c>
      <c r="V248">
        <v>1592</v>
      </c>
      <c r="W248">
        <v>20</v>
      </c>
      <c r="X248">
        <v>951</v>
      </c>
      <c r="Y248">
        <v>81.5</v>
      </c>
      <c r="Z248">
        <v>234.5</v>
      </c>
      <c r="AA248">
        <v>570.5</v>
      </c>
      <c r="AB248">
        <v>828.5</v>
      </c>
      <c r="AC248" t="s">
        <v>63</v>
      </c>
      <c r="AD248" t="s">
        <v>63</v>
      </c>
      <c r="AE248" t="s">
        <v>55</v>
      </c>
      <c r="AF248" t="s">
        <v>64</v>
      </c>
      <c r="AG248" t="s">
        <v>64</v>
      </c>
      <c r="AH248">
        <v>71.5</v>
      </c>
      <c r="AI248">
        <v>184.5</v>
      </c>
      <c r="AJ248">
        <v>357.5</v>
      </c>
      <c r="AK248">
        <v>626.5</v>
      </c>
      <c r="AL248">
        <v>1016</v>
      </c>
      <c r="AM248" t="s">
        <v>54</v>
      </c>
      <c r="AN248" t="s">
        <v>56</v>
      </c>
      <c r="AO248" t="s">
        <v>87</v>
      </c>
      <c r="AP248" t="s">
        <v>64</v>
      </c>
      <c r="AQ248" t="s">
        <v>64</v>
      </c>
      <c r="AR248">
        <v>33</v>
      </c>
    </row>
    <row r="249" spans="1:44">
      <c r="A249" t="s">
        <v>617</v>
      </c>
      <c r="B249" t="s">
        <v>618</v>
      </c>
      <c r="C249" t="s">
        <v>627</v>
      </c>
      <c r="D249" t="s">
        <v>629</v>
      </c>
      <c r="F249" t="s">
        <v>127</v>
      </c>
      <c r="G249">
        <v>98</v>
      </c>
      <c r="H249" t="s">
        <v>153</v>
      </c>
      <c r="I249">
        <v>40033.625</v>
      </c>
      <c r="P249" t="s">
        <v>51</v>
      </c>
      <c r="S249">
        <v>550</v>
      </c>
      <c r="T249" t="s">
        <v>621</v>
      </c>
      <c r="U249" t="s">
        <v>622</v>
      </c>
      <c r="V249">
        <v>1592</v>
      </c>
      <c r="W249">
        <v>20</v>
      </c>
      <c r="X249">
        <v>951</v>
      </c>
      <c r="Y249">
        <v>81.5</v>
      </c>
      <c r="Z249">
        <v>234.5</v>
      </c>
      <c r="AA249">
        <v>570.5</v>
      </c>
      <c r="AB249">
        <v>828.5</v>
      </c>
      <c r="AC249" t="s">
        <v>63</v>
      </c>
      <c r="AD249" t="s">
        <v>63</v>
      </c>
      <c r="AE249" t="s">
        <v>55</v>
      </c>
      <c r="AF249" t="s">
        <v>64</v>
      </c>
      <c r="AG249" t="s">
        <v>64</v>
      </c>
      <c r="AH249">
        <v>71.5</v>
      </c>
      <c r="AI249">
        <v>184.5</v>
      </c>
      <c r="AJ249">
        <v>357.5</v>
      </c>
      <c r="AK249">
        <v>626.5</v>
      </c>
      <c r="AL249">
        <v>1016</v>
      </c>
      <c r="AM249" t="s">
        <v>54</v>
      </c>
      <c r="AN249" t="s">
        <v>56</v>
      </c>
      <c r="AO249" t="s">
        <v>87</v>
      </c>
      <c r="AP249" t="s">
        <v>64</v>
      </c>
      <c r="AQ249" t="s">
        <v>64</v>
      </c>
      <c r="AR249">
        <v>33</v>
      </c>
    </row>
    <row r="250" spans="1:44">
      <c r="A250" t="s">
        <v>617</v>
      </c>
      <c r="B250" t="s">
        <v>630</v>
      </c>
      <c r="C250" t="s">
        <v>631</v>
      </c>
      <c r="D250" t="s">
        <v>632</v>
      </c>
      <c r="F250" t="s">
        <v>48</v>
      </c>
      <c r="G250">
        <v>113</v>
      </c>
      <c r="H250" t="s">
        <v>633</v>
      </c>
      <c r="I250">
        <v>45569.041666666664</v>
      </c>
      <c r="P250" t="s">
        <v>51</v>
      </c>
      <c r="S250">
        <v>450</v>
      </c>
      <c r="T250" t="s">
        <v>634</v>
      </c>
      <c r="U250" t="s">
        <v>635</v>
      </c>
      <c r="V250">
        <v>866</v>
      </c>
      <c r="W250">
        <v>78</v>
      </c>
      <c r="X250">
        <v>619</v>
      </c>
      <c r="Y250">
        <v>117</v>
      </c>
      <c r="Z250">
        <v>183.5</v>
      </c>
      <c r="AA250">
        <v>247</v>
      </c>
      <c r="AB250">
        <v>364.5</v>
      </c>
      <c r="AC250" t="s">
        <v>55</v>
      </c>
      <c r="AD250" t="s">
        <v>54</v>
      </c>
      <c r="AE250" t="s">
        <v>55</v>
      </c>
      <c r="AF250" t="s">
        <v>55</v>
      </c>
      <c r="AG250" t="s">
        <v>56</v>
      </c>
      <c r="AH250">
        <v>78</v>
      </c>
      <c r="AI250">
        <v>135</v>
      </c>
      <c r="AJ250">
        <v>209</v>
      </c>
      <c r="AK250">
        <v>265</v>
      </c>
      <c r="AL250">
        <v>405.5</v>
      </c>
      <c r="AM250" t="s">
        <v>55</v>
      </c>
      <c r="AN250" t="s">
        <v>55</v>
      </c>
      <c r="AO250" t="s">
        <v>56</v>
      </c>
      <c r="AP250" t="s">
        <v>55</v>
      </c>
      <c r="AQ250" t="s">
        <v>57</v>
      </c>
      <c r="AR250">
        <v>88</v>
      </c>
    </row>
    <row r="251" spans="1:44">
      <c r="A251" t="s">
        <v>617</v>
      </c>
      <c r="B251" t="s">
        <v>630</v>
      </c>
      <c r="C251" t="s">
        <v>636</v>
      </c>
      <c r="D251" t="s">
        <v>637</v>
      </c>
      <c r="F251" t="s">
        <v>48</v>
      </c>
      <c r="G251">
        <v>98</v>
      </c>
      <c r="H251" t="s">
        <v>153</v>
      </c>
      <c r="I251">
        <v>40034.166666666664</v>
      </c>
      <c r="P251" t="s">
        <v>51</v>
      </c>
      <c r="S251">
        <v>550</v>
      </c>
      <c r="T251" t="s">
        <v>638</v>
      </c>
      <c r="U251" t="s">
        <v>639</v>
      </c>
      <c r="V251">
        <v>746.5</v>
      </c>
      <c r="W251">
        <v>12</v>
      </c>
      <c r="X251">
        <v>664.4</v>
      </c>
      <c r="Y251">
        <v>68.5</v>
      </c>
      <c r="Z251">
        <v>148</v>
      </c>
      <c r="AA251">
        <v>232</v>
      </c>
      <c r="AB251">
        <v>543.5</v>
      </c>
      <c r="AC251" t="s">
        <v>63</v>
      </c>
      <c r="AD251" t="s">
        <v>63</v>
      </c>
      <c r="AE251" t="s">
        <v>63</v>
      </c>
      <c r="AF251" t="s">
        <v>63</v>
      </c>
      <c r="AG251" t="s">
        <v>57</v>
      </c>
      <c r="AH251">
        <v>47</v>
      </c>
      <c r="AI251">
        <v>126.5</v>
      </c>
      <c r="AJ251">
        <v>216</v>
      </c>
      <c r="AK251">
        <v>349</v>
      </c>
      <c r="AL251">
        <v>566.5</v>
      </c>
      <c r="AM251" t="s">
        <v>63</v>
      </c>
      <c r="AN251" t="s">
        <v>63</v>
      </c>
      <c r="AO251" t="s">
        <v>54</v>
      </c>
      <c r="AP251" t="s">
        <v>56</v>
      </c>
      <c r="AQ251" t="s">
        <v>57</v>
      </c>
      <c r="AR251">
        <v>38</v>
      </c>
    </row>
    <row r="252" spans="1:44">
      <c r="A252" t="s">
        <v>617</v>
      </c>
      <c r="B252" t="s">
        <v>630</v>
      </c>
      <c r="C252" t="s">
        <v>640</v>
      </c>
      <c r="D252" t="s">
        <v>641</v>
      </c>
      <c r="F252" t="s">
        <v>48</v>
      </c>
      <c r="G252">
        <v>113</v>
      </c>
      <c r="H252" t="s">
        <v>633</v>
      </c>
      <c r="I252">
        <v>45569.083333333336</v>
      </c>
      <c r="P252" t="s">
        <v>51</v>
      </c>
      <c r="S252">
        <v>450</v>
      </c>
      <c r="T252" t="s">
        <v>642</v>
      </c>
      <c r="U252" t="s">
        <v>643</v>
      </c>
      <c r="V252">
        <v>824</v>
      </c>
      <c r="W252">
        <v>57</v>
      </c>
      <c r="X252">
        <v>552.6</v>
      </c>
      <c r="Y252">
        <v>99.5</v>
      </c>
      <c r="Z252">
        <v>136.5</v>
      </c>
      <c r="AA252">
        <v>189</v>
      </c>
      <c r="AB252">
        <v>287</v>
      </c>
      <c r="AC252" t="s">
        <v>63</v>
      </c>
      <c r="AD252" t="s">
        <v>63</v>
      </c>
      <c r="AE252" t="s">
        <v>63</v>
      </c>
      <c r="AF252" t="s">
        <v>63</v>
      </c>
      <c r="AG252" t="s">
        <v>63</v>
      </c>
      <c r="AH252">
        <v>57</v>
      </c>
      <c r="AI252">
        <v>108</v>
      </c>
      <c r="AJ252">
        <v>145</v>
      </c>
      <c r="AK252">
        <v>209.5</v>
      </c>
      <c r="AL252">
        <v>319</v>
      </c>
      <c r="AM252" t="s">
        <v>63</v>
      </c>
      <c r="AN252" t="s">
        <v>63</v>
      </c>
      <c r="AO252" t="s">
        <v>63</v>
      </c>
      <c r="AP252" t="s">
        <v>63</v>
      </c>
      <c r="AQ252" t="s">
        <v>54</v>
      </c>
      <c r="AR252">
        <v>89</v>
      </c>
    </row>
    <row r="253" spans="1:44">
      <c r="A253" t="s">
        <v>617</v>
      </c>
      <c r="B253" t="s">
        <v>630</v>
      </c>
      <c r="C253" t="s">
        <v>640</v>
      </c>
      <c r="D253" t="s">
        <v>644</v>
      </c>
      <c r="F253" t="s">
        <v>48</v>
      </c>
      <c r="G253">
        <v>113</v>
      </c>
      <c r="H253" t="s">
        <v>633</v>
      </c>
      <c r="I253">
        <v>45569.083333333336</v>
      </c>
      <c r="P253" t="s">
        <v>51</v>
      </c>
      <c r="S253">
        <v>450</v>
      </c>
      <c r="T253" t="s">
        <v>642</v>
      </c>
      <c r="U253" t="s">
        <v>643</v>
      </c>
      <c r="V253">
        <v>824</v>
      </c>
      <c r="W253">
        <v>57</v>
      </c>
      <c r="X253">
        <v>552.6</v>
      </c>
      <c r="Y253">
        <v>99.5</v>
      </c>
      <c r="Z253">
        <v>136.5</v>
      </c>
      <c r="AA253">
        <v>189</v>
      </c>
      <c r="AB253">
        <v>287</v>
      </c>
      <c r="AC253" t="s">
        <v>63</v>
      </c>
      <c r="AD253" t="s">
        <v>63</v>
      </c>
      <c r="AE253" t="s">
        <v>63</v>
      </c>
      <c r="AF253" t="s">
        <v>63</v>
      </c>
      <c r="AG253" t="s">
        <v>63</v>
      </c>
      <c r="AH253">
        <v>57</v>
      </c>
      <c r="AI253">
        <v>108</v>
      </c>
      <c r="AJ253">
        <v>145</v>
      </c>
      <c r="AK253">
        <v>209.5</v>
      </c>
      <c r="AL253">
        <v>319</v>
      </c>
      <c r="AM253" t="s">
        <v>63</v>
      </c>
      <c r="AN253" t="s">
        <v>63</v>
      </c>
      <c r="AO253" t="s">
        <v>63</v>
      </c>
      <c r="AP253" t="s">
        <v>63</v>
      </c>
      <c r="AQ253" t="s">
        <v>54</v>
      </c>
      <c r="AR253">
        <v>89</v>
      </c>
    </row>
    <row r="254" spans="1:44">
      <c r="A254" t="s">
        <v>617</v>
      </c>
      <c r="B254" t="s">
        <v>645</v>
      </c>
      <c r="C254" t="s">
        <v>646</v>
      </c>
      <c r="D254" t="s">
        <v>647</v>
      </c>
      <c r="F254" t="s">
        <v>127</v>
      </c>
      <c r="G254">
        <v>103</v>
      </c>
      <c r="H254" t="s">
        <v>648</v>
      </c>
      <c r="I254">
        <v>41903.458333333336</v>
      </c>
      <c r="P254" t="s">
        <v>51</v>
      </c>
      <c r="S254">
        <v>500</v>
      </c>
      <c r="T254" t="s">
        <v>649</v>
      </c>
      <c r="U254" t="s">
        <v>650</v>
      </c>
      <c r="V254">
        <v>560.5</v>
      </c>
      <c r="W254">
        <v>35</v>
      </c>
      <c r="X254">
        <v>280</v>
      </c>
      <c r="Y254">
        <v>145.5</v>
      </c>
      <c r="Z254">
        <v>273</v>
      </c>
      <c r="AA254">
        <v>421.5</v>
      </c>
      <c r="AB254">
        <v>498.5</v>
      </c>
      <c r="AC254" t="s">
        <v>63</v>
      </c>
      <c r="AD254" t="s">
        <v>54</v>
      </c>
      <c r="AE254" t="s">
        <v>57</v>
      </c>
      <c r="AF254" t="s">
        <v>58</v>
      </c>
      <c r="AG254" t="s">
        <v>56</v>
      </c>
      <c r="AH254">
        <v>70</v>
      </c>
      <c r="AI254">
        <v>178</v>
      </c>
      <c r="AJ254">
        <v>273</v>
      </c>
      <c r="AK254">
        <v>421.5</v>
      </c>
      <c r="AL254">
        <v>523</v>
      </c>
      <c r="AM254" t="s">
        <v>54</v>
      </c>
      <c r="AN254" t="s">
        <v>56</v>
      </c>
      <c r="AO254" t="s">
        <v>57</v>
      </c>
      <c r="AP254" t="s">
        <v>58</v>
      </c>
      <c r="AQ254" t="s">
        <v>57</v>
      </c>
      <c r="AR254">
        <v>34</v>
      </c>
    </row>
    <row r="255" spans="1:44">
      <c r="A255" t="s">
        <v>617</v>
      </c>
      <c r="B255" t="s">
        <v>645</v>
      </c>
      <c r="C255" t="s">
        <v>646</v>
      </c>
      <c r="D255" t="s">
        <v>651</v>
      </c>
      <c r="F255" t="s">
        <v>48</v>
      </c>
      <c r="G255">
        <v>113</v>
      </c>
      <c r="H255" t="s">
        <v>633</v>
      </c>
      <c r="I255">
        <v>45568.583333333336</v>
      </c>
      <c r="P255" t="s">
        <v>51</v>
      </c>
      <c r="S255">
        <v>500</v>
      </c>
      <c r="T255" t="s">
        <v>652</v>
      </c>
      <c r="U255" t="s">
        <v>653</v>
      </c>
      <c r="V255">
        <v>787.5</v>
      </c>
      <c r="W255">
        <v>16.5</v>
      </c>
      <c r="X255">
        <v>593.6</v>
      </c>
      <c r="Y255">
        <v>42.5</v>
      </c>
      <c r="Z255">
        <v>96</v>
      </c>
      <c r="AA255">
        <v>155</v>
      </c>
      <c r="AB255">
        <v>290</v>
      </c>
      <c r="AC255" t="s">
        <v>63</v>
      </c>
      <c r="AD255" t="s">
        <v>63</v>
      </c>
      <c r="AE255" t="s">
        <v>63</v>
      </c>
      <c r="AF255" t="s">
        <v>63</v>
      </c>
      <c r="AG255" t="s">
        <v>55</v>
      </c>
      <c r="AH255">
        <v>44</v>
      </c>
      <c r="AI255">
        <v>76.5</v>
      </c>
      <c r="AJ255">
        <v>139.5</v>
      </c>
      <c r="AK255">
        <v>226.5</v>
      </c>
      <c r="AL255">
        <v>364</v>
      </c>
      <c r="AM255" t="s">
        <v>63</v>
      </c>
      <c r="AN255" t="s">
        <v>63</v>
      </c>
      <c r="AO255" t="s">
        <v>54</v>
      </c>
      <c r="AP255" t="s">
        <v>55</v>
      </c>
      <c r="AQ255" t="s">
        <v>57</v>
      </c>
      <c r="AR255">
        <v>43</v>
      </c>
    </row>
    <row r="256" spans="1:44">
      <c r="A256" t="s">
        <v>617</v>
      </c>
      <c r="B256" t="s">
        <v>654</v>
      </c>
      <c r="C256" t="s">
        <v>655</v>
      </c>
      <c r="D256" t="s">
        <v>656</v>
      </c>
      <c r="E256" t="s">
        <v>655</v>
      </c>
      <c r="F256" t="s">
        <v>127</v>
      </c>
      <c r="G256">
        <v>105</v>
      </c>
      <c r="H256" t="s">
        <v>657</v>
      </c>
      <c r="I256">
        <v>42628.166666666664</v>
      </c>
      <c r="P256" t="s">
        <v>51</v>
      </c>
      <c r="S256">
        <v>500</v>
      </c>
      <c r="T256" t="s">
        <v>658</v>
      </c>
      <c r="U256" t="s">
        <v>659</v>
      </c>
      <c r="V256">
        <v>569.5</v>
      </c>
      <c r="W256">
        <v>19</v>
      </c>
      <c r="X256">
        <v>513.5</v>
      </c>
      <c r="Y256">
        <v>83</v>
      </c>
      <c r="Z256">
        <v>147</v>
      </c>
      <c r="AA256">
        <v>214</v>
      </c>
      <c r="AB256">
        <v>495</v>
      </c>
      <c r="AC256" t="s">
        <v>63</v>
      </c>
      <c r="AD256" t="s">
        <v>63</v>
      </c>
      <c r="AE256" t="s">
        <v>63</v>
      </c>
      <c r="AF256" t="s">
        <v>54</v>
      </c>
      <c r="AG256" t="s">
        <v>87</v>
      </c>
      <c r="AH256">
        <v>63</v>
      </c>
      <c r="AI256">
        <v>136</v>
      </c>
      <c r="AJ256">
        <v>207.5</v>
      </c>
      <c r="AK256">
        <v>290</v>
      </c>
      <c r="AL256">
        <v>495</v>
      </c>
      <c r="AM256" t="s">
        <v>54</v>
      </c>
      <c r="AN256" t="s">
        <v>55</v>
      </c>
      <c r="AO256" t="s">
        <v>56</v>
      </c>
      <c r="AP256" t="s">
        <v>56</v>
      </c>
      <c r="AQ256" t="s">
        <v>87</v>
      </c>
      <c r="AR256">
        <v>28</v>
      </c>
    </row>
    <row r="257" spans="1:44">
      <c r="A257" t="s">
        <v>272</v>
      </c>
      <c r="B257" t="s">
        <v>660</v>
      </c>
      <c r="C257" t="s">
        <v>661</v>
      </c>
      <c r="D257" t="s">
        <v>662</v>
      </c>
      <c r="F257" t="s">
        <v>127</v>
      </c>
      <c r="G257">
        <v>110</v>
      </c>
      <c r="H257" t="s">
        <v>663</v>
      </c>
      <c r="I257">
        <v>44482.291666666664</v>
      </c>
      <c r="P257" t="s">
        <v>51</v>
      </c>
      <c r="S257">
        <v>600</v>
      </c>
      <c r="T257" t="s">
        <v>664</v>
      </c>
      <c r="U257" t="s">
        <v>665</v>
      </c>
      <c r="V257">
        <v>1032.5</v>
      </c>
      <c r="W257">
        <v>76</v>
      </c>
      <c r="X257">
        <v>462.7</v>
      </c>
      <c r="Y257">
        <v>162</v>
      </c>
      <c r="Z257">
        <v>212</v>
      </c>
      <c r="AA257">
        <v>282</v>
      </c>
      <c r="AB257">
        <v>417.5</v>
      </c>
      <c r="AC257" t="s">
        <v>55</v>
      </c>
      <c r="AD257" t="s">
        <v>55</v>
      </c>
      <c r="AE257" t="s">
        <v>55</v>
      </c>
      <c r="AF257" t="s">
        <v>55</v>
      </c>
      <c r="AG257" t="s">
        <v>56</v>
      </c>
      <c r="AH257">
        <v>76</v>
      </c>
      <c r="AI257">
        <v>162</v>
      </c>
      <c r="AJ257">
        <v>212</v>
      </c>
      <c r="AK257">
        <v>301.5</v>
      </c>
      <c r="AL257">
        <v>446</v>
      </c>
      <c r="AM257" t="s">
        <v>55</v>
      </c>
      <c r="AN257" t="s">
        <v>55</v>
      </c>
      <c r="AO257" t="s">
        <v>55</v>
      </c>
      <c r="AP257" t="s">
        <v>55</v>
      </c>
      <c r="AQ257" t="s">
        <v>56</v>
      </c>
      <c r="AR257">
        <v>55</v>
      </c>
    </row>
    <row r="258" spans="1:44">
      <c r="A258" t="s">
        <v>272</v>
      </c>
      <c r="B258" t="s">
        <v>660</v>
      </c>
      <c r="C258" t="s">
        <v>661</v>
      </c>
      <c r="D258" t="s">
        <v>666</v>
      </c>
      <c r="F258" t="s">
        <v>127</v>
      </c>
      <c r="G258">
        <v>110</v>
      </c>
      <c r="H258" t="s">
        <v>663</v>
      </c>
      <c r="I258">
        <v>44482.291666666664</v>
      </c>
      <c r="P258" t="s">
        <v>51</v>
      </c>
      <c r="S258">
        <v>600</v>
      </c>
      <c r="T258" t="s">
        <v>664</v>
      </c>
      <c r="U258" t="s">
        <v>665</v>
      </c>
      <c r="V258">
        <v>1032.5</v>
      </c>
      <c r="W258">
        <v>76</v>
      </c>
      <c r="X258">
        <v>462.7</v>
      </c>
      <c r="Y258">
        <v>162</v>
      </c>
      <c r="Z258">
        <v>212</v>
      </c>
      <c r="AA258">
        <v>282</v>
      </c>
      <c r="AB258">
        <v>417.5</v>
      </c>
      <c r="AC258" t="s">
        <v>55</v>
      </c>
      <c r="AD258" t="s">
        <v>55</v>
      </c>
      <c r="AE258" t="s">
        <v>55</v>
      </c>
      <c r="AF258" t="s">
        <v>55</v>
      </c>
      <c r="AG258" t="s">
        <v>56</v>
      </c>
      <c r="AH258">
        <v>76</v>
      </c>
      <c r="AI258">
        <v>162</v>
      </c>
      <c r="AJ258">
        <v>212</v>
      </c>
      <c r="AK258">
        <v>301.5</v>
      </c>
      <c r="AL258">
        <v>446</v>
      </c>
      <c r="AM258" t="s">
        <v>55</v>
      </c>
      <c r="AN258" t="s">
        <v>55</v>
      </c>
      <c r="AO258" t="s">
        <v>55</v>
      </c>
      <c r="AP258" t="s">
        <v>55</v>
      </c>
      <c r="AQ258" t="s">
        <v>56</v>
      </c>
      <c r="AR258">
        <v>55</v>
      </c>
    </row>
    <row r="259" spans="1:44" hidden="1">
      <c r="A259" t="s">
        <v>272</v>
      </c>
      <c r="B259" t="s">
        <v>667</v>
      </c>
      <c r="C259" t="s">
        <v>668</v>
      </c>
      <c r="D259" t="s">
        <v>669</v>
      </c>
      <c r="E259" t="s">
        <v>668</v>
      </c>
      <c r="F259" t="s">
        <v>48</v>
      </c>
      <c r="G259">
        <v>90</v>
      </c>
      <c r="H259" t="s">
        <v>80</v>
      </c>
      <c r="I259">
        <v>37102.958333333336</v>
      </c>
      <c r="P259" t="s">
        <v>51</v>
      </c>
      <c r="S259" t="s">
        <v>81</v>
      </c>
      <c r="T259" t="s">
        <v>670</v>
      </c>
      <c r="U259" t="s">
        <v>671</v>
      </c>
      <c r="V259">
        <v>418</v>
      </c>
      <c r="W259">
        <v>101</v>
      </c>
      <c r="X259">
        <v>330.3</v>
      </c>
      <c r="Y259">
        <v>231</v>
      </c>
      <c r="Z259">
        <v>303.5</v>
      </c>
      <c r="AA259">
        <v>322.5</v>
      </c>
      <c r="AB259">
        <v>322.5</v>
      </c>
      <c r="AC259" t="s">
        <v>56</v>
      </c>
      <c r="AD259" t="s">
        <v>57</v>
      </c>
      <c r="AE259" t="s">
        <v>56</v>
      </c>
      <c r="AF259" t="s">
        <v>54</v>
      </c>
      <c r="AG259" t="s">
        <v>63</v>
      </c>
      <c r="AH259">
        <v>101</v>
      </c>
      <c r="AI259">
        <v>241</v>
      </c>
      <c r="AJ259">
        <v>343.5</v>
      </c>
      <c r="AK259">
        <v>399</v>
      </c>
      <c r="AL259">
        <v>418</v>
      </c>
      <c r="AM259" t="s">
        <v>56</v>
      </c>
      <c r="AN259" t="s">
        <v>57</v>
      </c>
      <c r="AO259" t="s">
        <v>57</v>
      </c>
      <c r="AP259" t="s">
        <v>55</v>
      </c>
      <c r="AQ259" t="s">
        <v>63</v>
      </c>
      <c r="AR259">
        <v>8</v>
      </c>
    </row>
    <row r="260" spans="1:44" hidden="1">
      <c r="A260" t="s">
        <v>272</v>
      </c>
      <c r="B260" t="s">
        <v>273</v>
      </c>
      <c r="C260" t="s">
        <v>672</v>
      </c>
      <c r="D260" t="s">
        <v>673</v>
      </c>
      <c r="F260" t="s">
        <v>48</v>
      </c>
      <c r="G260">
        <v>94</v>
      </c>
      <c r="H260" t="s">
        <v>674</v>
      </c>
      <c r="I260">
        <v>38627.541666666664</v>
      </c>
      <c r="P260" t="s">
        <v>51</v>
      </c>
      <c r="S260">
        <v>350</v>
      </c>
      <c r="T260" t="s">
        <v>675</v>
      </c>
      <c r="U260" t="s">
        <v>676</v>
      </c>
      <c r="V260">
        <v>643</v>
      </c>
      <c r="W260">
        <v>48.5</v>
      </c>
      <c r="X260">
        <v>547</v>
      </c>
      <c r="Y260">
        <v>203</v>
      </c>
      <c r="Z260">
        <v>337</v>
      </c>
      <c r="AA260">
        <v>524.5</v>
      </c>
      <c r="AB260">
        <v>546.5</v>
      </c>
      <c r="AC260" t="s">
        <v>63</v>
      </c>
      <c r="AD260" t="s">
        <v>58</v>
      </c>
      <c r="AE260" t="s">
        <v>64</v>
      </c>
      <c r="AF260" t="s">
        <v>64</v>
      </c>
      <c r="AG260" t="s">
        <v>87</v>
      </c>
      <c r="AH260">
        <v>95.5</v>
      </c>
      <c r="AI260">
        <v>203</v>
      </c>
      <c r="AJ260">
        <v>352</v>
      </c>
      <c r="AK260">
        <v>596.5</v>
      </c>
      <c r="AL260">
        <v>643</v>
      </c>
      <c r="AM260" t="s">
        <v>57</v>
      </c>
      <c r="AN260" t="s">
        <v>58</v>
      </c>
      <c r="AO260" t="s">
        <v>64</v>
      </c>
      <c r="AP260" t="s">
        <v>64</v>
      </c>
      <c r="AQ260" t="s">
        <v>64</v>
      </c>
      <c r="AR260">
        <v>15</v>
      </c>
    </row>
    <row r="261" spans="1:44" hidden="1">
      <c r="A261" t="s">
        <v>272</v>
      </c>
      <c r="B261" t="s">
        <v>273</v>
      </c>
      <c r="C261" t="s">
        <v>677</v>
      </c>
      <c r="D261" t="s">
        <v>678</v>
      </c>
      <c r="E261" t="s">
        <v>677</v>
      </c>
      <c r="F261" t="s">
        <v>48</v>
      </c>
      <c r="G261">
        <v>89</v>
      </c>
      <c r="H261" t="s">
        <v>679</v>
      </c>
      <c r="I261">
        <v>33047.625</v>
      </c>
      <c r="P261" t="s">
        <v>51</v>
      </c>
      <c r="S261" t="s">
        <v>81</v>
      </c>
      <c r="T261">
        <v>466990</v>
      </c>
      <c r="U261" t="s">
        <v>680</v>
      </c>
      <c r="V261">
        <v>486.5</v>
      </c>
      <c r="W261">
        <v>106</v>
      </c>
      <c r="X261">
        <v>435.2</v>
      </c>
      <c r="Y261">
        <v>230</v>
      </c>
      <c r="Z261">
        <v>268.5</v>
      </c>
      <c r="AA261">
        <v>292</v>
      </c>
      <c r="AB261">
        <v>395</v>
      </c>
      <c r="AC261" t="s">
        <v>58</v>
      </c>
      <c r="AD261" t="s">
        <v>87</v>
      </c>
      <c r="AE261" t="s">
        <v>57</v>
      </c>
      <c r="AF261" t="s">
        <v>55</v>
      </c>
      <c r="AG261" t="s">
        <v>55</v>
      </c>
      <c r="AH261">
        <v>106</v>
      </c>
      <c r="AI261">
        <v>230</v>
      </c>
      <c r="AJ261">
        <v>278</v>
      </c>
      <c r="AK261">
        <v>312.5</v>
      </c>
      <c r="AL261">
        <v>412</v>
      </c>
      <c r="AM261" t="s">
        <v>58</v>
      </c>
      <c r="AN261" t="s">
        <v>87</v>
      </c>
      <c r="AO261" t="s">
        <v>57</v>
      </c>
      <c r="AP261" t="s">
        <v>56</v>
      </c>
      <c r="AQ261" t="s">
        <v>56</v>
      </c>
      <c r="AR261">
        <v>28</v>
      </c>
    </row>
    <row r="262" spans="1:44">
      <c r="A262" t="s">
        <v>272</v>
      </c>
      <c r="B262" t="s">
        <v>273</v>
      </c>
      <c r="C262" t="s">
        <v>681</v>
      </c>
      <c r="D262" t="s">
        <v>682</v>
      </c>
      <c r="F262" t="s">
        <v>48</v>
      </c>
      <c r="G262">
        <v>113</v>
      </c>
      <c r="H262" t="s">
        <v>683</v>
      </c>
      <c r="I262">
        <v>45464.6875</v>
      </c>
      <c r="P262" t="s">
        <v>60</v>
      </c>
      <c r="S262">
        <v>300</v>
      </c>
      <c r="T262" t="s">
        <v>684</v>
      </c>
      <c r="U262" t="s">
        <v>685</v>
      </c>
      <c r="V262">
        <v>5</v>
      </c>
      <c r="W262">
        <v>5</v>
      </c>
      <c r="X262">
        <v>48.2</v>
      </c>
      <c r="Y262">
        <v>5</v>
      </c>
      <c r="Z262">
        <v>5</v>
      </c>
      <c r="AA262">
        <v>5</v>
      </c>
      <c r="AB262">
        <v>42.5</v>
      </c>
      <c r="AC262" t="s">
        <v>63</v>
      </c>
      <c r="AD262" t="s">
        <v>63</v>
      </c>
      <c r="AE262" t="s">
        <v>63</v>
      </c>
      <c r="AF262" t="s">
        <v>63</v>
      </c>
      <c r="AG262" t="s">
        <v>63</v>
      </c>
      <c r="AH262">
        <v>5</v>
      </c>
      <c r="AI262">
        <v>5</v>
      </c>
      <c r="AJ262">
        <v>5</v>
      </c>
      <c r="AK262">
        <v>5</v>
      </c>
      <c r="AL262">
        <v>5</v>
      </c>
      <c r="AM262" t="s">
        <v>63</v>
      </c>
      <c r="AN262" t="s">
        <v>63</v>
      </c>
      <c r="AO262" t="s">
        <v>63</v>
      </c>
      <c r="AP262" t="s">
        <v>63</v>
      </c>
      <c r="AQ262" t="s">
        <v>63</v>
      </c>
      <c r="AR262">
        <v>1</v>
      </c>
    </row>
    <row r="263" spans="1:44">
      <c r="A263" t="s">
        <v>272</v>
      </c>
      <c r="B263" t="s">
        <v>273</v>
      </c>
      <c r="C263" t="s">
        <v>274</v>
      </c>
      <c r="D263" t="s">
        <v>686</v>
      </c>
      <c r="F263" t="s">
        <v>48</v>
      </c>
      <c r="G263">
        <v>113</v>
      </c>
      <c r="H263" t="s">
        <v>683</v>
      </c>
      <c r="I263">
        <v>45472.875</v>
      </c>
      <c r="P263" t="s">
        <v>60</v>
      </c>
      <c r="S263">
        <v>300</v>
      </c>
      <c r="T263" t="s">
        <v>276</v>
      </c>
      <c r="U263" t="s">
        <v>277</v>
      </c>
      <c r="V263">
        <v>175</v>
      </c>
      <c r="W263">
        <v>15.5</v>
      </c>
      <c r="X263">
        <v>221.2</v>
      </c>
      <c r="Y263">
        <v>116.5</v>
      </c>
      <c r="Z263">
        <v>179</v>
      </c>
      <c r="AA263">
        <v>179</v>
      </c>
      <c r="AB263">
        <v>180.5</v>
      </c>
      <c r="AC263" t="s">
        <v>63</v>
      </c>
      <c r="AD263" t="s">
        <v>63</v>
      </c>
      <c r="AE263" t="s">
        <v>63</v>
      </c>
      <c r="AF263" t="s">
        <v>63</v>
      </c>
      <c r="AG263" t="s">
        <v>63</v>
      </c>
      <c r="AH263">
        <v>58.5</v>
      </c>
      <c r="AI263">
        <v>159.5</v>
      </c>
      <c r="AJ263">
        <v>175</v>
      </c>
      <c r="AK263">
        <v>175</v>
      </c>
      <c r="AL263">
        <v>175</v>
      </c>
      <c r="AM263" t="s">
        <v>63</v>
      </c>
      <c r="AN263" t="s">
        <v>55</v>
      </c>
      <c r="AO263" t="s">
        <v>63</v>
      </c>
      <c r="AP263" t="s">
        <v>63</v>
      </c>
      <c r="AQ263" t="s">
        <v>63</v>
      </c>
      <c r="AR263">
        <v>4</v>
      </c>
    </row>
    <row r="264" spans="1:44">
      <c r="A264" t="s">
        <v>272</v>
      </c>
      <c r="B264" t="s">
        <v>273</v>
      </c>
      <c r="C264" t="s">
        <v>274</v>
      </c>
      <c r="D264" t="s">
        <v>687</v>
      </c>
      <c r="E264" t="s">
        <v>688</v>
      </c>
      <c r="F264" t="s">
        <v>48</v>
      </c>
      <c r="G264">
        <v>101</v>
      </c>
      <c r="H264" t="s">
        <v>49</v>
      </c>
      <c r="I264">
        <v>41123.166666666664</v>
      </c>
      <c r="P264" t="s">
        <v>51</v>
      </c>
      <c r="S264">
        <v>450</v>
      </c>
      <c r="T264" t="s">
        <v>276</v>
      </c>
      <c r="U264" t="s">
        <v>277</v>
      </c>
      <c r="V264">
        <v>696.5</v>
      </c>
      <c r="W264">
        <v>120</v>
      </c>
      <c r="X264">
        <v>717.6</v>
      </c>
      <c r="Y264">
        <v>298</v>
      </c>
      <c r="Z264">
        <v>381.5</v>
      </c>
      <c r="AA264">
        <v>455</v>
      </c>
      <c r="AB264">
        <v>547</v>
      </c>
      <c r="AC264" t="s">
        <v>87</v>
      </c>
      <c r="AD264" t="s">
        <v>64</v>
      </c>
      <c r="AE264" t="s">
        <v>64</v>
      </c>
      <c r="AF264" t="s">
        <v>58</v>
      </c>
      <c r="AG264" t="s">
        <v>57</v>
      </c>
      <c r="AH264">
        <v>120</v>
      </c>
      <c r="AI264">
        <v>317</v>
      </c>
      <c r="AJ264">
        <v>466</v>
      </c>
      <c r="AK264">
        <v>561.5</v>
      </c>
      <c r="AL264">
        <v>670</v>
      </c>
      <c r="AM264" t="s">
        <v>87</v>
      </c>
      <c r="AN264" t="s">
        <v>64</v>
      </c>
      <c r="AO264" t="s">
        <v>64</v>
      </c>
      <c r="AP264" t="s">
        <v>64</v>
      </c>
      <c r="AQ264" t="s">
        <v>87</v>
      </c>
      <c r="AR264">
        <v>23</v>
      </c>
    </row>
    <row r="265" spans="1:44">
      <c r="A265" t="s">
        <v>272</v>
      </c>
      <c r="B265" t="s">
        <v>273</v>
      </c>
      <c r="C265" t="s">
        <v>274</v>
      </c>
      <c r="D265" t="s">
        <v>689</v>
      </c>
      <c r="E265" t="s">
        <v>688</v>
      </c>
      <c r="F265" t="s">
        <v>48</v>
      </c>
      <c r="G265">
        <v>101</v>
      </c>
      <c r="H265" t="s">
        <v>49</v>
      </c>
      <c r="I265">
        <v>41123.166666666664</v>
      </c>
      <c r="P265" t="s">
        <v>51</v>
      </c>
      <c r="S265">
        <v>450</v>
      </c>
      <c r="T265" t="s">
        <v>276</v>
      </c>
      <c r="U265" t="s">
        <v>277</v>
      </c>
      <c r="V265">
        <v>696.5</v>
      </c>
      <c r="W265">
        <v>120</v>
      </c>
      <c r="X265">
        <v>717.6</v>
      </c>
      <c r="Y265">
        <v>298</v>
      </c>
      <c r="Z265">
        <v>381.5</v>
      </c>
      <c r="AA265">
        <v>455</v>
      </c>
      <c r="AB265">
        <v>547</v>
      </c>
      <c r="AC265" t="s">
        <v>87</v>
      </c>
      <c r="AD265" t="s">
        <v>64</v>
      </c>
      <c r="AE265" t="s">
        <v>64</v>
      </c>
      <c r="AF265" t="s">
        <v>58</v>
      </c>
      <c r="AG265" t="s">
        <v>57</v>
      </c>
      <c r="AH265">
        <v>120</v>
      </c>
      <c r="AI265">
        <v>317</v>
      </c>
      <c r="AJ265">
        <v>466</v>
      </c>
      <c r="AK265">
        <v>561.5</v>
      </c>
      <c r="AL265">
        <v>670</v>
      </c>
      <c r="AM265" t="s">
        <v>87</v>
      </c>
      <c r="AN265" t="s">
        <v>64</v>
      </c>
      <c r="AO265" t="s">
        <v>64</v>
      </c>
      <c r="AP265" t="s">
        <v>64</v>
      </c>
      <c r="AQ265" t="s">
        <v>87</v>
      </c>
      <c r="AR265">
        <v>23</v>
      </c>
    </row>
    <row r="266" spans="1:44">
      <c r="A266" t="s">
        <v>272</v>
      </c>
      <c r="B266" t="s">
        <v>273</v>
      </c>
      <c r="C266" t="e">
        <v>#N/A</v>
      </c>
      <c r="D266" t="s">
        <v>690</v>
      </c>
      <c r="F266" t="s">
        <v>127</v>
      </c>
      <c r="G266">
        <v>113</v>
      </c>
      <c r="H266" t="s">
        <v>59</v>
      </c>
      <c r="I266">
        <v>45498.291666666664</v>
      </c>
      <c r="P266" t="s">
        <v>60</v>
      </c>
      <c r="S266">
        <v>300</v>
      </c>
      <c r="T266" t="s">
        <v>691</v>
      </c>
      <c r="U266" t="s">
        <v>692</v>
      </c>
      <c r="V266">
        <v>477.5</v>
      </c>
      <c r="W266">
        <v>27</v>
      </c>
      <c r="X266">
        <v>403.7</v>
      </c>
      <c r="Y266">
        <v>47</v>
      </c>
      <c r="Z266">
        <v>72</v>
      </c>
      <c r="AA266">
        <v>137.5</v>
      </c>
      <c r="AB266">
        <v>375.5</v>
      </c>
      <c r="AC266" t="s">
        <v>63</v>
      </c>
      <c r="AD266" t="s">
        <v>63</v>
      </c>
      <c r="AE266" t="s">
        <v>63</v>
      </c>
      <c r="AF266" t="s">
        <v>63</v>
      </c>
      <c r="AG266" t="s">
        <v>54</v>
      </c>
      <c r="AH266">
        <v>79.5</v>
      </c>
      <c r="AI266">
        <v>99.5</v>
      </c>
      <c r="AJ266">
        <v>172</v>
      </c>
      <c r="AK266">
        <v>215</v>
      </c>
      <c r="AL266">
        <v>409.5</v>
      </c>
      <c r="AM266" t="s">
        <v>55</v>
      </c>
      <c r="AN266" t="s">
        <v>63</v>
      </c>
      <c r="AO266" t="s">
        <v>63</v>
      </c>
      <c r="AP266" t="s">
        <v>63</v>
      </c>
      <c r="AQ266" t="s">
        <v>55</v>
      </c>
      <c r="AR266">
        <v>36</v>
      </c>
    </row>
    <row r="267" spans="1:44">
      <c r="A267" t="s">
        <v>272</v>
      </c>
      <c r="B267" t="s">
        <v>693</v>
      </c>
      <c r="C267" t="s">
        <v>694</v>
      </c>
      <c r="D267" t="s">
        <v>695</v>
      </c>
      <c r="F267" t="s">
        <v>48</v>
      </c>
      <c r="G267">
        <v>100</v>
      </c>
      <c r="H267" t="s">
        <v>300</v>
      </c>
      <c r="I267">
        <v>40818.791666666664</v>
      </c>
      <c r="P267" t="s">
        <v>51</v>
      </c>
      <c r="S267">
        <v>600</v>
      </c>
      <c r="T267" t="s">
        <v>696</v>
      </c>
      <c r="U267" t="s">
        <v>697</v>
      </c>
      <c r="V267">
        <v>480.5</v>
      </c>
      <c r="W267">
        <v>29</v>
      </c>
      <c r="X267">
        <v>323.5</v>
      </c>
      <c r="Y267">
        <v>74.5</v>
      </c>
      <c r="Z267">
        <v>112</v>
      </c>
      <c r="AA267">
        <v>202</v>
      </c>
      <c r="AB267">
        <v>284.5</v>
      </c>
      <c r="AC267" t="s">
        <v>63</v>
      </c>
      <c r="AD267" t="s">
        <v>63</v>
      </c>
      <c r="AE267" t="s">
        <v>63</v>
      </c>
      <c r="AF267" t="s">
        <v>63</v>
      </c>
      <c r="AG267" t="s">
        <v>63</v>
      </c>
      <c r="AH267">
        <v>27</v>
      </c>
      <c r="AI267">
        <v>74.5</v>
      </c>
      <c r="AJ267">
        <v>127</v>
      </c>
      <c r="AK267">
        <v>211.5</v>
      </c>
      <c r="AL267">
        <v>387</v>
      </c>
      <c r="AM267" t="s">
        <v>63</v>
      </c>
      <c r="AN267" t="s">
        <v>63</v>
      </c>
      <c r="AO267" t="s">
        <v>63</v>
      </c>
      <c r="AP267" t="s">
        <v>63</v>
      </c>
      <c r="AQ267" t="s">
        <v>55</v>
      </c>
      <c r="AR267">
        <v>23</v>
      </c>
    </row>
    <row r="268" spans="1:44">
      <c r="A268" t="s">
        <v>272</v>
      </c>
      <c r="B268" t="s">
        <v>284</v>
      </c>
      <c r="C268" t="s">
        <v>698</v>
      </c>
      <c r="D268" t="s">
        <v>699</v>
      </c>
      <c r="E268" t="s">
        <v>700</v>
      </c>
      <c r="F268" t="s">
        <v>127</v>
      </c>
      <c r="G268">
        <v>103</v>
      </c>
      <c r="H268" t="s">
        <v>701</v>
      </c>
      <c r="I268">
        <v>41843</v>
      </c>
      <c r="P268" t="s">
        <v>51</v>
      </c>
      <c r="S268">
        <v>500</v>
      </c>
      <c r="T268" t="s">
        <v>702</v>
      </c>
      <c r="U268" t="s">
        <v>703</v>
      </c>
      <c r="V268">
        <v>519</v>
      </c>
      <c r="W268">
        <v>74.5</v>
      </c>
      <c r="X268">
        <v>543.5</v>
      </c>
      <c r="Y268">
        <v>173.5</v>
      </c>
      <c r="Z268">
        <v>274.5</v>
      </c>
      <c r="AA268">
        <v>321.5</v>
      </c>
      <c r="AB268">
        <v>327.5</v>
      </c>
      <c r="AC268" t="s">
        <v>55</v>
      </c>
      <c r="AD268" t="s">
        <v>56</v>
      </c>
      <c r="AE268" t="s">
        <v>57</v>
      </c>
      <c r="AF268" t="s">
        <v>56</v>
      </c>
      <c r="AG268" t="s">
        <v>54</v>
      </c>
      <c r="AH268">
        <v>74.5</v>
      </c>
      <c r="AI268">
        <v>194</v>
      </c>
      <c r="AJ268">
        <v>320</v>
      </c>
      <c r="AK268">
        <v>459</v>
      </c>
      <c r="AL268">
        <v>519</v>
      </c>
      <c r="AM268" t="s">
        <v>55</v>
      </c>
      <c r="AN268" t="s">
        <v>57</v>
      </c>
      <c r="AO268" t="s">
        <v>87</v>
      </c>
      <c r="AP268" t="s">
        <v>64</v>
      </c>
      <c r="AQ268" t="s">
        <v>58</v>
      </c>
      <c r="AR268">
        <v>14</v>
      </c>
    </row>
    <row r="269" spans="1:44" hidden="1">
      <c r="A269" t="s">
        <v>272</v>
      </c>
      <c r="B269" t="s">
        <v>704</v>
      </c>
      <c r="C269" t="s">
        <v>705</v>
      </c>
      <c r="D269" t="s">
        <v>706</v>
      </c>
      <c r="E269" t="s">
        <v>707</v>
      </c>
      <c r="F269" t="s">
        <v>127</v>
      </c>
      <c r="G269">
        <v>87</v>
      </c>
      <c r="H269" t="s">
        <v>287</v>
      </c>
      <c r="I269">
        <v>36083.333333333336</v>
      </c>
      <c r="P269" t="s">
        <v>51</v>
      </c>
      <c r="S269" t="s">
        <v>81</v>
      </c>
      <c r="T269" t="s">
        <v>288</v>
      </c>
      <c r="U269" t="s">
        <v>289</v>
      </c>
      <c r="V269">
        <v>738.5</v>
      </c>
      <c r="W269">
        <v>17</v>
      </c>
      <c r="X269">
        <v>177.5</v>
      </c>
      <c r="Y269">
        <v>29.5</v>
      </c>
      <c r="Z269">
        <v>45</v>
      </c>
      <c r="AA269">
        <v>127</v>
      </c>
      <c r="AB269">
        <v>170.5</v>
      </c>
      <c r="AC269" t="s">
        <v>63</v>
      </c>
      <c r="AD269" t="s">
        <v>63</v>
      </c>
      <c r="AE269" t="s">
        <v>63</v>
      </c>
      <c r="AF269" t="s">
        <v>63</v>
      </c>
      <c r="AG269" t="s">
        <v>63</v>
      </c>
      <c r="AH269">
        <v>82.5</v>
      </c>
      <c r="AI269">
        <v>180.5</v>
      </c>
      <c r="AJ269">
        <v>231</v>
      </c>
      <c r="AK269">
        <v>460</v>
      </c>
      <c r="AL269">
        <v>597.5</v>
      </c>
      <c r="AM269" t="s">
        <v>55</v>
      </c>
      <c r="AN269" t="s">
        <v>56</v>
      </c>
      <c r="AO269" t="s">
        <v>55</v>
      </c>
      <c r="AP269" t="s">
        <v>87</v>
      </c>
      <c r="AQ269" t="s">
        <v>87</v>
      </c>
      <c r="AR269">
        <v>20</v>
      </c>
    </row>
    <row r="270" spans="1:44" hidden="1">
      <c r="A270" t="s">
        <v>272</v>
      </c>
      <c r="B270" t="s">
        <v>704</v>
      </c>
      <c r="C270" t="s">
        <v>705</v>
      </c>
      <c r="D270" t="s">
        <v>708</v>
      </c>
      <c r="E270" t="s">
        <v>709</v>
      </c>
      <c r="F270" t="s">
        <v>48</v>
      </c>
      <c r="G270">
        <v>90</v>
      </c>
      <c r="H270" t="s">
        <v>80</v>
      </c>
      <c r="I270">
        <v>37102</v>
      </c>
      <c r="P270" t="s">
        <v>51</v>
      </c>
      <c r="S270" t="s">
        <v>81</v>
      </c>
      <c r="T270" t="s">
        <v>288</v>
      </c>
      <c r="U270" t="s">
        <v>289</v>
      </c>
      <c r="V270">
        <v>557</v>
      </c>
      <c r="W270">
        <v>122.5</v>
      </c>
      <c r="X270">
        <v>240.2</v>
      </c>
      <c r="Y270">
        <v>210.5</v>
      </c>
      <c r="Z270">
        <v>226</v>
      </c>
      <c r="AA270">
        <v>235</v>
      </c>
      <c r="AB270">
        <v>235</v>
      </c>
      <c r="AC270" t="s">
        <v>87</v>
      </c>
      <c r="AD270" t="s">
        <v>58</v>
      </c>
      <c r="AE270" t="s">
        <v>55</v>
      </c>
      <c r="AF270" t="s">
        <v>63</v>
      </c>
      <c r="AG270" t="s">
        <v>63</v>
      </c>
      <c r="AH270">
        <v>122.5</v>
      </c>
      <c r="AI270">
        <v>297.5</v>
      </c>
      <c r="AJ270">
        <v>476.5</v>
      </c>
      <c r="AK270">
        <v>536</v>
      </c>
      <c r="AL270">
        <v>557</v>
      </c>
      <c r="AM270" t="s">
        <v>87</v>
      </c>
      <c r="AN270" t="s">
        <v>64</v>
      </c>
      <c r="AO270" t="s">
        <v>64</v>
      </c>
      <c r="AP270" t="s">
        <v>64</v>
      </c>
      <c r="AQ270" t="s">
        <v>58</v>
      </c>
      <c r="AR270">
        <v>7</v>
      </c>
    </row>
    <row r="271" spans="1:44" hidden="1">
      <c r="A271" t="s">
        <v>76</v>
      </c>
      <c r="B271" t="s">
        <v>118</v>
      </c>
      <c r="C271" t="s">
        <v>125</v>
      </c>
      <c r="D271" t="s">
        <v>710</v>
      </c>
      <c r="F271" t="s">
        <v>48</v>
      </c>
      <c r="G271">
        <v>90</v>
      </c>
      <c r="H271" t="s">
        <v>80</v>
      </c>
      <c r="I271">
        <v>37102.291666666664</v>
      </c>
      <c r="P271" t="s">
        <v>60</v>
      </c>
      <c r="S271" t="s">
        <v>81</v>
      </c>
      <c r="T271" t="s">
        <v>103</v>
      </c>
      <c r="U271" t="s">
        <v>104</v>
      </c>
      <c r="V271">
        <v>465</v>
      </c>
      <c r="W271">
        <v>125.5</v>
      </c>
      <c r="X271">
        <v>340.9</v>
      </c>
      <c r="Y271">
        <v>129.5</v>
      </c>
      <c r="Z271">
        <v>146.5</v>
      </c>
      <c r="AA271">
        <v>182</v>
      </c>
      <c r="AB271">
        <v>182</v>
      </c>
      <c r="AC271" t="s">
        <v>64</v>
      </c>
      <c r="AD271" t="s">
        <v>54</v>
      </c>
      <c r="AE271" t="s">
        <v>63</v>
      </c>
      <c r="AF271" t="s">
        <v>63</v>
      </c>
      <c r="AG271" t="s">
        <v>63</v>
      </c>
      <c r="AH271">
        <v>125.5</v>
      </c>
      <c r="AI271">
        <v>244</v>
      </c>
      <c r="AJ271">
        <v>368</v>
      </c>
      <c r="AK271">
        <v>429.5</v>
      </c>
      <c r="AL271">
        <v>465</v>
      </c>
      <c r="AM271" t="s">
        <v>64</v>
      </c>
      <c r="AN271" t="s">
        <v>64</v>
      </c>
      <c r="AO271" t="s">
        <v>64</v>
      </c>
      <c r="AP271" t="s">
        <v>64</v>
      </c>
      <c r="AQ271" t="s">
        <v>57</v>
      </c>
      <c r="AR271">
        <v>9</v>
      </c>
    </row>
    <row r="272" spans="1:44">
      <c r="A272" t="s">
        <v>76</v>
      </c>
      <c r="B272" t="s">
        <v>118</v>
      </c>
      <c r="C272" t="s">
        <v>125</v>
      </c>
      <c r="D272" t="s">
        <v>710</v>
      </c>
      <c r="E272" t="s">
        <v>711</v>
      </c>
      <c r="F272" t="s">
        <v>127</v>
      </c>
      <c r="G272">
        <v>113</v>
      </c>
      <c r="H272" t="s">
        <v>59</v>
      </c>
      <c r="I272">
        <v>45499.458333333336</v>
      </c>
      <c r="P272" t="s">
        <v>51</v>
      </c>
      <c r="S272">
        <v>300</v>
      </c>
      <c r="T272" t="s">
        <v>128</v>
      </c>
      <c r="U272" t="s">
        <v>104</v>
      </c>
      <c r="V272">
        <v>83</v>
      </c>
      <c r="W272">
        <v>6.5</v>
      </c>
      <c r="X272">
        <v>519.20000000000005</v>
      </c>
      <c r="Y272">
        <v>26.5</v>
      </c>
      <c r="Z272">
        <v>37</v>
      </c>
      <c r="AA272">
        <v>44.5</v>
      </c>
      <c r="AB272">
        <v>169.5</v>
      </c>
      <c r="AC272" t="s">
        <v>63</v>
      </c>
      <c r="AD272" t="s">
        <v>63</v>
      </c>
      <c r="AE272" t="s">
        <v>63</v>
      </c>
      <c r="AF272" t="s">
        <v>63</v>
      </c>
      <c r="AG272" t="s">
        <v>63</v>
      </c>
      <c r="AH272">
        <v>11</v>
      </c>
      <c r="AI272">
        <v>26.5</v>
      </c>
      <c r="AJ272">
        <v>49</v>
      </c>
      <c r="AK272">
        <v>77</v>
      </c>
      <c r="AL272">
        <v>83</v>
      </c>
      <c r="AM272" t="s">
        <v>63</v>
      </c>
      <c r="AN272" t="s">
        <v>63</v>
      </c>
      <c r="AO272" t="s">
        <v>63</v>
      </c>
      <c r="AP272" t="s">
        <v>63</v>
      </c>
      <c r="AQ272" t="s">
        <v>63</v>
      </c>
      <c r="AR272">
        <v>6</v>
      </c>
    </row>
  </sheetData>
  <autoFilter ref="A1:AR272" xr:uid="{13195164-C0AC-4BB5-AC46-3BBFABB0B304}">
    <filterColumn colId="6">
      <filters>
        <filter val="100"/>
        <filter val="101"/>
        <filter val="102"/>
        <filter val="103"/>
        <filter val="104"/>
        <filter val="105"/>
        <filter val="106"/>
        <filter val="108"/>
        <filter val="110"/>
        <filter val="112"/>
        <filter val="113"/>
        <filter val="95"/>
        <filter val="96"/>
        <filter val="97"/>
        <filter val="98"/>
        <filter val="99"/>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3C20-5A3B-44E9-89C2-676FB8117E8A}">
  <sheetPr filterMode="1"/>
  <dimension ref="A1:AC655"/>
  <sheetViews>
    <sheetView topLeftCell="N1" zoomScale="70" zoomScaleNormal="70" zoomScaleSheetLayoutView="100" workbookViewId="0">
      <pane ySplit="1" topLeftCell="A585" activePane="bottomLeft" state="frozen"/>
      <selection pane="bottomLeft" activeCell="U33" sqref="U33:U651"/>
    </sheetView>
  </sheetViews>
  <sheetFormatPr defaultRowHeight="16.5"/>
  <cols>
    <col min="1" max="1" width="5.625" style="8" bestFit="1" customWidth="1"/>
    <col min="2" max="2" width="23.875" style="65" bestFit="1" customWidth="1"/>
    <col min="3" max="3" width="31.625" style="65" customWidth="1"/>
    <col min="4" max="4" width="28.125" style="8" customWidth="1"/>
    <col min="5" max="5" width="9" style="65"/>
    <col min="6" max="6" width="9" style="1"/>
    <col min="7" max="7" width="15.25" style="65" customWidth="1"/>
    <col min="8" max="8" width="23.125" style="1" customWidth="1"/>
    <col min="9" max="10" width="13.375" style="8" bestFit="1" customWidth="1"/>
    <col min="11" max="11" width="11.75" style="8" bestFit="1" customWidth="1"/>
    <col min="12" max="12" width="12.875" style="8" bestFit="1" customWidth="1"/>
    <col min="13" max="13" width="9.125" style="1" bestFit="1" customWidth="1"/>
    <col min="14" max="14" width="21.5" style="1" bestFit="1" customWidth="1"/>
    <col min="15" max="15" width="19.375" style="46" bestFit="1" customWidth="1"/>
    <col min="16" max="16" width="84.875" style="8" bestFit="1" customWidth="1"/>
    <col min="17" max="17" width="40" style="8" bestFit="1" customWidth="1"/>
    <col min="18" max="18" width="17" style="8" bestFit="1" customWidth="1"/>
    <col min="19" max="19" width="16.875" style="8" bestFit="1" customWidth="1"/>
    <col min="20" max="20" width="17.75" style="1" bestFit="1" customWidth="1"/>
    <col min="21" max="21" width="20" style="1" bestFit="1" customWidth="1"/>
    <col min="22" max="22" width="17.625" style="8" bestFit="1" customWidth="1"/>
    <col min="23" max="23" width="9.625" style="8" bestFit="1" customWidth="1"/>
    <col min="24" max="24" width="14" style="8" bestFit="1" customWidth="1"/>
    <col min="25" max="25" width="16.125" style="25" bestFit="1" customWidth="1"/>
    <col min="26" max="26" width="18.5" style="25" bestFit="1" customWidth="1"/>
    <col min="27" max="27" width="15.75" style="8" bestFit="1" customWidth="1"/>
    <col min="28" max="256" width="9" style="8"/>
    <col min="257" max="257" width="5.625" style="8" bestFit="1" customWidth="1"/>
    <col min="258" max="258" width="23.875" style="8" bestFit="1" customWidth="1"/>
    <col min="259" max="259" width="31.625" style="8" customWidth="1"/>
    <col min="260" max="260" width="28.125" style="8" customWidth="1"/>
    <col min="261" max="262" width="9" style="8"/>
    <col min="263" max="263" width="15.25" style="8" customWidth="1"/>
    <col min="264" max="264" width="23.125" style="8" customWidth="1"/>
    <col min="265" max="266" width="13.375" style="8" bestFit="1" customWidth="1"/>
    <col min="267" max="267" width="11.75" style="8" bestFit="1" customWidth="1"/>
    <col min="268" max="268" width="12.875" style="8" bestFit="1" customWidth="1"/>
    <col min="269" max="269" width="9.125" style="8" bestFit="1" customWidth="1"/>
    <col min="270" max="270" width="21.5" style="8" bestFit="1" customWidth="1"/>
    <col min="271" max="271" width="19.375" style="8" bestFit="1" customWidth="1"/>
    <col min="272" max="272" width="84.875" style="8" bestFit="1" customWidth="1"/>
    <col min="273" max="273" width="40" style="8" bestFit="1" customWidth="1"/>
    <col min="274" max="274" width="17" style="8" bestFit="1" customWidth="1"/>
    <col min="275" max="275" width="16.875" style="8" bestFit="1" customWidth="1"/>
    <col min="276" max="276" width="17.75" style="8" bestFit="1" customWidth="1"/>
    <col min="277" max="277" width="20" style="8" bestFit="1" customWidth="1"/>
    <col min="278" max="278" width="17.625" style="8" bestFit="1" customWidth="1"/>
    <col min="279" max="279" width="9.625" style="8" bestFit="1" customWidth="1"/>
    <col min="280" max="280" width="14" style="8" bestFit="1" customWidth="1"/>
    <col min="281" max="281" width="16.125" style="8" bestFit="1" customWidth="1"/>
    <col min="282" max="282" width="18.5" style="8" bestFit="1" customWidth="1"/>
    <col min="283" max="283" width="15.75" style="8" bestFit="1" customWidth="1"/>
    <col min="284" max="512" width="9" style="8"/>
    <col min="513" max="513" width="5.625" style="8" bestFit="1" customWidth="1"/>
    <col min="514" max="514" width="23.875" style="8" bestFit="1" customWidth="1"/>
    <col min="515" max="515" width="31.625" style="8" customWidth="1"/>
    <col min="516" max="516" width="28.125" style="8" customWidth="1"/>
    <col min="517" max="518" width="9" style="8"/>
    <col min="519" max="519" width="15.25" style="8" customWidth="1"/>
    <col min="520" max="520" width="23.125" style="8" customWidth="1"/>
    <col min="521" max="522" width="13.375" style="8" bestFit="1" customWidth="1"/>
    <col min="523" max="523" width="11.75" style="8" bestFit="1" customWidth="1"/>
    <col min="524" max="524" width="12.875" style="8" bestFit="1" customWidth="1"/>
    <col min="525" max="525" width="9.125" style="8" bestFit="1" customWidth="1"/>
    <col min="526" max="526" width="21.5" style="8" bestFit="1" customWidth="1"/>
    <col min="527" max="527" width="19.375" style="8" bestFit="1" customWidth="1"/>
    <col min="528" max="528" width="84.875" style="8" bestFit="1" customWidth="1"/>
    <col min="529" max="529" width="40" style="8" bestFit="1" customWidth="1"/>
    <col min="530" max="530" width="17" style="8" bestFit="1" customWidth="1"/>
    <col min="531" max="531" width="16.875" style="8" bestFit="1" customWidth="1"/>
    <col min="532" max="532" width="17.75" style="8" bestFit="1" customWidth="1"/>
    <col min="533" max="533" width="20" style="8" bestFit="1" customWidth="1"/>
    <col min="534" max="534" width="17.625" style="8" bestFit="1" customWidth="1"/>
    <col min="535" max="535" width="9.625" style="8" bestFit="1" customWidth="1"/>
    <col min="536" max="536" width="14" style="8" bestFit="1" customWidth="1"/>
    <col min="537" max="537" width="16.125" style="8" bestFit="1" customWidth="1"/>
    <col min="538" max="538" width="18.5" style="8" bestFit="1" customWidth="1"/>
    <col min="539" max="539" width="15.75" style="8" bestFit="1" customWidth="1"/>
    <col min="540" max="768" width="9" style="8"/>
    <col min="769" max="769" width="5.625" style="8" bestFit="1" customWidth="1"/>
    <col min="770" max="770" width="23.875" style="8" bestFit="1" customWidth="1"/>
    <col min="771" max="771" width="31.625" style="8" customWidth="1"/>
    <col min="772" max="772" width="28.125" style="8" customWidth="1"/>
    <col min="773" max="774" width="9" style="8"/>
    <col min="775" max="775" width="15.25" style="8" customWidth="1"/>
    <col min="776" max="776" width="23.125" style="8" customWidth="1"/>
    <col min="777" max="778" width="13.375" style="8" bestFit="1" customWidth="1"/>
    <col min="779" max="779" width="11.75" style="8" bestFit="1" customWidth="1"/>
    <col min="780" max="780" width="12.875" style="8" bestFit="1" customWidth="1"/>
    <col min="781" max="781" width="9.125" style="8" bestFit="1" customWidth="1"/>
    <col min="782" max="782" width="21.5" style="8" bestFit="1" customWidth="1"/>
    <col min="783" max="783" width="19.375" style="8" bestFit="1" customWidth="1"/>
    <col min="784" max="784" width="84.875" style="8" bestFit="1" customWidth="1"/>
    <col min="785" max="785" width="40" style="8" bestFit="1" customWidth="1"/>
    <col min="786" max="786" width="17" style="8" bestFit="1" customWidth="1"/>
    <col min="787" max="787" width="16.875" style="8" bestFit="1" customWidth="1"/>
    <col min="788" max="788" width="17.75" style="8" bestFit="1" customWidth="1"/>
    <col min="789" max="789" width="20" style="8" bestFit="1" customWidth="1"/>
    <col min="790" max="790" width="17.625" style="8" bestFit="1" customWidth="1"/>
    <col min="791" max="791" width="9.625" style="8" bestFit="1" customWidth="1"/>
    <col min="792" max="792" width="14" style="8" bestFit="1" customWidth="1"/>
    <col min="793" max="793" width="16.125" style="8" bestFit="1" customWidth="1"/>
    <col min="794" max="794" width="18.5" style="8" bestFit="1" customWidth="1"/>
    <col min="795" max="795" width="15.75" style="8" bestFit="1" customWidth="1"/>
    <col min="796" max="1024" width="9" style="8"/>
    <col min="1025" max="1025" width="5.625" style="8" bestFit="1" customWidth="1"/>
    <col min="1026" max="1026" width="23.875" style="8" bestFit="1" customWidth="1"/>
    <col min="1027" max="1027" width="31.625" style="8" customWidth="1"/>
    <col min="1028" max="1028" width="28.125" style="8" customWidth="1"/>
    <col min="1029" max="1030" width="9" style="8"/>
    <col min="1031" max="1031" width="15.25" style="8" customWidth="1"/>
    <col min="1032" max="1032" width="23.125" style="8" customWidth="1"/>
    <col min="1033" max="1034" width="13.375" style="8" bestFit="1" customWidth="1"/>
    <col min="1035" max="1035" width="11.75" style="8" bestFit="1" customWidth="1"/>
    <col min="1036" max="1036" width="12.875" style="8" bestFit="1" customWidth="1"/>
    <col min="1037" max="1037" width="9.125" style="8" bestFit="1" customWidth="1"/>
    <col min="1038" max="1038" width="21.5" style="8" bestFit="1" customWidth="1"/>
    <col min="1039" max="1039" width="19.375" style="8" bestFit="1" customWidth="1"/>
    <col min="1040" max="1040" width="84.875" style="8" bestFit="1" customWidth="1"/>
    <col min="1041" max="1041" width="40" style="8" bestFit="1" customWidth="1"/>
    <col min="1042" max="1042" width="17" style="8" bestFit="1" customWidth="1"/>
    <col min="1043" max="1043" width="16.875" style="8" bestFit="1" customWidth="1"/>
    <col min="1044" max="1044" width="17.75" style="8" bestFit="1" customWidth="1"/>
    <col min="1045" max="1045" width="20" style="8" bestFit="1" customWidth="1"/>
    <col min="1046" max="1046" width="17.625" style="8" bestFit="1" customWidth="1"/>
    <col min="1047" max="1047" width="9.625" style="8" bestFit="1" customWidth="1"/>
    <col min="1048" max="1048" width="14" style="8" bestFit="1" customWidth="1"/>
    <col min="1049" max="1049" width="16.125" style="8" bestFit="1" customWidth="1"/>
    <col min="1050" max="1050" width="18.5" style="8" bestFit="1" customWidth="1"/>
    <col min="1051" max="1051" width="15.75" style="8" bestFit="1" customWidth="1"/>
    <col min="1052" max="1280" width="9" style="8"/>
    <col min="1281" max="1281" width="5.625" style="8" bestFit="1" customWidth="1"/>
    <col min="1282" max="1282" width="23.875" style="8" bestFit="1" customWidth="1"/>
    <col min="1283" max="1283" width="31.625" style="8" customWidth="1"/>
    <col min="1284" max="1284" width="28.125" style="8" customWidth="1"/>
    <col min="1285" max="1286" width="9" style="8"/>
    <col min="1287" max="1287" width="15.25" style="8" customWidth="1"/>
    <col min="1288" max="1288" width="23.125" style="8" customWidth="1"/>
    <col min="1289" max="1290" width="13.375" style="8" bestFit="1" customWidth="1"/>
    <col min="1291" max="1291" width="11.75" style="8" bestFit="1" customWidth="1"/>
    <col min="1292" max="1292" width="12.875" style="8" bestFit="1" customWidth="1"/>
    <col min="1293" max="1293" width="9.125" style="8" bestFit="1" customWidth="1"/>
    <col min="1294" max="1294" width="21.5" style="8" bestFit="1" customWidth="1"/>
    <col min="1295" max="1295" width="19.375" style="8" bestFit="1" customWidth="1"/>
    <col min="1296" max="1296" width="84.875" style="8" bestFit="1" customWidth="1"/>
    <col min="1297" max="1297" width="40" style="8" bestFit="1" customWidth="1"/>
    <col min="1298" max="1298" width="17" style="8" bestFit="1" customWidth="1"/>
    <col min="1299" max="1299" width="16.875" style="8" bestFit="1" customWidth="1"/>
    <col min="1300" max="1300" width="17.75" style="8" bestFit="1" customWidth="1"/>
    <col min="1301" max="1301" width="20" style="8" bestFit="1" customWidth="1"/>
    <col min="1302" max="1302" width="17.625" style="8" bestFit="1" customWidth="1"/>
    <col min="1303" max="1303" width="9.625" style="8" bestFit="1" customWidth="1"/>
    <col min="1304" max="1304" width="14" style="8" bestFit="1" customWidth="1"/>
    <col min="1305" max="1305" width="16.125" style="8" bestFit="1" customWidth="1"/>
    <col min="1306" max="1306" width="18.5" style="8" bestFit="1" customWidth="1"/>
    <col min="1307" max="1307" width="15.75" style="8" bestFit="1" customWidth="1"/>
    <col min="1308" max="1536" width="9" style="8"/>
    <col min="1537" max="1537" width="5.625" style="8" bestFit="1" customWidth="1"/>
    <col min="1538" max="1538" width="23.875" style="8" bestFit="1" customWidth="1"/>
    <col min="1539" max="1539" width="31.625" style="8" customWidth="1"/>
    <col min="1540" max="1540" width="28.125" style="8" customWidth="1"/>
    <col min="1541" max="1542" width="9" style="8"/>
    <col min="1543" max="1543" width="15.25" style="8" customWidth="1"/>
    <col min="1544" max="1544" width="23.125" style="8" customWidth="1"/>
    <col min="1545" max="1546" width="13.375" style="8" bestFit="1" customWidth="1"/>
    <col min="1547" max="1547" width="11.75" style="8" bestFit="1" customWidth="1"/>
    <col min="1548" max="1548" width="12.875" style="8" bestFit="1" customWidth="1"/>
    <col min="1549" max="1549" width="9.125" style="8" bestFit="1" customWidth="1"/>
    <col min="1550" max="1550" width="21.5" style="8" bestFit="1" customWidth="1"/>
    <col min="1551" max="1551" width="19.375" style="8" bestFit="1" customWidth="1"/>
    <col min="1552" max="1552" width="84.875" style="8" bestFit="1" customWidth="1"/>
    <col min="1553" max="1553" width="40" style="8" bestFit="1" customWidth="1"/>
    <col min="1554" max="1554" width="17" style="8" bestFit="1" customWidth="1"/>
    <col min="1555" max="1555" width="16.875" style="8" bestFit="1" customWidth="1"/>
    <col min="1556" max="1556" width="17.75" style="8" bestFit="1" customWidth="1"/>
    <col min="1557" max="1557" width="20" style="8" bestFit="1" customWidth="1"/>
    <col min="1558" max="1558" width="17.625" style="8" bestFit="1" customWidth="1"/>
    <col min="1559" max="1559" width="9.625" style="8" bestFit="1" customWidth="1"/>
    <col min="1560" max="1560" width="14" style="8" bestFit="1" customWidth="1"/>
    <col min="1561" max="1561" width="16.125" style="8" bestFit="1" customWidth="1"/>
    <col min="1562" max="1562" width="18.5" style="8" bestFit="1" customWidth="1"/>
    <col min="1563" max="1563" width="15.75" style="8" bestFit="1" customWidth="1"/>
    <col min="1564" max="1792" width="9" style="8"/>
    <col min="1793" max="1793" width="5.625" style="8" bestFit="1" customWidth="1"/>
    <col min="1794" max="1794" width="23.875" style="8" bestFit="1" customWidth="1"/>
    <col min="1795" max="1795" width="31.625" style="8" customWidth="1"/>
    <col min="1796" max="1796" width="28.125" style="8" customWidth="1"/>
    <col min="1797" max="1798" width="9" style="8"/>
    <col min="1799" max="1799" width="15.25" style="8" customWidth="1"/>
    <col min="1800" max="1800" width="23.125" style="8" customWidth="1"/>
    <col min="1801" max="1802" width="13.375" style="8" bestFit="1" customWidth="1"/>
    <col min="1803" max="1803" width="11.75" style="8" bestFit="1" customWidth="1"/>
    <col min="1804" max="1804" width="12.875" style="8" bestFit="1" customWidth="1"/>
    <col min="1805" max="1805" width="9.125" style="8" bestFit="1" customWidth="1"/>
    <col min="1806" max="1806" width="21.5" style="8" bestFit="1" customWidth="1"/>
    <col min="1807" max="1807" width="19.375" style="8" bestFit="1" customWidth="1"/>
    <col min="1808" max="1808" width="84.875" style="8" bestFit="1" customWidth="1"/>
    <col min="1809" max="1809" width="40" style="8" bestFit="1" customWidth="1"/>
    <col min="1810" max="1810" width="17" style="8" bestFit="1" customWidth="1"/>
    <col min="1811" max="1811" width="16.875" style="8" bestFit="1" customWidth="1"/>
    <col min="1812" max="1812" width="17.75" style="8" bestFit="1" customWidth="1"/>
    <col min="1813" max="1813" width="20" style="8" bestFit="1" customWidth="1"/>
    <col min="1814" max="1814" width="17.625" style="8" bestFit="1" customWidth="1"/>
    <col min="1815" max="1815" width="9.625" style="8" bestFit="1" customWidth="1"/>
    <col min="1816" max="1816" width="14" style="8" bestFit="1" customWidth="1"/>
    <col min="1817" max="1817" width="16.125" style="8" bestFit="1" customWidth="1"/>
    <col min="1818" max="1818" width="18.5" style="8" bestFit="1" customWidth="1"/>
    <col min="1819" max="1819" width="15.75" style="8" bestFit="1" customWidth="1"/>
    <col min="1820" max="2048" width="9" style="8"/>
    <col min="2049" max="2049" width="5.625" style="8" bestFit="1" customWidth="1"/>
    <col min="2050" max="2050" width="23.875" style="8" bestFit="1" customWidth="1"/>
    <col min="2051" max="2051" width="31.625" style="8" customWidth="1"/>
    <col min="2052" max="2052" width="28.125" style="8" customWidth="1"/>
    <col min="2053" max="2054" width="9" style="8"/>
    <col min="2055" max="2055" width="15.25" style="8" customWidth="1"/>
    <col min="2056" max="2056" width="23.125" style="8" customWidth="1"/>
    <col min="2057" max="2058" width="13.375" style="8" bestFit="1" customWidth="1"/>
    <col min="2059" max="2059" width="11.75" style="8" bestFit="1" customWidth="1"/>
    <col min="2060" max="2060" width="12.875" style="8" bestFit="1" customWidth="1"/>
    <col min="2061" max="2061" width="9.125" style="8" bestFit="1" customWidth="1"/>
    <col min="2062" max="2062" width="21.5" style="8" bestFit="1" customWidth="1"/>
    <col min="2063" max="2063" width="19.375" style="8" bestFit="1" customWidth="1"/>
    <col min="2064" max="2064" width="84.875" style="8" bestFit="1" customWidth="1"/>
    <col min="2065" max="2065" width="40" style="8" bestFit="1" customWidth="1"/>
    <col min="2066" max="2066" width="17" style="8" bestFit="1" customWidth="1"/>
    <col min="2067" max="2067" width="16.875" style="8" bestFit="1" customWidth="1"/>
    <col min="2068" max="2068" width="17.75" style="8" bestFit="1" customWidth="1"/>
    <col min="2069" max="2069" width="20" style="8" bestFit="1" customWidth="1"/>
    <col min="2070" max="2070" width="17.625" style="8" bestFit="1" customWidth="1"/>
    <col min="2071" max="2071" width="9.625" style="8" bestFit="1" customWidth="1"/>
    <col min="2072" max="2072" width="14" style="8" bestFit="1" customWidth="1"/>
    <col min="2073" max="2073" width="16.125" style="8" bestFit="1" customWidth="1"/>
    <col min="2074" max="2074" width="18.5" style="8" bestFit="1" customWidth="1"/>
    <col min="2075" max="2075" width="15.75" style="8" bestFit="1" customWidth="1"/>
    <col min="2076" max="2304" width="9" style="8"/>
    <col min="2305" max="2305" width="5.625" style="8" bestFit="1" customWidth="1"/>
    <col min="2306" max="2306" width="23.875" style="8" bestFit="1" customWidth="1"/>
    <col min="2307" max="2307" width="31.625" style="8" customWidth="1"/>
    <col min="2308" max="2308" width="28.125" style="8" customWidth="1"/>
    <col min="2309" max="2310" width="9" style="8"/>
    <col min="2311" max="2311" width="15.25" style="8" customWidth="1"/>
    <col min="2312" max="2312" width="23.125" style="8" customWidth="1"/>
    <col min="2313" max="2314" width="13.375" style="8" bestFit="1" customWidth="1"/>
    <col min="2315" max="2315" width="11.75" style="8" bestFit="1" customWidth="1"/>
    <col min="2316" max="2316" width="12.875" style="8" bestFit="1" customWidth="1"/>
    <col min="2317" max="2317" width="9.125" style="8" bestFit="1" customWidth="1"/>
    <col min="2318" max="2318" width="21.5" style="8" bestFit="1" customWidth="1"/>
    <col min="2319" max="2319" width="19.375" style="8" bestFit="1" customWidth="1"/>
    <col min="2320" max="2320" width="84.875" style="8" bestFit="1" customWidth="1"/>
    <col min="2321" max="2321" width="40" style="8" bestFit="1" customWidth="1"/>
    <col min="2322" max="2322" width="17" style="8" bestFit="1" customWidth="1"/>
    <col min="2323" max="2323" width="16.875" style="8" bestFit="1" customWidth="1"/>
    <col min="2324" max="2324" width="17.75" style="8" bestFit="1" customWidth="1"/>
    <col min="2325" max="2325" width="20" style="8" bestFit="1" customWidth="1"/>
    <col min="2326" max="2326" width="17.625" style="8" bestFit="1" customWidth="1"/>
    <col min="2327" max="2327" width="9.625" style="8" bestFit="1" customWidth="1"/>
    <col min="2328" max="2328" width="14" style="8" bestFit="1" customWidth="1"/>
    <col min="2329" max="2329" width="16.125" style="8" bestFit="1" customWidth="1"/>
    <col min="2330" max="2330" width="18.5" style="8" bestFit="1" customWidth="1"/>
    <col min="2331" max="2331" width="15.75" style="8" bestFit="1" customWidth="1"/>
    <col min="2332" max="2560" width="9" style="8"/>
    <col min="2561" max="2561" width="5.625" style="8" bestFit="1" customWidth="1"/>
    <col min="2562" max="2562" width="23.875" style="8" bestFit="1" customWidth="1"/>
    <col min="2563" max="2563" width="31.625" style="8" customWidth="1"/>
    <col min="2564" max="2564" width="28.125" style="8" customWidth="1"/>
    <col min="2565" max="2566" width="9" style="8"/>
    <col min="2567" max="2567" width="15.25" style="8" customWidth="1"/>
    <col min="2568" max="2568" width="23.125" style="8" customWidth="1"/>
    <col min="2569" max="2570" width="13.375" style="8" bestFit="1" customWidth="1"/>
    <col min="2571" max="2571" width="11.75" style="8" bestFit="1" customWidth="1"/>
    <col min="2572" max="2572" width="12.875" style="8" bestFit="1" customWidth="1"/>
    <col min="2573" max="2573" width="9.125" style="8" bestFit="1" customWidth="1"/>
    <col min="2574" max="2574" width="21.5" style="8" bestFit="1" customWidth="1"/>
    <col min="2575" max="2575" width="19.375" style="8" bestFit="1" customWidth="1"/>
    <col min="2576" max="2576" width="84.875" style="8" bestFit="1" customWidth="1"/>
    <col min="2577" max="2577" width="40" style="8" bestFit="1" customWidth="1"/>
    <col min="2578" max="2578" width="17" style="8" bestFit="1" customWidth="1"/>
    <col min="2579" max="2579" width="16.875" style="8" bestFit="1" customWidth="1"/>
    <col min="2580" max="2580" width="17.75" style="8" bestFit="1" customWidth="1"/>
    <col min="2581" max="2581" width="20" style="8" bestFit="1" customWidth="1"/>
    <col min="2582" max="2582" width="17.625" style="8" bestFit="1" customWidth="1"/>
    <col min="2583" max="2583" width="9.625" style="8" bestFit="1" customWidth="1"/>
    <col min="2584" max="2584" width="14" style="8" bestFit="1" customWidth="1"/>
    <col min="2585" max="2585" width="16.125" style="8" bestFit="1" customWidth="1"/>
    <col min="2586" max="2586" width="18.5" style="8" bestFit="1" customWidth="1"/>
    <col min="2587" max="2587" width="15.75" style="8" bestFit="1" customWidth="1"/>
    <col min="2588" max="2816" width="9" style="8"/>
    <col min="2817" max="2817" width="5.625" style="8" bestFit="1" customWidth="1"/>
    <col min="2818" max="2818" width="23.875" style="8" bestFit="1" customWidth="1"/>
    <col min="2819" max="2819" width="31.625" style="8" customWidth="1"/>
    <col min="2820" max="2820" width="28.125" style="8" customWidth="1"/>
    <col min="2821" max="2822" width="9" style="8"/>
    <col min="2823" max="2823" width="15.25" style="8" customWidth="1"/>
    <col min="2824" max="2824" width="23.125" style="8" customWidth="1"/>
    <col min="2825" max="2826" width="13.375" style="8" bestFit="1" customWidth="1"/>
    <col min="2827" max="2827" width="11.75" style="8" bestFit="1" customWidth="1"/>
    <col min="2828" max="2828" width="12.875" style="8" bestFit="1" customWidth="1"/>
    <col min="2829" max="2829" width="9.125" style="8" bestFit="1" customWidth="1"/>
    <col min="2830" max="2830" width="21.5" style="8" bestFit="1" customWidth="1"/>
    <col min="2831" max="2831" width="19.375" style="8" bestFit="1" customWidth="1"/>
    <col min="2832" max="2832" width="84.875" style="8" bestFit="1" customWidth="1"/>
    <col min="2833" max="2833" width="40" style="8" bestFit="1" customWidth="1"/>
    <col min="2834" max="2834" width="17" style="8" bestFit="1" customWidth="1"/>
    <col min="2835" max="2835" width="16.875" style="8" bestFit="1" customWidth="1"/>
    <col min="2836" max="2836" width="17.75" style="8" bestFit="1" customWidth="1"/>
    <col min="2837" max="2837" width="20" style="8" bestFit="1" customWidth="1"/>
    <col min="2838" max="2838" width="17.625" style="8" bestFit="1" customWidth="1"/>
    <col min="2839" max="2839" width="9.625" style="8" bestFit="1" customWidth="1"/>
    <col min="2840" max="2840" width="14" style="8" bestFit="1" customWidth="1"/>
    <col min="2841" max="2841" width="16.125" style="8" bestFit="1" customWidth="1"/>
    <col min="2842" max="2842" width="18.5" style="8" bestFit="1" customWidth="1"/>
    <col min="2843" max="2843" width="15.75" style="8" bestFit="1" customWidth="1"/>
    <col min="2844" max="3072" width="9" style="8"/>
    <col min="3073" max="3073" width="5.625" style="8" bestFit="1" customWidth="1"/>
    <col min="3074" max="3074" width="23.875" style="8" bestFit="1" customWidth="1"/>
    <col min="3075" max="3075" width="31.625" style="8" customWidth="1"/>
    <col min="3076" max="3076" width="28.125" style="8" customWidth="1"/>
    <col min="3077" max="3078" width="9" style="8"/>
    <col min="3079" max="3079" width="15.25" style="8" customWidth="1"/>
    <col min="3080" max="3080" width="23.125" style="8" customWidth="1"/>
    <col min="3081" max="3082" width="13.375" style="8" bestFit="1" customWidth="1"/>
    <col min="3083" max="3083" width="11.75" style="8" bestFit="1" customWidth="1"/>
    <col min="3084" max="3084" width="12.875" style="8" bestFit="1" customWidth="1"/>
    <col min="3085" max="3085" width="9.125" style="8" bestFit="1" customWidth="1"/>
    <col min="3086" max="3086" width="21.5" style="8" bestFit="1" customWidth="1"/>
    <col min="3087" max="3087" width="19.375" style="8" bestFit="1" customWidth="1"/>
    <col min="3088" max="3088" width="84.875" style="8" bestFit="1" customWidth="1"/>
    <col min="3089" max="3089" width="40" style="8" bestFit="1" customWidth="1"/>
    <col min="3090" max="3090" width="17" style="8" bestFit="1" customWidth="1"/>
    <col min="3091" max="3091" width="16.875" style="8" bestFit="1" customWidth="1"/>
    <col min="3092" max="3092" width="17.75" style="8" bestFit="1" customWidth="1"/>
    <col min="3093" max="3093" width="20" style="8" bestFit="1" customWidth="1"/>
    <col min="3094" max="3094" width="17.625" style="8" bestFit="1" customWidth="1"/>
    <col min="3095" max="3095" width="9.625" style="8" bestFit="1" customWidth="1"/>
    <col min="3096" max="3096" width="14" style="8" bestFit="1" customWidth="1"/>
    <col min="3097" max="3097" width="16.125" style="8" bestFit="1" customWidth="1"/>
    <col min="3098" max="3098" width="18.5" style="8" bestFit="1" customWidth="1"/>
    <col min="3099" max="3099" width="15.75" style="8" bestFit="1" customWidth="1"/>
    <col min="3100" max="3328" width="9" style="8"/>
    <col min="3329" max="3329" width="5.625" style="8" bestFit="1" customWidth="1"/>
    <col min="3330" max="3330" width="23.875" style="8" bestFit="1" customWidth="1"/>
    <col min="3331" max="3331" width="31.625" style="8" customWidth="1"/>
    <col min="3332" max="3332" width="28.125" style="8" customWidth="1"/>
    <col min="3333" max="3334" width="9" style="8"/>
    <col min="3335" max="3335" width="15.25" style="8" customWidth="1"/>
    <col min="3336" max="3336" width="23.125" style="8" customWidth="1"/>
    <col min="3337" max="3338" width="13.375" style="8" bestFit="1" customWidth="1"/>
    <col min="3339" max="3339" width="11.75" style="8" bestFit="1" customWidth="1"/>
    <col min="3340" max="3340" width="12.875" style="8" bestFit="1" customWidth="1"/>
    <col min="3341" max="3341" width="9.125" style="8" bestFit="1" customWidth="1"/>
    <col min="3342" max="3342" width="21.5" style="8" bestFit="1" customWidth="1"/>
    <col min="3343" max="3343" width="19.375" style="8" bestFit="1" customWidth="1"/>
    <col min="3344" max="3344" width="84.875" style="8" bestFit="1" customWidth="1"/>
    <col min="3345" max="3345" width="40" style="8" bestFit="1" customWidth="1"/>
    <col min="3346" max="3346" width="17" style="8" bestFit="1" customWidth="1"/>
    <col min="3347" max="3347" width="16.875" style="8" bestFit="1" customWidth="1"/>
    <col min="3348" max="3348" width="17.75" style="8" bestFit="1" customWidth="1"/>
    <col min="3349" max="3349" width="20" style="8" bestFit="1" customWidth="1"/>
    <col min="3350" max="3350" width="17.625" style="8" bestFit="1" customWidth="1"/>
    <col min="3351" max="3351" width="9.625" style="8" bestFit="1" customWidth="1"/>
    <col min="3352" max="3352" width="14" style="8" bestFit="1" customWidth="1"/>
    <col min="3353" max="3353" width="16.125" style="8" bestFit="1" customWidth="1"/>
    <col min="3354" max="3354" width="18.5" style="8" bestFit="1" customWidth="1"/>
    <col min="3355" max="3355" width="15.75" style="8" bestFit="1" customWidth="1"/>
    <col min="3356" max="3584" width="9" style="8"/>
    <col min="3585" max="3585" width="5.625" style="8" bestFit="1" customWidth="1"/>
    <col min="3586" max="3586" width="23.875" style="8" bestFit="1" customWidth="1"/>
    <col min="3587" max="3587" width="31.625" style="8" customWidth="1"/>
    <col min="3588" max="3588" width="28.125" style="8" customWidth="1"/>
    <col min="3589" max="3590" width="9" style="8"/>
    <col min="3591" max="3591" width="15.25" style="8" customWidth="1"/>
    <col min="3592" max="3592" width="23.125" style="8" customWidth="1"/>
    <col min="3593" max="3594" width="13.375" style="8" bestFit="1" customWidth="1"/>
    <col min="3595" max="3595" width="11.75" style="8" bestFit="1" customWidth="1"/>
    <col min="3596" max="3596" width="12.875" style="8" bestFit="1" customWidth="1"/>
    <col min="3597" max="3597" width="9.125" style="8" bestFit="1" customWidth="1"/>
    <col min="3598" max="3598" width="21.5" style="8" bestFit="1" customWidth="1"/>
    <col min="3599" max="3599" width="19.375" style="8" bestFit="1" customWidth="1"/>
    <col min="3600" max="3600" width="84.875" style="8" bestFit="1" customWidth="1"/>
    <col min="3601" max="3601" width="40" style="8" bestFit="1" customWidth="1"/>
    <col min="3602" max="3602" width="17" style="8" bestFit="1" customWidth="1"/>
    <col min="3603" max="3603" width="16.875" style="8" bestFit="1" customWidth="1"/>
    <col min="3604" max="3604" width="17.75" style="8" bestFit="1" customWidth="1"/>
    <col min="3605" max="3605" width="20" style="8" bestFit="1" customWidth="1"/>
    <col min="3606" max="3606" width="17.625" style="8" bestFit="1" customWidth="1"/>
    <col min="3607" max="3607" width="9.625" style="8" bestFit="1" customWidth="1"/>
    <col min="3608" max="3608" width="14" style="8" bestFit="1" customWidth="1"/>
    <col min="3609" max="3609" width="16.125" style="8" bestFit="1" customWidth="1"/>
    <col min="3610" max="3610" width="18.5" style="8" bestFit="1" customWidth="1"/>
    <col min="3611" max="3611" width="15.75" style="8" bestFit="1" customWidth="1"/>
    <col min="3612" max="3840" width="9" style="8"/>
    <col min="3841" max="3841" width="5.625" style="8" bestFit="1" customWidth="1"/>
    <col min="3842" max="3842" width="23.875" style="8" bestFit="1" customWidth="1"/>
    <col min="3843" max="3843" width="31.625" style="8" customWidth="1"/>
    <col min="3844" max="3844" width="28.125" style="8" customWidth="1"/>
    <col min="3845" max="3846" width="9" style="8"/>
    <col min="3847" max="3847" width="15.25" style="8" customWidth="1"/>
    <col min="3848" max="3848" width="23.125" style="8" customWidth="1"/>
    <col min="3849" max="3850" width="13.375" style="8" bestFit="1" customWidth="1"/>
    <col min="3851" max="3851" width="11.75" style="8" bestFit="1" customWidth="1"/>
    <col min="3852" max="3852" width="12.875" style="8" bestFit="1" customWidth="1"/>
    <col min="3853" max="3853" width="9.125" style="8" bestFit="1" customWidth="1"/>
    <col min="3854" max="3854" width="21.5" style="8" bestFit="1" customWidth="1"/>
    <col min="3855" max="3855" width="19.375" style="8" bestFit="1" customWidth="1"/>
    <col min="3856" max="3856" width="84.875" style="8" bestFit="1" customWidth="1"/>
    <col min="3857" max="3857" width="40" style="8" bestFit="1" customWidth="1"/>
    <col min="3858" max="3858" width="17" style="8" bestFit="1" customWidth="1"/>
    <col min="3859" max="3859" width="16.875" style="8" bestFit="1" customWidth="1"/>
    <col min="3860" max="3860" width="17.75" style="8" bestFit="1" customWidth="1"/>
    <col min="3861" max="3861" width="20" style="8" bestFit="1" customWidth="1"/>
    <col min="3862" max="3862" width="17.625" style="8" bestFit="1" customWidth="1"/>
    <col min="3863" max="3863" width="9.625" style="8" bestFit="1" customWidth="1"/>
    <col min="3864" max="3864" width="14" style="8" bestFit="1" customWidth="1"/>
    <col min="3865" max="3865" width="16.125" style="8" bestFit="1" customWidth="1"/>
    <col min="3866" max="3866" width="18.5" style="8" bestFit="1" customWidth="1"/>
    <col min="3867" max="3867" width="15.75" style="8" bestFit="1" customWidth="1"/>
    <col min="3868" max="4096" width="9" style="8"/>
    <col min="4097" max="4097" width="5.625" style="8" bestFit="1" customWidth="1"/>
    <col min="4098" max="4098" width="23.875" style="8" bestFit="1" customWidth="1"/>
    <col min="4099" max="4099" width="31.625" style="8" customWidth="1"/>
    <col min="4100" max="4100" width="28.125" style="8" customWidth="1"/>
    <col min="4101" max="4102" width="9" style="8"/>
    <col min="4103" max="4103" width="15.25" style="8" customWidth="1"/>
    <col min="4104" max="4104" width="23.125" style="8" customWidth="1"/>
    <col min="4105" max="4106" width="13.375" style="8" bestFit="1" customWidth="1"/>
    <col min="4107" max="4107" width="11.75" style="8" bestFit="1" customWidth="1"/>
    <col min="4108" max="4108" width="12.875" style="8" bestFit="1" customWidth="1"/>
    <col min="4109" max="4109" width="9.125" style="8" bestFit="1" customWidth="1"/>
    <col min="4110" max="4110" width="21.5" style="8" bestFit="1" customWidth="1"/>
    <col min="4111" max="4111" width="19.375" style="8" bestFit="1" customWidth="1"/>
    <col min="4112" max="4112" width="84.875" style="8" bestFit="1" customWidth="1"/>
    <col min="4113" max="4113" width="40" style="8" bestFit="1" customWidth="1"/>
    <col min="4114" max="4114" width="17" style="8" bestFit="1" customWidth="1"/>
    <col min="4115" max="4115" width="16.875" style="8" bestFit="1" customWidth="1"/>
    <col min="4116" max="4116" width="17.75" style="8" bestFit="1" customWidth="1"/>
    <col min="4117" max="4117" width="20" style="8" bestFit="1" customWidth="1"/>
    <col min="4118" max="4118" width="17.625" style="8" bestFit="1" customWidth="1"/>
    <col min="4119" max="4119" width="9.625" style="8" bestFit="1" customWidth="1"/>
    <col min="4120" max="4120" width="14" style="8" bestFit="1" customWidth="1"/>
    <col min="4121" max="4121" width="16.125" style="8" bestFit="1" customWidth="1"/>
    <col min="4122" max="4122" width="18.5" style="8" bestFit="1" customWidth="1"/>
    <col min="4123" max="4123" width="15.75" style="8" bestFit="1" customWidth="1"/>
    <col min="4124" max="4352" width="9" style="8"/>
    <col min="4353" max="4353" width="5.625" style="8" bestFit="1" customWidth="1"/>
    <col min="4354" max="4354" width="23.875" style="8" bestFit="1" customWidth="1"/>
    <col min="4355" max="4355" width="31.625" style="8" customWidth="1"/>
    <col min="4356" max="4356" width="28.125" style="8" customWidth="1"/>
    <col min="4357" max="4358" width="9" style="8"/>
    <col min="4359" max="4359" width="15.25" style="8" customWidth="1"/>
    <col min="4360" max="4360" width="23.125" style="8" customWidth="1"/>
    <col min="4361" max="4362" width="13.375" style="8" bestFit="1" customWidth="1"/>
    <col min="4363" max="4363" width="11.75" style="8" bestFit="1" customWidth="1"/>
    <col min="4364" max="4364" width="12.875" style="8" bestFit="1" customWidth="1"/>
    <col min="4365" max="4365" width="9.125" style="8" bestFit="1" customWidth="1"/>
    <col min="4366" max="4366" width="21.5" style="8" bestFit="1" customWidth="1"/>
    <col min="4367" max="4367" width="19.375" style="8" bestFit="1" customWidth="1"/>
    <col min="4368" max="4368" width="84.875" style="8" bestFit="1" customWidth="1"/>
    <col min="4369" max="4369" width="40" style="8" bestFit="1" customWidth="1"/>
    <col min="4370" max="4370" width="17" style="8" bestFit="1" customWidth="1"/>
    <col min="4371" max="4371" width="16.875" style="8" bestFit="1" customWidth="1"/>
    <col min="4372" max="4372" width="17.75" style="8" bestFit="1" customWidth="1"/>
    <col min="4373" max="4373" width="20" style="8" bestFit="1" customWidth="1"/>
    <col min="4374" max="4374" width="17.625" style="8" bestFit="1" customWidth="1"/>
    <col min="4375" max="4375" width="9.625" style="8" bestFit="1" customWidth="1"/>
    <col min="4376" max="4376" width="14" style="8" bestFit="1" customWidth="1"/>
    <col min="4377" max="4377" width="16.125" style="8" bestFit="1" customWidth="1"/>
    <col min="4378" max="4378" width="18.5" style="8" bestFit="1" customWidth="1"/>
    <col min="4379" max="4379" width="15.75" style="8" bestFit="1" customWidth="1"/>
    <col min="4380" max="4608" width="9" style="8"/>
    <col min="4609" max="4609" width="5.625" style="8" bestFit="1" customWidth="1"/>
    <col min="4610" max="4610" width="23.875" style="8" bestFit="1" customWidth="1"/>
    <col min="4611" max="4611" width="31.625" style="8" customWidth="1"/>
    <col min="4612" max="4612" width="28.125" style="8" customWidth="1"/>
    <col min="4613" max="4614" width="9" style="8"/>
    <col min="4615" max="4615" width="15.25" style="8" customWidth="1"/>
    <col min="4616" max="4616" width="23.125" style="8" customWidth="1"/>
    <col min="4617" max="4618" width="13.375" style="8" bestFit="1" customWidth="1"/>
    <col min="4619" max="4619" width="11.75" style="8" bestFit="1" customWidth="1"/>
    <col min="4620" max="4620" width="12.875" style="8" bestFit="1" customWidth="1"/>
    <col min="4621" max="4621" width="9.125" style="8" bestFit="1" customWidth="1"/>
    <col min="4622" max="4622" width="21.5" style="8" bestFit="1" customWidth="1"/>
    <col min="4623" max="4623" width="19.375" style="8" bestFit="1" customWidth="1"/>
    <col min="4624" max="4624" width="84.875" style="8" bestFit="1" customWidth="1"/>
    <col min="4625" max="4625" width="40" style="8" bestFit="1" customWidth="1"/>
    <col min="4626" max="4626" width="17" style="8" bestFit="1" customWidth="1"/>
    <col min="4627" max="4627" width="16.875" style="8" bestFit="1" customWidth="1"/>
    <col min="4628" max="4628" width="17.75" style="8" bestFit="1" customWidth="1"/>
    <col min="4629" max="4629" width="20" style="8" bestFit="1" customWidth="1"/>
    <col min="4630" max="4630" width="17.625" style="8" bestFit="1" customWidth="1"/>
    <col min="4631" max="4631" width="9.625" style="8" bestFit="1" customWidth="1"/>
    <col min="4632" max="4632" width="14" style="8" bestFit="1" customWidth="1"/>
    <col min="4633" max="4633" width="16.125" style="8" bestFit="1" customWidth="1"/>
    <col min="4634" max="4634" width="18.5" style="8" bestFit="1" customWidth="1"/>
    <col min="4635" max="4635" width="15.75" style="8" bestFit="1" customWidth="1"/>
    <col min="4636" max="4864" width="9" style="8"/>
    <col min="4865" max="4865" width="5.625" style="8" bestFit="1" customWidth="1"/>
    <col min="4866" max="4866" width="23.875" style="8" bestFit="1" customWidth="1"/>
    <col min="4867" max="4867" width="31.625" style="8" customWidth="1"/>
    <col min="4868" max="4868" width="28.125" style="8" customWidth="1"/>
    <col min="4869" max="4870" width="9" style="8"/>
    <col min="4871" max="4871" width="15.25" style="8" customWidth="1"/>
    <col min="4872" max="4872" width="23.125" style="8" customWidth="1"/>
    <col min="4873" max="4874" width="13.375" style="8" bestFit="1" customWidth="1"/>
    <col min="4875" max="4875" width="11.75" style="8" bestFit="1" customWidth="1"/>
    <col min="4876" max="4876" width="12.875" style="8" bestFit="1" customWidth="1"/>
    <col min="4877" max="4877" width="9.125" style="8" bestFit="1" customWidth="1"/>
    <col min="4878" max="4878" width="21.5" style="8" bestFit="1" customWidth="1"/>
    <col min="4879" max="4879" width="19.375" style="8" bestFit="1" customWidth="1"/>
    <col min="4880" max="4880" width="84.875" style="8" bestFit="1" customWidth="1"/>
    <col min="4881" max="4881" width="40" style="8" bestFit="1" customWidth="1"/>
    <col min="4882" max="4882" width="17" style="8" bestFit="1" customWidth="1"/>
    <col min="4883" max="4883" width="16.875" style="8" bestFit="1" customWidth="1"/>
    <col min="4884" max="4884" width="17.75" style="8" bestFit="1" customWidth="1"/>
    <col min="4885" max="4885" width="20" style="8" bestFit="1" customWidth="1"/>
    <col min="4886" max="4886" width="17.625" style="8" bestFit="1" customWidth="1"/>
    <col min="4887" max="4887" width="9.625" style="8" bestFit="1" customWidth="1"/>
    <col min="4888" max="4888" width="14" style="8" bestFit="1" customWidth="1"/>
    <col min="4889" max="4889" width="16.125" style="8" bestFit="1" customWidth="1"/>
    <col min="4890" max="4890" width="18.5" style="8" bestFit="1" customWidth="1"/>
    <col min="4891" max="4891" width="15.75" style="8" bestFit="1" customWidth="1"/>
    <col min="4892" max="5120" width="9" style="8"/>
    <col min="5121" max="5121" width="5.625" style="8" bestFit="1" customWidth="1"/>
    <col min="5122" max="5122" width="23.875" style="8" bestFit="1" customWidth="1"/>
    <col min="5123" max="5123" width="31.625" style="8" customWidth="1"/>
    <col min="5124" max="5124" width="28.125" style="8" customWidth="1"/>
    <col min="5125" max="5126" width="9" style="8"/>
    <col min="5127" max="5127" width="15.25" style="8" customWidth="1"/>
    <col min="5128" max="5128" width="23.125" style="8" customWidth="1"/>
    <col min="5129" max="5130" width="13.375" style="8" bestFit="1" customWidth="1"/>
    <col min="5131" max="5131" width="11.75" style="8" bestFit="1" customWidth="1"/>
    <col min="5132" max="5132" width="12.875" style="8" bestFit="1" customWidth="1"/>
    <col min="5133" max="5133" width="9.125" style="8" bestFit="1" customWidth="1"/>
    <col min="5134" max="5134" width="21.5" style="8" bestFit="1" customWidth="1"/>
    <col min="5135" max="5135" width="19.375" style="8" bestFit="1" customWidth="1"/>
    <col min="5136" max="5136" width="84.875" style="8" bestFit="1" customWidth="1"/>
    <col min="5137" max="5137" width="40" style="8" bestFit="1" customWidth="1"/>
    <col min="5138" max="5138" width="17" style="8" bestFit="1" customWidth="1"/>
    <col min="5139" max="5139" width="16.875" style="8" bestFit="1" customWidth="1"/>
    <col min="5140" max="5140" width="17.75" style="8" bestFit="1" customWidth="1"/>
    <col min="5141" max="5141" width="20" style="8" bestFit="1" customWidth="1"/>
    <col min="5142" max="5142" width="17.625" style="8" bestFit="1" customWidth="1"/>
    <col min="5143" max="5143" width="9.625" style="8" bestFit="1" customWidth="1"/>
    <col min="5144" max="5144" width="14" style="8" bestFit="1" customWidth="1"/>
    <col min="5145" max="5145" width="16.125" style="8" bestFit="1" customWidth="1"/>
    <col min="5146" max="5146" width="18.5" style="8" bestFit="1" customWidth="1"/>
    <col min="5147" max="5147" width="15.75" style="8" bestFit="1" customWidth="1"/>
    <col min="5148" max="5376" width="9" style="8"/>
    <col min="5377" max="5377" width="5.625" style="8" bestFit="1" customWidth="1"/>
    <col min="5378" max="5378" width="23.875" style="8" bestFit="1" customWidth="1"/>
    <col min="5379" max="5379" width="31.625" style="8" customWidth="1"/>
    <col min="5380" max="5380" width="28.125" style="8" customWidth="1"/>
    <col min="5381" max="5382" width="9" style="8"/>
    <col min="5383" max="5383" width="15.25" style="8" customWidth="1"/>
    <col min="5384" max="5384" width="23.125" style="8" customWidth="1"/>
    <col min="5385" max="5386" width="13.375" style="8" bestFit="1" customWidth="1"/>
    <col min="5387" max="5387" width="11.75" style="8" bestFit="1" customWidth="1"/>
    <col min="5388" max="5388" width="12.875" style="8" bestFit="1" customWidth="1"/>
    <col min="5389" max="5389" width="9.125" style="8" bestFit="1" customWidth="1"/>
    <col min="5390" max="5390" width="21.5" style="8" bestFit="1" customWidth="1"/>
    <col min="5391" max="5391" width="19.375" style="8" bestFit="1" customWidth="1"/>
    <col min="5392" max="5392" width="84.875" style="8" bestFit="1" customWidth="1"/>
    <col min="5393" max="5393" width="40" style="8" bestFit="1" customWidth="1"/>
    <col min="5394" max="5394" width="17" style="8" bestFit="1" customWidth="1"/>
    <col min="5395" max="5395" width="16.875" style="8" bestFit="1" customWidth="1"/>
    <col min="5396" max="5396" width="17.75" style="8" bestFit="1" customWidth="1"/>
    <col min="5397" max="5397" width="20" style="8" bestFit="1" customWidth="1"/>
    <col min="5398" max="5398" width="17.625" style="8" bestFit="1" customWidth="1"/>
    <col min="5399" max="5399" width="9.625" style="8" bestFit="1" customWidth="1"/>
    <col min="5400" max="5400" width="14" style="8" bestFit="1" customWidth="1"/>
    <col min="5401" max="5401" width="16.125" style="8" bestFit="1" customWidth="1"/>
    <col min="5402" max="5402" width="18.5" style="8" bestFit="1" customWidth="1"/>
    <col min="5403" max="5403" width="15.75" style="8" bestFit="1" customWidth="1"/>
    <col min="5404" max="5632" width="9" style="8"/>
    <col min="5633" max="5633" width="5.625" style="8" bestFit="1" customWidth="1"/>
    <col min="5634" max="5634" width="23.875" style="8" bestFit="1" customWidth="1"/>
    <col min="5635" max="5635" width="31.625" style="8" customWidth="1"/>
    <col min="5636" max="5636" width="28.125" style="8" customWidth="1"/>
    <col min="5637" max="5638" width="9" style="8"/>
    <col min="5639" max="5639" width="15.25" style="8" customWidth="1"/>
    <col min="5640" max="5640" width="23.125" style="8" customWidth="1"/>
    <col min="5641" max="5642" width="13.375" style="8" bestFit="1" customWidth="1"/>
    <col min="5643" max="5643" width="11.75" style="8" bestFit="1" customWidth="1"/>
    <col min="5644" max="5644" width="12.875" style="8" bestFit="1" customWidth="1"/>
    <col min="5645" max="5645" width="9.125" style="8" bestFit="1" customWidth="1"/>
    <col min="5646" max="5646" width="21.5" style="8" bestFit="1" customWidth="1"/>
    <col min="5647" max="5647" width="19.375" style="8" bestFit="1" customWidth="1"/>
    <col min="5648" max="5648" width="84.875" style="8" bestFit="1" customWidth="1"/>
    <col min="5649" max="5649" width="40" style="8" bestFit="1" customWidth="1"/>
    <col min="5650" max="5650" width="17" style="8" bestFit="1" customWidth="1"/>
    <col min="5651" max="5651" width="16.875" style="8" bestFit="1" customWidth="1"/>
    <col min="5652" max="5652" width="17.75" style="8" bestFit="1" customWidth="1"/>
    <col min="5653" max="5653" width="20" style="8" bestFit="1" customWidth="1"/>
    <col min="5654" max="5654" width="17.625" style="8" bestFit="1" customWidth="1"/>
    <col min="5655" max="5655" width="9.625" style="8" bestFit="1" customWidth="1"/>
    <col min="5656" max="5656" width="14" style="8" bestFit="1" customWidth="1"/>
    <col min="5657" max="5657" width="16.125" style="8" bestFit="1" customWidth="1"/>
    <col min="5658" max="5658" width="18.5" style="8" bestFit="1" customWidth="1"/>
    <col min="5659" max="5659" width="15.75" style="8" bestFit="1" customWidth="1"/>
    <col min="5660" max="5888" width="9" style="8"/>
    <col min="5889" max="5889" width="5.625" style="8" bestFit="1" customWidth="1"/>
    <col min="5890" max="5890" width="23.875" style="8" bestFit="1" customWidth="1"/>
    <col min="5891" max="5891" width="31.625" style="8" customWidth="1"/>
    <col min="5892" max="5892" width="28.125" style="8" customWidth="1"/>
    <col min="5893" max="5894" width="9" style="8"/>
    <col min="5895" max="5895" width="15.25" style="8" customWidth="1"/>
    <col min="5896" max="5896" width="23.125" style="8" customWidth="1"/>
    <col min="5897" max="5898" width="13.375" style="8" bestFit="1" customWidth="1"/>
    <col min="5899" max="5899" width="11.75" style="8" bestFit="1" customWidth="1"/>
    <col min="5900" max="5900" width="12.875" style="8" bestFit="1" customWidth="1"/>
    <col min="5901" max="5901" width="9.125" style="8" bestFit="1" customWidth="1"/>
    <col min="5902" max="5902" width="21.5" style="8" bestFit="1" customWidth="1"/>
    <col min="5903" max="5903" width="19.375" style="8" bestFit="1" customWidth="1"/>
    <col min="5904" max="5904" width="84.875" style="8" bestFit="1" customWidth="1"/>
    <col min="5905" max="5905" width="40" style="8" bestFit="1" customWidth="1"/>
    <col min="5906" max="5906" width="17" style="8" bestFit="1" customWidth="1"/>
    <col min="5907" max="5907" width="16.875" style="8" bestFit="1" customWidth="1"/>
    <col min="5908" max="5908" width="17.75" style="8" bestFit="1" customWidth="1"/>
    <col min="5909" max="5909" width="20" style="8" bestFit="1" customWidth="1"/>
    <col min="5910" max="5910" width="17.625" style="8" bestFit="1" customWidth="1"/>
    <col min="5911" max="5911" width="9.625" style="8" bestFit="1" customWidth="1"/>
    <col min="5912" max="5912" width="14" style="8" bestFit="1" customWidth="1"/>
    <col min="5913" max="5913" width="16.125" style="8" bestFit="1" customWidth="1"/>
    <col min="5914" max="5914" width="18.5" style="8" bestFit="1" customWidth="1"/>
    <col min="5915" max="5915" width="15.75" style="8" bestFit="1" customWidth="1"/>
    <col min="5916" max="6144" width="9" style="8"/>
    <col min="6145" max="6145" width="5.625" style="8" bestFit="1" customWidth="1"/>
    <col min="6146" max="6146" width="23.875" style="8" bestFit="1" customWidth="1"/>
    <col min="6147" max="6147" width="31.625" style="8" customWidth="1"/>
    <col min="6148" max="6148" width="28.125" style="8" customWidth="1"/>
    <col min="6149" max="6150" width="9" style="8"/>
    <col min="6151" max="6151" width="15.25" style="8" customWidth="1"/>
    <col min="6152" max="6152" width="23.125" style="8" customWidth="1"/>
    <col min="6153" max="6154" width="13.375" style="8" bestFit="1" customWidth="1"/>
    <col min="6155" max="6155" width="11.75" style="8" bestFit="1" customWidth="1"/>
    <col min="6156" max="6156" width="12.875" style="8" bestFit="1" customWidth="1"/>
    <col min="6157" max="6157" width="9.125" style="8" bestFit="1" customWidth="1"/>
    <col min="6158" max="6158" width="21.5" style="8" bestFit="1" customWidth="1"/>
    <col min="6159" max="6159" width="19.375" style="8" bestFit="1" customWidth="1"/>
    <col min="6160" max="6160" width="84.875" style="8" bestFit="1" customWidth="1"/>
    <col min="6161" max="6161" width="40" style="8" bestFit="1" customWidth="1"/>
    <col min="6162" max="6162" width="17" style="8" bestFit="1" customWidth="1"/>
    <col min="6163" max="6163" width="16.875" style="8" bestFit="1" customWidth="1"/>
    <col min="6164" max="6164" width="17.75" style="8" bestFit="1" customWidth="1"/>
    <col min="6165" max="6165" width="20" style="8" bestFit="1" customWidth="1"/>
    <col min="6166" max="6166" width="17.625" style="8" bestFit="1" customWidth="1"/>
    <col min="6167" max="6167" width="9.625" style="8" bestFit="1" customWidth="1"/>
    <col min="6168" max="6168" width="14" style="8" bestFit="1" customWidth="1"/>
    <col min="6169" max="6169" width="16.125" style="8" bestFit="1" customWidth="1"/>
    <col min="6170" max="6170" width="18.5" style="8" bestFit="1" customWidth="1"/>
    <col min="6171" max="6171" width="15.75" style="8" bestFit="1" customWidth="1"/>
    <col min="6172" max="6400" width="9" style="8"/>
    <col min="6401" max="6401" width="5.625" style="8" bestFit="1" customWidth="1"/>
    <col min="6402" max="6402" width="23.875" style="8" bestFit="1" customWidth="1"/>
    <col min="6403" max="6403" width="31.625" style="8" customWidth="1"/>
    <col min="6404" max="6404" width="28.125" style="8" customWidth="1"/>
    <col min="6405" max="6406" width="9" style="8"/>
    <col min="6407" max="6407" width="15.25" style="8" customWidth="1"/>
    <col min="6408" max="6408" width="23.125" style="8" customWidth="1"/>
    <col min="6409" max="6410" width="13.375" style="8" bestFit="1" customWidth="1"/>
    <col min="6411" max="6411" width="11.75" style="8" bestFit="1" customWidth="1"/>
    <col min="6412" max="6412" width="12.875" style="8" bestFit="1" customWidth="1"/>
    <col min="6413" max="6413" width="9.125" style="8" bestFit="1" customWidth="1"/>
    <col min="6414" max="6414" width="21.5" style="8" bestFit="1" customWidth="1"/>
    <col min="6415" max="6415" width="19.375" style="8" bestFit="1" customWidth="1"/>
    <col min="6416" max="6416" width="84.875" style="8" bestFit="1" customWidth="1"/>
    <col min="6417" max="6417" width="40" style="8" bestFit="1" customWidth="1"/>
    <col min="6418" max="6418" width="17" style="8" bestFit="1" customWidth="1"/>
    <col min="6419" max="6419" width="16.875" style="8" bestFit="1" customWidth="1"/>
    <col min="6420" max="6420" width="17.75" style="8" bestFit="1" customWidth="1"/>
    <col min="6421" max="6421" width="20" style="8" bestFit="1" customWidth="1"/>
    <col min="6422" max="6422" width="17.625" style="8" bestFit="1" customWidth="1"/>
    <col min="6423" max="6423" width="9.625" style="8" bestFit="1" customWidth="1"/>
    <col min="6424" max="6424" width="14" style="8" bestFit="1" customWidth="1"/>
    <col min="6425" max="6425" width="16.125" style="8" bestFit="1" customWidth="1"/>
    <col min="6426" max="6426" width="18.5" style="8" bestFit="1" customWidth="1"/>
    <col min="6427" max="6427" width="15.75" style="8" bestFit="1" customWidth="1"/>
    <col min="6428" max="6656" width="9" style="8"/>
    <col min="6657" max="6657" width="5.625" style="8" bestFit="1" customWidth="1"/>
    <col min="6658" max="6658" width="23.875" style="8" bestFit="1" customWidth="1"/>
    <col min="6659" max="6659" width="31.625" style="8" customWidth="1"/>
    <col min="6660" max="6660" width="28.125" style="8" customWidth="1"/>
    <col min="6661" max="6662" width="9" style="8"/>
    <col min="6663" max="6663" width="15.25" style="8" customWidth="1"/>
    <col min="6664" max="6664" width="23.125" style="8" customWidth="1"/>
    <col min="6665" max="6666" width="13.375" style="8" bestFit="1" customWidth="1"/>
    <col min="6667" max="6667" width="11.75" style="8" bestFit="1" customWidth="1"/>
    <col min="6668" max="6668" width="12.875" style="8" bestFit="1" customWidth="1"/>
    <col min="6669" max="6669" width="9.125" style="8" bestFit="1" customWidth="1"/>
    <col min="6670" max="6670" width="21.5" style="8" bestFit="1" customWidth="1"/>
    <col min="6671" max="6671" width="19.375" style="8" bestFit="1" customWidth="1"/>
    <col min="6672" max="6672" width="84.875" style="8" bestFit="1" customWidth="1"/>
    <col min="6673" max="6673" width="40" style="8" bestFit="1" customWidth="1"/>
    <col min="6674" max="6674" width="17" style="8" bestFit="1" customWidth="1"/>
    <col min="6675" max="6675" width="16.875" style="8" bestFit="1" customWidth="1"/>
    <col min="6676" max="6676" width="17.75" style="8" bestFit="1" customWidth="1"/>
    <col min="6677" max="6677" width="20" style="8" bestFit="1" customWidth="1"/>
    <col min="6678" max="6678" width="17.625" style="8" bestFit="1" customWidth="1"/>
    <col min="6679" max="6679" width="9.625" style="8" bestFit="1" customWidth="1"/>
    <col min="6680" max="6680" width="14" style="8" bestFit="1" customWidth="1"/>
    <col min="6681" max="6681" width="16.125" style="8" bestFit="1" customWidth="1"/>
    <col min="6682" max="6682" width="18.5" style="8" bestFit="1" customWidth="1"/>
    <col min="6683" max="6683" width="15.75" style="8" bestFit="1" customWidth="1"/>
    <col min="6684" max="6912" width="9" style="8"/>
    <col min="6913" max="6913" width="5.625" style="8" bestFit="1" customWidth="1"/>
    <col min="6914" max="6914" width="23.875" style="8" bestFit="1" customWidth="1"/>
    <col min="6915" max="6915" width="31.625" style="8" customWidth="1"/>
    <col min="6916" max="6916" width="28.125" style="8" customWidth="1"/>
    <col min="6917" max="6918" width="9" style="8"/>
    <col min="6919" max="6919" width="15.25" style="8" customWidth="1"/>
    <col min="6920" max="6920" width="23.125" style="8" customWidth="1"/>
    <col min="6921" max="6922" width="13.375" style="8" bestFit="1" customWidth="1"/>
    <col min="6923" max="6923" width="11.75" style="8" bestFit="1" customWidth="1"/>
    <col min="6924" max="6924" width="12.875" style="8" bestFit="1" customWidth="1"/>
    <col min="6925" max="6925" width="9.125" style="8" bestFit="1" customWidth="1"/>
    <col min="6926" max="6926" width="21.5" style="8" bestFit="1" customWidth="1"/>
    <col min="6927" max="6927" width="19.375" style="8" bestFit="1" customWidth="1"/>
    <col min="6928" max="6928" width="84.875" style="8" bestFit="1" customWidth="1"/>
    <col min="6929" max="6929" width="40" style="8" bestFit="1" customWidth="1"/>
    <col min="6930" max="6930" width="17" style="8" bestFit="1" customWidth="1"/>
    <col min="6931" max="6931" width="16.875" style="8" bestFit="1" customWidth="1"/>
    <col min="6932" max="6932" width="17.75" style="8" bestFit="1" customWidth="1"/>
    <col min="6933" max="6933" width="20" style="8" bestFit="1" customWidth="1"/>
    <col min="6934" max="6934" width="17.625" style="8" bestFit="1" customWidth="1"/>
    <col min="6935" max="6935" width="9.625" style="8" bestFit="1" customWidth="1"/>
    <col min="6936" max="6936" width="14" style="8" bestFit="1" customWidth="1"/>
    <col min="6937" max="6937" width="16.125" style="8" bestFit="1" customWidth="1"/>
    <col min="6938" max="6938" width="18.5" style="8" bestFit="1" customWidth="1"/>
    <col min="6939" max="6939" width="15.75" style="8" bestFit="1" customWidth="1"/>
    <col min="6940" max="7168" width="9" style="8"/>
    <col min="7169" max="7169" width="5.625" style="8" bestFit="1" customWidth="1"/>
    <col min="7170" max="7170" width="23.875" style="8" bestFit="1" customWidth="1"/>
    <col min="7171" max="7171" width="31.625" style="8" customWidth="1"/>
    <col min="7172" max="7172" width="28.125" style="8" customWidth="1"/>
    <col min="7173" max="7174" width="9" style="8"/>
    <col min="7175" max="7175" width="15.25" style="8" customWidth="1"/>
    <col min="7176" max="7176" width="23.125" style="8" customWidth="1"/>
    <col min="7177" max="7178" width="13.375" style="8" bestFit="1" customWidth="1"/>
    <col min="7179" max="7179" width="11.75" style="8" bestFit="1" customWidth="1"/>
    <col min="7180" max="7180" width="12.875" style="8" bestFit="1" customWidth="1"/>
    <col min="7181" max="7181" width="9.125" style="8" bestFit="1" customWidth="1"/>
    <col min="7182" max="7182" width="21.5" style="8" bestFit="1" customWidth="1"/>
    <col min="7183" max="7183" width="19.375" style="8" bestFit="1" customWidth="1"/>
    <col min="7184" max="7184" width="84.875" style="8" bestFit="1" customWidth="1"/>
    <col min="7185" max="7185" width="40" style="8" bestFit="1" customWidth="1"/>
    <col min="7186" max="7186" width="17" style="8" bestFit="1" customWidth="1"/>
    <col min="7187" max="7187" width="16.875" style="8" bestFit="1" customWidth="1"/>
    <col min="7188" max="7188" width="17.75" style="8" bestFit="1" customWidth="1"/>
    <col min="7189" max="7189" width="20" style="8" bestFit="1" customWidth="1"/>
    <col min="7190" max="7190" width="17.625" style="8" bestFit="1" customWidth="1"/>
    <col min="7191" max="7191" width="9.625" style="8" bestFit="1" customWidth="1"/>
    <col min="7192" max="7192" width="14" style="8" bestFit="1" customWidth="1"/>
    <col min="7193" max="7193" width="16.125" style="8" bestFit="1" customWidth="1"/>
    <col min="7194" max="7194" width="18.5" style="8" bestFit="1" customWidth="1"/>
    <col min="7195" max="7195" width="15.75" style="8" bestFit="1" customWidth="1"/>
    <col min="7196" max="7424" width="9" style="8"/>
    <col min="7425" max="7425" width="5.625" style="8" bestFit="1" customWidth="1"/>
    <col min="7426" max="7426" width="23.875" style="8" bestFit="1" customWidth="1"/>
    <col min="7427" max="7427" width="31.625" style="8" customWidth="1"/>
    <col min="7428" max="7428" width="28.125" style="8" customWidth="1"/>
    <col min="7429" max="7430" width="9" style="8"/>
    <col min="7431" max="7431" width="15.25" style="8" customWidth="1"/>
    <col min="7432" max="7432" width="23.125" style="8" customWidth="1"/>
    <col min="7433" max="7434" width="13.375" style="8" bestFit="1" customWidth="1"/>
    <col min="7435" max="7435" width="11.75" style="8" bestFit="1" customWidth="1"/>
    <col min="7436" max="7436" width="12.875" style="8" bestFit="1" customWidth="1"/>
    <col min="7437" max="7437" width="9.125" style="8" bestFit="1" customWidth="1"/>
    <col min="7438" max="7438" width="21.5" style="8" bestFit="1" customWidth="1"/>
    <col min="7439" max="7439" width="19.375" style="8" bestFit="1" customWidth="1"/>
    <col min="7440" max="7440" width="84.875" style="8" bestFit="1" customWidth="1"/>
    <col min="7441" max="7441" width="40" style="8" bestFit="1" customWidth="1"/>
    <col min="7442" max="7442" width="17" style="8" bestFit="1" customWidth="1"/>
    <col min="7443" max="7443" width="16.875" style="8" bestFit="1" customWidth="1"/>
    <col min="7444" max="7444" width="17.75" style="8" bestFit="1" customWidth="1"/>
    <col min="7445" max="7445" width="20" style="8" bestFit="1" customWidth="1"/>
    <col min="7446" max="7446" width="17.625" style="8" bestFit="1" customWidth="1"/>
    <col min="7447" max="7447" width="9.625" style="8" bestFit="1" customWidth="1"/>
    <col min="7448" max="7448" width="14" style="8" bestFit="1" customWidth="1"/>
    <col min="7449" max="7449" width="16.125" style="8" bestFit="1" customWidth="1"/>
    <col min="7450" max="7450" width="18.5" style="8" bestFit="1" customWidth="1"/>
    <col min="7451" max="7451" width="15.75" style="8" bestFit="1" customWidth="1"/>
    <col min="7452" max="7680" width="9" style="8"/>
    <col min="7681" max="7681" width="5.625" style="8" bestFit="1" customWidth="1"/>
    <col min="7682" max="7682" width="23.875" style="8" bestFit="1" customWidth="1"/>
    <col min="7683" max="7683" width="31.625" style="8" customWidth="1"/>
    <col min="7684" max="7684" width="28.125" style="8" customWidth="1"/>
    <col min="7685" max="7686" width="9" style="8"/>
    <col min="7687" max="7687" width="15.25" style="8" customWidth="1"/>
    <col min="7688" max="7688" width="23.125" style="8" customWidth="1"/>
    <col min="7689" max="7690" width="13.375" style="8" bestFit="1" customWidth="1"/>
    <col min="7691" max="7691" width="11.75" style="8" bestFit="1" customWidth="1"/>
    <col min="7692" max="7692" width="12.875" style="8" bestFit="1" customWidth="1"/>
    <col min="7693" max="7693" width="9.125" style="8" bestFit="1" customWidth="1"/>
    <col min="7694" max="7694" width="21.5" style="8" bestFit="1" customWidth="1"/>
    <col min="7695" max="7695" width="19.375" style="8" bestFit="1" customWidth="1"/>
    <col min="7696" max="7696" width="84.875" style="8" bestFit="1" customWidth="1"/>
    <col min="7697" max="7697" width="40" style="8" bestFit="1" customWidth="1"/>
    <col min="7698" max="7698" width="17" style="8" bestFit="1" customWidth="1"/>
    <col min="7699" max="7699" width="16.875" style="8" bestFit="1" customWidth="1"/>
    <col min="7700" max="7700" width="17.75" style="8" bestFit="1" customWidth="1"/>
    <col min="7701" max="7701" width="20" style="8" bestFit="1" customWidth="1"/>
    <col min="7702" max="7702" width="17.625" style="8" bestFit="1" customWidth="1"/>
    <col min="7703" max="7703" width="9.625" style="8" bestFit="1" customWidth="1"/>
    <col min="7704" max="7704" width="14" style="8" bestFit="1" customWidth="1"/>
    <col min="7705" max="7705" width="16.125" style="8" bestFit="1" customWidth="1"/>
    <col min="7706" max="7706" width="18.5" style="8" bestFit="1" customWidth="1"/>
    <col min="7707" max="7707" width="15.75" style="8" bestFit="1" customWidth="1"/>
    <col min="7708" max="7936" width="9" style="8"/>
    <col min="7937" max="7937" width="5.625" style="8" bestFit="1" customWidth="1"/>
    <col min="7938" max="7938" width="23.875" style="8" bestFit="1" customWidth="1"/>
    <col min="7939" max="7939" width="31.625" style="8" customWidth="1"/>
    <col min="7940" max="7940" width="28.125" style="8" customWidth="1"/>
    <col min="7941" max="7942" width="9" style="8"/>
    <col min="7943" max="7943" width="15.25" style="8" customWidth="1"/>
    <col min="7944" max="7944" width="23.125" style="8" customWidth="1"/>
    <col min="7945" max="7946" width="13.375" style="8" bestFit="1" customWidth="1"/>
    <col min="7947" max="7947" width="11.75" style="8" bestFit="1" customWidth="1"/>
    <col min="7948" max="7948" width="12.875" style="8" bestFit="1" customWidth="1"/>
    <col min="7949" max="7949" width="9.125" style="8" bestFit="1" customWidth="1"/>
    <col min="7950" max="7950" width="21.5" style="8" bestFit="1" customWidth="1"/>
    <col min="7951" max="7951" width="19.375" style="8" bestFit="1" customWidth="1"/>
    <col min="7952" max="7952" width="84.875" style="8" bestFit="1" customWidth="1"/>
    <col min="7953" max="7953" width="40" style="8" bestFit="1" customWidth="1"/>
    <col min="7954" max="7954" width="17" style="8" bestFit="1" customWidth="1"/>
    <col min="7955" max="7955" width="16.875" style="8" bestFit="1" customWidth="1"/>
    <col min="7956" max="7956" width="17.75" style="8" bestFit="1" customWidth="1"/>
    <col min="7957" max="7957" width="20" style="8" bestFit="1" customWidth="1"/>
    <col min="7958" max="7958" width="17.625" style="8" bestFit="1" customWidth="1"/>
    <col min="7959" max="7959" width="9.625" style="8" bestFit="1" customWidth="1"/>
    <col min="7960" max="7960" width="14" style="8" bestFit="1" customWidth="1"/>
    <col min="7961" max="7961" width="16.125" style="8" bestFit="1" customWidth="1"/>
    <col min="7962" max="7962" width="18.5" style="8" bestFit="1" customWidth="1"/>
    <col min="7963" max="7963" width="15.75" style="8" bestFit="1" customWidth="1"/>
    <col min="7964" max="8192" width="9" style="8"/>
    <col min="8193" max="8193" width="5.625" style="8" bestFit="1" customWidth="1"/>
    <col min="8194" max="8194" width="23.875" style="8" bestFit="1" customWidth="1"/>
    <col min="8195" max="8195" width="31.625" style="8" customWidth="1"/>
    <col min="8196" max="8196" width="28.125" style="8" customWidth="1"/>
    <col min="8197" max="8198" width="9" style="8"/>
    <col min="8199" max="8199" width="15.25" style="8" customWidth="1"/>
    <col min="8200" max="8200" width="23.125" style="8" customWidth="1"/>
    <col min="8201" max="8202" width="13.375" style="8" bestFit="1" customWidth="1"/>
    <col min="8203" max="8203" width="11.75" style="8" bestFit="1" customWidth="1"/>
    <col min="8204" max="8204" width="12.875" style="8" bestFit="1" customWidth="1"/>
    <col min="8205" max="8205" width="9.125" style="8" bestFit="1" customWidth="1"/>
    <col min="8206" max="8206" width="21.5" style="8" bestFit="1" customWidth="1"/>
    <col min="8207" max="8207" width="19.375" style="8" bestFit="1" customWidth="1"/>
    <col min="8208" max="8208" width="84.875" style="8" bestFit="1" customWidth="1"/>
    <col min="8209" max="8209" width="40" style="8" bestFit="1" customWidth="1"/>
    <col min="8210" max="8210" width="17" style="8" bestFit="1" customWidth="1"/>
    <col min="8211" max="8211" width="16.875" style="8" bestFit="1" customWidth="1"/>
    <col min="8212" max="8212" width="17.75" style="8" bestFit="1" customWidth="1"/>
    <col min="8213" max="8213" width="20" style="8" bestFit="1" customWidth="1"/>
    <col min="8214" max="8214" width="17.625" style="8" bestFit="1" customWidth="1"/>
    <col min="8215" max="8215" width="9.625" style="8" bestFit="1" customWidth="1"/>
    <col min="8216" max="8216" width="14" style="8" bestFit="1" customWidth="1"/>
    <col min="8217" max="8217" width="16.125" style="8" bestFit="1" customWidth="1"/>
    <col min="8218" max="8218" width="18.5" style="8" bestFit="1" customWidth="1"/>
    <col min="8219" max="8219" width="15.75" style="8" bestFit="1" customWidth="1"/>
    <col min="8220" max="8448" width="9" style="8"/>
    <col min="8449" max="8449" width="5.625" style="8" bestFit="1" customWidth="1"/>
    <col min="8450" max="8450" width="23.875" style="8" bestFit="1" customWidth="1"/>
    <col min="8451" max="8451" width="31.625" style="8" customWidth="1"/>
    <col min="8452" max="8452" width="28.125" style="8" customWidth="1"/>
    <col min="8453" max="8454" width="9" style="8"/>
    <col min="8455" max="8455" width="15.25" style="8" customWidth="1"/>
    <col min="8456" max="8456" width="23.125" style="8" customWidth="1"/>
    <col min="8457" max="8458" width="13.375" style="8" bestFit="1" customWidth="1"/>
    <col min="8459" max="8459" width="11.75" style="8" bestFit="1" customWidth="1"/>
    <col min="8460" max="8460" width="12.875" style="8" bestFit="1" customWidth="1"/>
    <col min="8461" max="8461" width="9.125" style="8" bestFit="1" customWidth="1"/>
    <col min="8462" max="8462" width="21.5" style="8" bestFit="1" customWidth="1"/>
    <col min="8463" max="8463" width="19.375" style="8" bestFit="1" customWidth="1"/>
    <col min="8464" max="8464" width="84.875" style="8" bestFit="1" customWidth="1"/>
    <col min="8465" max="8465" width="40" style="8" bestFit="1" customWidth="1"/>
    <col min="8466" max="8466" width="17" style="8" bestFit="1" customWidth="1"/>
    <col min="8467" max="8467" width="16.875" style="8" bestFit="1" customWidth="1"/>
    <col min="8468" max="8468" width="17.75" style="8" bestFit="1" customWidth="1"/>
    <col min="8469" max="8469" width="20" style="8" bestFit="1" customWidth="1"/>
    <col min="8470" max="8470" width="17.625" style="8" bestFit="1" customWidth="1"/>
    <col min="8471" max="8471" width="9.625" style="8" bestFit="1" customWidth="1"/>
    <col min="8472" max="8472" width="14" style="8" bestFit="1" customWidth="1"/>
    <col min="8473" max="8473" width="16.125" style="8" bestFit="1" customWidth="1"/>
    <col min="8474" max="8474" width="18.5" style="8" bestFit="1" customWidth="1"/>
    <col min="8475" max="8475" width="15.75" style="8" bestFit="1" customWidth="1"/>
    <col min="8476" max="8704" width="9" style="8"/>
    <col min="8705" max="8705" width="5.625" style="8" bestFit="1" customWidth="1"/>
    <col min="8706" max="8706" width="23.875" style="8" bestFit="1" customWidth="1"/>
    <col min="8707" max="8707" width="31.625" style="8" customWidth="1"/>
    <col min="8708" max="8708" width="28.125" style="8" customWidth="1"/>
    <col min="8709" max="8710" width="9" style="8"/>
    <col min="8711" max="8711" width="15.25" style="8" customWidth="1"/>
    <col min="8712" max="8712" width="23.125" style="8" customWidth="1"/>
    <col min="8713" max="8714" width="13.375" style="8" bestFit="1" customWidth="1"/>
    <col min="8715" max="8715" width="11.75" style="8" bestFit="1" customWidth="1"/>
    <col min="8716" max="8716" width="12.875" style="8" bestFit="1" customWidth="1"/>
    <col min="8717" max="8717" width="9.125" style="8" bestFit="1" customWidth="1"/>
    <col min="8718" max="8718" width="21.5" style="8" bestFit="1" customWidth="1"/>
    <col min="8719" max="8719" width="19.375" style="8" bestFit="1" customWidth="1"/>
    <col min="8720" max="8720" width="84.875" style="8" bestFit="1" customWidth="1"/>
    <col min="8721" max="8721" width="40" style="8" bestFit="1" customWidth="1"/>
    <col min="8722" max="8722" width="17" style="8" bestFit="1" customWidth="1"/>
    <col min="8723" max="8723" width="16.875" style="8" bestFit="1" customWidth="1"/>
    <col min="8724" max="8724" width="17.75" style="8" bestFit="1" customWidth="1"/>
    <col min="8725" max="8725" width="20" style="8" bestFit="1" customWidth="1"/>
    <col min="8726" max="8726" width="17.625" style="8" bestFit="1" customWidth="1"/>
    <col min="8727" max="8727" width="9.625" style="8" bestFit="1" customWidth="1"/>
    <col min="8728" max="8728" width="14" style="8" bestFit="1" customWidth="1"/>
    <col min="8729" max="8729" width="16.125" style="8" bestFit="1" customWidth="1"/>
    <col min="8730" max="8730" width="18.5" style="8" bestFit="1" customWidth="1"/>
    <col min="8731" max="8731" width="15.75" style="8" bestFit="1" customWidth="1"/>
    <col min="8732" max="8960" width="9" style="8"/>
    <col min="8961" max="8961" width="5.625" style="8" bestFit="1" customWidth="1"/>
    <col min="8962" max="8962" width="23.875" style="8" bestFit="1" customWidth="1"/>
    <col min="8963" max="8963" width="31.625" style="8" customWidth="1"/>
    <col min="8964" max="8964" width="28.125" style="8" customWidth="1"/>
    <col min="8965" max="8966" width="9" style="8"/>
    <col min="8967" max="8967" width="15.25" style="8" customWidth="1"/>
    <col min="8968" max="8968" width="23.125" style="8" customWidth="1"/>
    <col min="8969" max="8970" width="13.375" style="8" bestFit="1" customWidth="1"/>
    <col min="8971" max="8971" width="11.75" style="8" bestFit="1" customWidth="1"/>
    <col min="8972" max="8972" width="12.875" style="8" bestFit="1" customWidth="1"/>
    <col min="8973" max="8973" width="9.125" style="8" bestFit="1" customWidth="1"/>
    <col min="8974" max="8974" width="21.5" style="8" bestFit="1" customWidth="1"/>
    <col min="8975" max="8975" width="19.375" style="8" bestFit="1" customWidth="1"/>
    <col min="8976" max="8976" width="84.875" style="8" bestFit="1" customWidth="1"/>
    <col min="8977" max="8977" width="40" style="8" bestFit="1" customWidth="1"/>
    <col min="8978" max="8978" width="17" style="8" bestFit="1" customWidth="1"/>
    <col min="8979" max="8979" width="16.875" style="8" bestFit="1" customWidth="1"/>
    <col min="8980" max="8980" width="17.75" style="8" bestFit="1" customWidth="1"/>
    <col min="8981" max="8981" width="20" style="8" bestFit="1" customWidth="1"/>
    <col min="8982" max="8982" width="17.625" style="8" bestFit="1" customWidth="1"/>
    <col min="8983" max="8983" width="9.625" style="8" bestFit="1" customWidth="1"/>
    <col min="8984" max="8984" width="14" style="8" bestFit="1" customWidth="1"/>
    <col min="8985" max="8985" width="16.125" style="8" bestFit="1" customWidth="1"/>
    <col min="8986" max="8986" width="18.5" style="8" bestFit="1" customWidth="1"/>
    <col min="8987" max="8987" width="15.75" style="8" bestFit="1" customWidth="1"/>
    <col min="8988" max="9216" width="9" style="8"/>
    <col min="9217" max="9217" width="5.625" style="8" bestFit="1" customWidth="1"/>
    <col min="9218" max="9218" width="23.875" style="8" bestFit="1" customWidth="1"/>
    <col min="9219" max="9219" width="31.625" style="8" customWidth="1"/>
    <col min="9220" max="9220" width="28.125" style="8" customWidth="1"/>
    <col min="9221" max="9222" width="9" style="8"/>
    <col min="9223" max="9223" width="15.25" style="8" customWidth="1"/>
    <col min="9224" max="9224" width="23.125" style="8" customWidth="1"/>
    <col min="9225" max="9226" width="13.375" style="8" bestFit="1" customWidth="1"/>
    <col min="9227" max="9227" width="11.75" style="8" bestFit="1" customWidth="1"/>
    <col min="9228" max="9228" width="12.875" style="8" bestFit="1" customWidth="1"/>
    <col min="9229" max="9229" width="9.125" style="8" bestFit="1" customWidth="1"/>
    <col min="9230" max="9230" width="21.5" style="8" bestFit="1" customWidth="1"/>
    <col min="9231" max="9231" width="19.375" style="8" bestFit="1" customWidth="1"/>
    <col min="9232" max="9232" width="84.875" style="8" bestFit="1" customWidth="1"/>
    <col min="9233" max="9233" width="40" style="8" bestFit="1" customWidth="1"/>
    <col min="9234" max="9234" width="17" style="8" bestFit="1" customWidth="1"/>
    <col min="9235" max="9235" width="16.875" style="8" bestFit="1" customWidth="1"/>
    <col min="9236" max="9236" width="17.75" style="8" bestFit="1" customWidth="1"/>
    <col min="9237" max="9237" width="20" style="8" bestFit="1" customWidth="1"/>
    <col min="9238" max="9238" width="17.625" style="8" bestFit="1" customWidth="1"/>
    <col min="9239" max="9239" width="9.625" style="8" bestFit="1" customWidth="1"/>
    <col min="9240" max="9240" width="14" style="8" bestFit="1" customWidth="1"/>
    <col min="9241" max="9241" width="16.125" style="8" bestFit="1" customWidth="1"/>
    <col min="9242" max="9242" width="18.5" style="8" bestFit="1" customWidth="1"/>
    <col min="9243" max="9243" width="15.75" style="8" bestFit="1" customWidth="1"/>
    <col min="9244" max="9472" width="9" style="8"/>
    <col min="9473" max="9473" width="5.625" style="8" bestFit="1" customWidth="1"/>
    <col min="9474" max="9474" width="23.875" style="8" bestFit="1" customWidth="1"/>
    <col min="9475" max="9475" width="31.625" style="8" customWidth="1"/>
    <col min="9476" max="9476" width="28.125" style="8" customWidth="1"/>
    <col min="9477" max="9478" width="9" style="8"/>
    <col min="9479" max="9479" width="15.25" style="8" customWidth="1"/>
    <col min="9480" max="9480" width="23.125" style="8" customWidth="1"/>
    <col min="9481" max="9482" width="13.375" style="8" bestFit="1" customWidth="1"/>
    <col min="9483" max="9483" width="11.75" style="8" bestFit="1" customWidth="1"/>
    <col min="9484" max="9484" width="12.875" style="8" bestFit="1" customWidth="1"/>
    <col min="9485" max="9485" width="9.125" style="8" bestFit="1" customWidth="1"/>
    <col min="9486" max="9486" width="21.5" style="8" bestFit="1" customWidth="1"/>
    <col min="9487" max="9487" width="19.375" style="8" bestFit="1" customWidth="1"/>
    <col min="9488" max="9488" width="84.875" style="8" bestFit="1" customWidth="1"/>
    <col min="9489" max="9489" width="40" style="8" bestFit="1" customWidth="1"/>
    <col min="9490" max="9490" width="17" style="8" bestFit="1" customWidth="1"/>
    <col min="9491" max="9491" width="16.875" style="8" bestFit="1" customWidth="1"/>
    <col min="9492" max="9492" width="17.75" style="8" bestFit="1" customWidth="1"/>
    <col min="9493" max="9493" width="20" style="8" bestFit="1" customWidth="1"/>
    <col min="9494" max="9494" width="17.625" style="8" bestFit="1" customWidth="1"/>
    <col min="9495" max="9495" width="9.625" style="8" bestFit="1" customWidth="1"/>
    <col min="9496" max="9496" width="14" style="8" bestFit="1" customWidth="1"/>
    <col min="9497" max="9497" width="16.125" style="8" bestFit="1" customWidth="1"/>
    <col min="9498" max="9498" width="18.5" style="8" bestFit="1" customWidth="1"/>
    <col min="9499" max="9499" width="15.75" style="8" bestFit="1" customWidth="1"/>
    <col min="9500" max="9728" width="9" style="8"/>
    <col min="9729" max="9729" width="5.625" style="8" bestFit="1" customWidth="1"/>
    <col min="9730" max="9730" width="23.875" style="8" bestFit="1" customWidth="1"/>
    <col min="9731" max="9731" width="31.625" style="8" customWidth="1"/>
    <col min="9732" max="9732" width="28.125" style="8" customWidth="1"/>
    <col min="9733" max="9734" width="9" style="8"/>
    <col min="9735" max="9735" width="15.25" style="8" customWidth="1"/>
    <col min="9736" max="9736" width="23.125" style="8" customWidth="1"/>
    <col min="9737" max="9738" width="13.375" style="8" bestFit="1" customWidth="1"/>
    <col min="9739" max="9739" width="11.75" style="8" bestFit="1" customWidth="1"/>
    <col min="9740" max="9740" width="12.875" style="8" bestFit="1" customWidth="1"/>
    <col min="9741" max="9741" width="9.125" style="8" bestFit="1" customWidth="1"/>
    <col min="9742" max="9742" width="21.5" style="8" bestFit="1" customWidth="1"/>
    <col min="9743" max="9743" width="19.375" style="8" bestFit="1" customWidth="1"/>
    <col min="9744" max="9744" width="84.875" style="8" bestFit="1" customWidth="1"/>
    <col min="9745" max="9745" width="40" style="8" bestFit="1" customWidth="1"/>
    <col min="9746" max="9746" width="17" style="8" bestFit="1" customWidth="1"/>
    <col min="9747" max="9747" width="16.875" style="8" bestFit="1" customWidth="1"/>
    <col min="9748" max="9748" width="17.75" style="8" bestFit="1" customWidth="1"/>
    <col min="9749" max="9749" width="20" style="8" bestFit="1" customWidth="1"/>
    <col min="9750" max="9750" width="17.625" style="8" bestFit="1" customWidth="1"/>
    <col min="9751" max="9751" width="9.625" style="8" bestFit="1" customWidth="1"/>
    <col min="9752" max="9752" width="14" style="8" bestFit="1" customWidth="1"/>
    <col min="9753" max="9753" width="16.125" style="8" bestFit="1" customWidth="1"/>
    <col min="9754" max="9754" width="18.5" style="8" bestFit="1" customWidth="1"/>
    <col min="9755" max="9755" width="15.75" style="8" bestFit="1" customWidth="1"/>
    <col min="9756" max="9984" width="9" style="8"/>
    <col min="9985" max="9985" width="5.625" style="8" bestFit="1" customWidth="1"/>
    <col min="9986" max="9986" width="23.875" style="8" bestFit="1" customWidth="1"/>
    <col min="9987" max="9987" width="31.625" style="8" customWidth="1"/>
    <col min="9988" max="9988" width="28.125" style="8" customWidth="1"/>
    <col min="9989" max="9990" width="9" style="8"/>
    <col min="9991" max="9991" width="15.25" style="8" customWidth="1"/>
    <col min="9992" max="9992" width="23.125" style="8" customWidth="1"/>
    <col min="9993" max="9994" width="13.375" style="8" bestFit="1" customWidth="1"/>
    <col min="9995" max="9995" width="11.75" style="8" bestFit="1" customWidth="1"/>
    <col min="9996" max="9996" width="12.875" style="8" bestFit="1" customWidth="1"/>
    <col min="9997" max="9997" width="9.125" style="8" bestFit="1" customWidth="1"/>
    <col min="9998" max="9998" width="21.5" style="8" bestFit="1" customWidth="1"/>
    <col min="9999" max="9999" width="19.375" style="8" bestFit="1" customWidth="1"/>
    <col min="10000" max="10000" width="84.875" style="8" bestFit="1" customWidth="1"/>
    <col min="10001" max="10001" width="40" style="8" bestFit="1" customWidth="1"/>
    <col min="10002" max="10002" width="17" style="8" bestFit="1" customWidth="1"/>
    <col min="10003" max="10003" width="16.875" style="8" bestFit="1" customWidth="1"/>
    <col min="10004" max="10004" width="17.75" style="8" bestFit="1" customWidth="1"/>
    <col min="10005" max="10005" width="20" style="8" bestFit="1" customWidth="1"/>
    <col min="10006" max="10006" width="17.625" style="8" bestFit="1" customWidth="1"/>
    <col min="10007" max="10007" width="9.625" style="8" bestFit="1" customWidth="1"/>
    <col min="10008" max="10008" width="14" style="8" bestFit="1" customWidth="1"/>
    <col min="10009" max="10009" width="16.125" style="8" bestFit="1" customWidth="1"/>
    <col min="10010" max="10010" width="18.5" style="8" bestFit="1" customWidth="1"/>
    <col min="10011" max="10011" width="15.75" style="8" bestFit="1" customWidth="1"/>
    <col min="10012" max="10240" width="9" style="8"/>
    <col min="10241" max="10241" width="5.625" style="8" bestFit="1" customWidth="1"/>
    <col min="10242" max="10242" width="23.875" style="8" bestFit="1" customWidth="1"/>
    <col min="10243" max="10243" width="31.625" style="8" customWidth="1"/>
    <col min="10244" max="10244" width="28.125" style="8" customWidth="1"/>
    <col min="10245" max="10246" width="9" style="8"/>
    <col min="10247" max="10247" width="15.25" style="8" customWidth="1"/>
    <col min="10248" max="10248" width="23.125" style="8" customWidth="1"/>
    <col min="10249" max="10250" width="13.375" style="8" bestFit="1" customWidth="1"/>
    <col min="10251" max="10251" width="11.75" style="8" bestFit="1" customWidth="1"/>
    <col min="10252" max="10252" width="12.875" style="8" bestFit="1" customWidth="1"/>
    <col min="10253" max="10253" width="9.125" style="8" bestFit="1" customWidth="1"/>
    <col min="10254" max="10254" width="21.5" style="8" bestFit="1" customWidth="1"/>
    <col min="10255" max="10255" width="19.375" style="8" bestFit="1" customWidth="1"/>
    <col min="10256" max="10256" width="84.875" style="8" bestFit="1" customWidth="1"/>
    <col min="10257" max="10257" width="40" style="8" bestFit="1" customWidth="1"/>
    <col min="10258" max="10258" width="17" style="8" bestFit="1" customWidth="1"/>
    <col min="10259" max="10259" width="16.875" style="8" bestFit="1" customWidth="1"/>
    <col min="10260" max="10260" width="17.75" style="8" bestFit="1" customWidth="1"/>
    <col min="10261" max="10261" width="20" style="8" bestFit="1" customWidth="1"/>
    <col min="10262" max="10262" width="17.625" style="8" bestFit="1" customWidth="1"/>
    <col min="10263" max="10263" width="9.625" style="8" bestFit="1" customWidth="1"/>
    <col min="10264" max="10264" width="14" style="8" bestFit="1" customWidth="1"/>
    <col min="10265" max="10265" width="16.125" style="8" bestFit="1" customWidth="1"/>
    <col min="10266" max="10266" width="18.5" style="8" bestFit="1" customWidth="1"/>
    <col min="10267" max="10267" width="15.75" style="8" bestFit="1" customWidth="1"/>
    <col min="10268" max="10496" width="9" style="8"/>
    <col min="10497" max="10497" width="5.625" style="8" bestFit="1" customWidth="1"/>
    <col min="10498" max="10498" width="23.875" style="8" bestFit="1" customWidth="1"/>
    <col min="10499" max="10499" width="31.625" style="8" customWidth="1"/>
    <col min="10500" max="10500" width="28.125" style="8" customWidth="1"/>
    <col min="10501" max="10502" width="9" style="8"/>
    <col min="10503" max="10503" width="15.25" style="8" customWidth="1"/>
    <col min="10504" max="10504" width="23.125" style="8" customWidth="1"/>
    <col min="10505" max="10506" width="13.375" style="8" bestFit="1" customWidth="1"/>
    <col min="10507" max="10507" width="11.75" style="8" bestFit="1" customWidth="1"/>
    <col min="10508" max="10508" width="12.875" style="8" bestFit="1" customWidth="1"/>
    <col min="10509" max="10509" width="9.125" style="8" bestFit="1" customWidth="1"/>
    <col min="10510" max="10510" width="21.5" style="8" bestFit="1" customWidth="1"/>
    <col min="10511" max="10511" width="19.375" style="8" bestFit="1" customWidth="1"/>
    <col min="10512" max="10512" width="84.875" style="8" bestFit="1" customWidth="1"/>
    <col min="10513" max="10513" width="40" style="8" bestFit="1" customWidth="1"/>
    <col min="10514" max="10514" width="17" style="8" bestFit="1" customWidth="1"/>
    <col min="10515" max="10515" width="16.875" style="8" bestFit="1" customWidth="1"/>
    <col min="10516" max="10516" width="17.75" style="8" bestFit="1" customWidth="1"/>
    <col min="10517" max="10517" width="20" style="8" bestFit="1" customWidth="1"/>
    <col min="10518" max="10518" width="17.625" style="8" bestFit="1" customWidth="1"/>
    <col min="10519" max="10519" width="9.625" style="8" bestFit="1" customWidth="1"/>
    <col min="10520" max="10520" width="14" style="8" bestFit="1" customWidth="1"/>
    <col min="10521" max="10521" width="16.125" style="8" bestFit="1" customWidth="1"/>
    <col min="10522" max="10522" width="18.5" style="8" bestFit="1" customWidth="1"/>
    <col min="10523" max="10523" width="15.75" style="8" bestFit="1" customWidth="1"/>
    <col min="10524" max="10752" width="9" style="8"/>
    <col min="10753" max="10753" width="5.625" style="8" bestFit="1" customWidth="1"/>
    <col min="10754" max="10754" width="23.875" style="8" bestFit="1" customWidth="1"/>
    <col min="10755" max="10755" width="31.625" style="8" customWidth="1"/>
    <col min="10756" max="10756" width="28.125" style="8" customWidth="1"/>
    <col min="10757" max="10758" width="9" style="8"/>
    <col min="10759" max="10759" width="15.25" style="8" customWidth="1"/>
    <col min="10760" max="10760" width="23.125" style="8" customWidth="1"/>
    <col min="10761" max="10762" width="13.375" style="8" bestFit="1" customWidth="1"/>
    <col min="10763" max="10763" width="11.75" style="8" bestFit="1" customWidth="1"/>
    <col min="10764" max="10764" width="12.875" style="8" bestFit="1" customWidth="1"/>
    <col min="10765" max="10765" width="9.125" style="8" bestFit="1" customWidth="1"/>
    <col min="10766" max="10766" width="21.5" style="8" bestFit="1" customWidth="1"/>
    <col min="10767" max="10767" width="19.375" style="8" bestFit="1" customWidth="1"/>
    <col min="10768" max="10768" width="84.875" style="8" bestFit="1" customWidth="1"/>
    <col min="10769" max="10769" width="40" style="8" bestFit="1" customWidth="1"/>
    <col min="10770" max="10770" width="17" style="8" bestFit="1" customWidth="1"/>
    <col min="10771" max="10771" width="16.875" style="8" bestFit="1" customWidth="1"/>
    <col min="10772" max="10772" width="17.75" style="8" bestFit="1" customWidth="1"/>
    <col min="10773" max="10773" width="20" style="8" bestFit="1" customWidth="1"/>
    <col min="10774" max="10774" width="17.625" style="8" bestFit="1" customWidth="1"/>
    <col min="10775" max="10775" width="9.625" style="8" bestFit="1" customWidth="1"/>
    <col min="10776" max="10776" width="14" style="8" bestFit="1" customWidth="1"/>
    <col min="10777" max="10777" width="16.125" style="8" bestFit="1" customWidth="1"/>
    <col min="10778" max="10778" width="18.5" style="8" bestFit="1" customWidth="1"/>
    <col min="10779" max="10779" width="15.75" style="8" bestFit="1" customWidth="1"/>
    <col min="10780" max="11008" width="9" style="8"/>
    <col min="11009" max="11009" width="5.625" style="8" bestFit="1" customWidth="1"/>
    <col min="11010" max="11010" width="23.875" style="8" bestFit="1" customWidth="1"/>
    <col min="11011" max="11011" width="31.625" style="8" customWidth="1"/>
    <col min="11012" max="11012" width="28.125" style="8" customWidth="1"/>
    <col min="11013" max="11014" width="9" style="8"/>
    <col min="11015" max="11015" width="15.25" style="8" customWidth="1"/>
    <col min="11016" max="11016" width="23.125" style="8" customWidth="1"/>
    <col min="11017" max="11018" width="13.375" style="8" bestFit="1" customWidth="1"/>
    <col min="11019" max="11019" width="11.75" style="8" bestFit="1" customWidth="1"/>
    <col min="11020" max="11020" width="12.875" style="8" bestFit="1" customWidth="1"/>
    <col min="11021" max="11021" width="9.125" style="8" bestFit="1" customWidth="1"/>
    <col min="11022" max="11022" width="21.5" style="8" bestFit="1" customWidth="1"/>
    <col min="11023" max="11023" width="19.375" style="8" bestFit="1" customWidth="1"/>
    <col min="11024" max="11024" width="84.875" style="8" bestFit="1" customWidth="1"/>
    <col min="11025" max="11025" width="40" style="8" bestFit="1" customWidth="1"/>
    <col min="11026" max="11026" width="17" style="8" bestFit="1" customWidth="1"/>
    <col min="11027" max="11027" width="16.875" style="8" bestFit="1" customWidth="1"/>
    <col min="11028" max="11028" width="17.75" style="8" bestFit="1" customWidth="1"/>
    <col min="11029" max="11029" width="20" style="8" bestFit="1" customWidth="1"/>
    <col min="11030" max="11030" width="17.625" style="8" bestFit="1" customWidth="1"/>
    <col min="11031" max="11031" width="9.625" style="8" bestFit="1" customWidth="1"/>
    <col min="11032" max="11032" width="14" style="8" bestFit="1" customWidth="1"/>
    <col min="11033" max="11033" width="16.125" style="8" bestFit="1" customWidth="1"/>
    <col min="11034" max="11034" width="18.5" style="8" bestFit="1" customWidth="1"/>
    <col min="11035" max="11035" width="15.75" style="8" bestFit="1" customWidth="1"/>
    <col min="11036" max="11264" width="9" style="8"/>
    <col min="11265" max="11265" width="5.625" style="8" bestFit="1" customWidth="1"/>
    <col min="11266" max="11266" width="23.875" style="8" bestFit="1" customWidth="1"/>
    <col min="11267" max="11267" width="31.625" style="8" customWidth="1"/>
    <col min="11268" max="11268" width="28.125" style="8" customWidth="1"/>
    <col min="11269" max="11270" width="9" style="8"/>
    <col min="11271" max="11271" width="15.25" style="8" customWidth="1"/>
    <col min="11272" max="11272" width="23.125" style="8" customWidth="1"/>
    <col min="11273" max="11274" width="13.375" style="8" bestFit="1" customWidth="1"/>
    <col min="11275" max="11275" width="11.75" style="8" bestFit="1" customWidth="1"/>
    <col min="11276" max="11276" width="12.875" style="8" bestFit="1" customWidth="1"/>
    <col min="11277" max="11277" width="9.125" style="8" bestFit="1" customWidth="1"/>
    <col min="11278" max="11278" width="21.5" style="8" bestFit="1" customWidth="1"/>
    <col min="11279" max="11279" width="19.375" style="8" bestFit="1" customWidth="1"/>
    <col min="11280" max="11280" width="84.875" style="8" bestFit="1" customWidth="1"/>
    <col min="11281" max="11281" width="40" style="8" bestFit="1" customWidth="1"/>
    <col min="11282" max="11282" width="17" style="8" bestFit="1" customWidth="1"/>
    <col min="11283" max="11283" width="16.875" style="8" bestFit="1" customWidth="1"/>
    <col min="11284" max="11284" width="17.75" style="8" bestFit="1" customWidth="1"/>
    <col min="11285" max="11285" width="20" style="8" bestFit="1" customWidth="1"/>
    <col min="11286" max="11286" width="17.625" style="8" bestFit="1" customWidth="1"/>
    <col min="11287" max="11287" width="9.625" style="8" bestFit="1" customWidth="1"/>
    <col min="11288" max="11288" width="14" style="8" bestFit="1" customWidth="1"/>
    <col min="11289" max="11289" width="16.125" style="8" bestFit="1" customWidth="1"/>
    <col min="11290" max="11290" width="18.5" style="8" bestFit="1" customWidth="1"/>
    <col min="11291" max="11291" width="15.75" style="8" bestFit="1" customWidth="1"/>
    <col min="11292" max="11520" width="9" style="8"/>
    <col min="11521" max="11521" width="5.625" style="8" bestFit="1" customWidth="1"/>
    <col min="11522" max="11522" width="23.875" style="8" bestFit="1" customWidth="1"/>
    <col min="11523" max="11523" width="31.625" style="8" customWidth="1"/>
    <col min="11524" max="11524" width="28.125" style="8" customWidth="1"/>
    <col min="11525" max="11526" width="9" style="8"/>
    <col min="11527" max="11527" width="15.25" style="8" customWidth="1"/>
    <col min="11528" max="11528" width="23.125" style="8" customWidth="1"/>
    <col min="11529" max="11530" width="13.375" style="8" bestFit="1" customWidth="1"/>
    <col min="11531" max="11531" width="11.75" style="8" bestFit="1" customWidth="1"/>
    <col min="11532" max="11532" width="12.875" style="8" bestFit="1" customWidth="1"/>
    <col min="11533" max="11533" width="9.125" style="8" bestFit="1" customWidth="1"/>
    <col min="11534" max="11534" width="21.5" style="8" bestFit="1" customWidth="1"/>
    <col min="11535" max="11535" width="19.375" style="8" bestFit="1" customWidth="1"/>
    <col min="11536" max="11536" width="84.875" style="8" bestFit="1" customWidth="1"/>
    <col min="11537" max="11537" width="40" style="8" bestFit="1" customWidth="1"/>
    <col min="11538" max="11538" width="17" style="8" bestFit="1" customWidth="1"/>
    <col min="11539" max="11539" width="16.875" style="8" bestFit="1" customWidth="1"/>
    <col min="11540" max="11540" width="17.75" style="8" bestFit="1" customWidth="1"/>
    <col min="11541" max="11541" width="20" style="8" bestFit="1" customWidth="1"/>
    <col min="11542" max="11542" width="17.625" style="8" bestFit="1" customWidth="1"/>
    <col min="11543" max="11543" width="9.625" style="8" bestFit="1" customWidth="1"/>
    <col min="11544" max="11544" width="14" style="8" bestFit="1" customWidth="1"/>
    <col min="11545" max="11545" width="16.125" style="8" bestFit="1" customWidth="1"/>
    <col min="11546" max="11546" width="18.5" style="8" bestFit="1" customWidth="1"/>
    <col min="11547" max="11547" width="15.75" style="8" bestFit="1" customWidth="1"/>
    <col min="11548" max="11776" width="9" style="8"/>
    <col min="11777" max="11777" width="5.625" style="8" bestFit="1" customWidth="1"/>
    <col min="11778" max="11778" width="23.875" style="8" bestFit="1" customWidth="1"/>
    <col min="11779" max="11779" width="31.625" style="8" customWidth="1"/>
    <col min="11780" max="11780" width="28.125" style="8" customWidth="1"/>
    <col min="11781" max="11782" width="9" style="8"/>
    <col min="11783" max="11783" width="15.25" style="8" customWidth="1"/>
    <col min="11784" max="11784" width="23.125" style="8" customWidth="1"/>
    <col min="11785" max="11786" width="13.375" style="8" bestFit="1" customWidth="1"/>
    <col min="11787" max="11787" width="11.75" style="8" bestFit="1" customWidth="1"/>
    <col min="11788" max="11788" width="12.875" style="8" bestFit="1" customWidth="1"/>
    <col min="11789" max="11789" width="9.125" style="8" bestFit="1" customWidth="1"/>
    <col min="11790" max="11790" width="21.5" style="8" bestFit="1" customWidth="1"/>
    <col min="11791" max="11791" width="19.375" style="8" bestFit="1" customWidth="1"/>
    <col min="11792" max="11792" width="84.875" style="8" bestFit="1" customWidth="1"/>
    <col min="11793" max="11793" width="40" style="8" bestFit="1" customWidth="1"/>
    <col min="11794" max="11794" width="17" style="8" bestFit="1" customWidth="1"/>
    <col min="11795" max="11795" width="16.875" style="8" bestFit="1" customWidth="1"/>
    <col min="11796" max="11796" width="17.75" style="8" bestFit="1" customWidth="1"/>
    <col min="11797" max="11797" width="20" style="8" bestFit="1" customWidth="1"/>
    <col min="11798" max="11798" width="17.625" style="8" bestFit="1" customWidth="1"/>
    <col min="11799" max="11799" width="9.625" style="8" bestFit="1" customWidth="1"/>
    <col min="11800" max="11800" width="14" style="8" bestFit="1" customWidth="1"/>
    <col min="11801" max="11801" width="16.125" style="8" bestFit="1" customWidth="1"/>
    <col min="11802" max="11802" width="18.5" style="8" bestFit="1" customWidth="1"/>
    <col min="11803" max="11803" width="15.75" style="8" bestFit="1" customWidth="1"/>
    <col min="11804" max="12032" width="9" style="8"/>
    <col min="12033" max="12033" width="5.625" style="8" bestFit="1" customWidth="1"/>
    <col min="12034" max="12034" width="23.875" style="8" bestFit="1" customWidth="1"/>
    <col min="12035" max="12035" width="31.625" style="8" customWidth="1"/>
    <col min="12036" max="12036" width="28.125" style="8" customWidth="1"/>
    <col min="12037" max="12038" width="9" style="8"/>
    <col min="12039" max="12039" width="15.25" style="8" customWidth="1"/>
    <col min="12040" max="12040" width="23.125" style="8" customWidth="1"/>
    <col min="12041" max="12042" width="13.375" style="8" bestFit="1" customWidth="1"/>
    <col min="12043" max="12043" width="11.75" style="8" bestFit="1" customWidth="1"/>
    <col min="12044" max="12044" width="12.875" style="8" bestFit="1" customWidth="1"/>
    <col min="12045" max="12045" width="9.125" style="8" bestFit="1" customWidth="1"/>
    <col min="12046" max="12046" width="21.5" style="8" bestFit="1" customWidth="1"/>
    <col min="12047" max="12047" width="19.375" style="8" bestFit="1" customWidth="1"/>
    <col min="12048" max="12048" width="84.875" style="8" bestFit="1" customWidth="1"/>
    <col min="12049" max="12049" width="40" style="8" bestFit="1" customWidth="1"/>
    <col min="12050" max="12050" width="17" style="8" bestFit="1" customWidth="1"/>
    <col min="12051" max="12051" width="16.875" style="8" bestFit="1" customWidth="1"/>
    <col min="12052" max="12052" width="17.75" style="8" bestFit="1" customWidth="1"/>
    <col min="12053" max="12053" width="20" style="8" bestFit="1" customWidth="1"/>
    <col min="12054" max="12054" width="17.625" style="8" bestFit="1" customWidth="1"/>
    <col min="12055" max="12055" width="9.625" style="8" bestFit="1" customWidth="1"/>
    <col min="12056" max="12056" width="14" style="8" bestFit="1" customWidth="1"/>
    <col min="12057" max="12057" width="16.125" style="8" bestFit="1" customWidth="1"/>
    <col min="12058" max="12058" width="18.5" style="8" bestFit="1" customWidth="1"/>
    <col min="12059" max="12059" width="15.75" style="8" bestFit="1" customWidth="1"/>
    <col min="12060" max="12288" width="9" style="8"/>
    <col min="12289" max="12289" width="5.625" style="8" bestFit="1" customWidth="1"/>
    <col min="12290" max="12290" width="23.875" style="8" bestFit="1" customWidth="1"/>
    <col min="12291" max="12291" width="31.625" style="8" customWidth="1"/>
    <col min="12292" max="12292" width="28.125" style="8" customWidth="1"/>
    <col min="12293" max="12294" width="9" style="8"/>
    <col min="12295" max="12295" width="15.25" style="8" customWidth="1"/>
    <col min="12296" max="12296" width="23.125" style="8" customWidth="1"/>
    <col min="12297" max="12298" width="13.375" style="8" bestFit="1" customWidth="1"/>
    <col min="12299" max="12299" width="11.75" style="8" bestFit="1" customWidth="1"/>
    <col min="12300" max="12300" width="12.875" style="8" bestFit="1" customWidth="1"/>
    <col min="12301" max="12301" width="9.125" style="8" bestFit="1" customWidth="1"/>
    <col min="12302" max="12302" width="21.5" style="8" bestFit="1" customWidth="1"/>
    <col min="12303" max="12303" width="19.375" style="8" bestFit="1" customWidth="1"/>
    <col min="12304" max="12304" width="84.875" style="8" bestFit="1" customWidth="1"/>
    <col min="12305" max="12305" width="40" style="8" bestFit="1" customWidth="1"/>
    <col min="12306" max="12306" width="17" style="8" bestFit="1" customWidth="1"/>
    <col min="12307" max="12307" width="16.875" style="8" bestFit="1" customWidth="1"/>
    <col min="12308" max="12308" width="17.75" style="8" bestFit="1" customWidth="1"/>
    <col min="12309" max="12309" width="20" style="8" bestFit="1" customWidth="1"/>
    <col min="12310" max="12310" width="17.625" style="8" bestFit="1" customWidth="1"/>
    <col min="12311" max="12311" width="9.625" style="8" bestFit="1" customWidth="1"/>
    <col min="12312" max="12312" width="14" style="8" bestFit="1" customWidth="1"/>
    <col min="12313" max="12313" width="16.125" style="8" bestFit="1" customWidth="1"/>
    <col min="12314" max="12314" width="18.5" style="8" bestFit="1" customWidth="1"/>
    <col min="12315" max="12315" width="15.75" style="8" bestFit="1" customWidth="1"/>
    <col min="12316" max="12544" width="9" style="8"/>
    <col min="12545" max="12545" width="5.625" style="8" bestFit="1" customWidth="1"/>
    <col min="12546" max="12546" width="23.875" style="8" bestFit="1" customWidth="1"/>
    <col min="12547" max="12547" width="31.625" style="8" customWidth="1"/>
    <col min="12548" max="12548" width="28.125" style="8" customWidth="1"/>
    <col min="12549" max="12550" width="9" style="8"/>
    <col min="12551" max="12551" width="15.25" style="8" customWidth="1"/>
    <col min="12552" max="12552" width="23.125" style="8" customWidth="1"/>
    <col min="12553" max="12554" width="13.375" style="8" bestFit="1" customWidth="1"/>
    <col min="12555" max="12555" width="11.75" style="8" bestFit="1" customWidth="1"/>
    <col min="12556" max="12556" width="12.875" style="8" bestFit="1" customWidth="1"/>
    <col min="12557" max="12557" width="9.125" style="8" bestFit="1" customWidth="1"/>
    <col min="12558" max="12558" width="21.5" style="8" bestFit="1" customWidth="1"/>
    <col min="12559" max="12559" width="19.375" style="8" bestFit="1" customWidth="1"/>
    <col min="12560" max="12560" width="84.875" style="8" bestFit="1" customWidth="1"/>
    <col min="12561" max="12561" width="40" style="8" bestFit="1" customWidth="1"/>
    <col min="12562" max="12562" width="17" style="8" bestFit="1" customWidth="1"/>
    <col min="12563" max="12563" width="16.875" style="8" bestFit="1" customWidth="1"/>
    <col min="12564" max="12564" width="17.75" style="8" bestFit="1" customWidth="1"/>
    <col min="12565" max="12565" width="20" style="8" bestFit="1" customWidth="1"/>
    <col min="12566" max="12566" width="17.625" style="8" bestFit="1" customWidth="1"/>
    <col min="12567" max="12567" width="9.625" style="8" bestFit="1" customWidth="1"/>
    <col min="12568" max="12568" width="14" style="8" bestFit="1" customWidth="1"/>
    <col min="12569" max="12569" width="16.125" style="8" bestFit="1" customWidth="1"/>
    <col min="12570" max="12570" width="18.5" style="8" bestFit="1" customWidth="1"/>
    <col min="12571" max="12571" width="15.75" style="8" bestFit="1" customWidth="1"/>
    <col min="12572" max="12800" width="9" style="8"/>
    <col min="12801" max="12801" width="5.625" style="8" bestFit="1" customWidth="1"/>
    <col min="12802" max="12802" width="23.875" style="8" bestFit="1" customWidth="1"/>
    <col min="12803" max="12803" width="31.625" style="8" customWidth="1"/>
    <col min="12804" max="12804" width="28.125" style="8" customWidth="1"/>
    <col min="12805" max="12806" width="9" style="8"/>
    <col min="12807" max="12807" width="15.25" style="8" customWidth="1"/>
    <col min="12808" max="12808" width="23.125" style="8" customWidth="1"/>
    <col min="12809" max="12810" width="13.375" style="8" bestFit="1" customWidth="1"/>
    <col min="12811" max="12811" width="11.75" style="8" bestFit="1" customWidth="1"/>
    <col min="12812" max="12812" width="12.875" style="8" bestFit="1" customWidth="1"/>
    <col min="12813" max="12813" width="9.125" style="8" bestFit="1" customWidth="1"/>
    <col min="12814" max="12814" width="21.5" style="8" bestFit="1" customWidth="1"/>
    <col min="12815" max="12815" width="19.375" style="8" bestFit="1" customWidth="1"/>
    <col min="12816" max="12816" width="84.875" style="8" bestFit="1" customWidth="1"/>
    <col min="12817" max="12817" width="40" style="8" bestFit="1" customWidth="1"/>
    <col min="12818" max="12818" width="17" style="8" bestFit="1" customWidth="1"/>
    <col min="12819" max="12819" width="16.875" style="8" bestFit="1" customWidth="1"/>
    <col min="12820" max="12820" width="17.75" style="8" bestFit="1" customWidth="1"/>
    <col min="12821" max="12821" width="20" style="8" bestFit="1" customWidth="1"/>
    <col min="12822" max="12822" width="17.625" style="8" bestFit="1" customWidth="1"/>
    <col min="12823" max="12823" width="9.625" style="8" bestFit="1" customWidth="1"/>
    <col min="12824" max="12824" width="14" style="8" bestFit="1" customWidth="1"/>
    <col min="12825" max="12825" width="16.125" style="8" bestFit="1" customWidth="1"/>
    <col min="12826" max="12826" width="18.5" style="8" bestFit="1" customWidth="1"/>
    <col min="12827" max="12827" width="15.75" style="8" bestFit="1" customWidth="1"/>
    <col min="12828" max="13056" width="9" style="8"/>
    <col min="13057" max="13057" width="5.625" style="8" bestFit="1" customWidth="1"/>
    <col min="13058" max="13058" width="23.875" style="8" bestFit="1" customWidth="1"/>
    <col min="13059" max="13059" width="31.625" style="8" customWidth="1"/>
    <col min="13060" max="13060" width="28.125" style="8" customWidth="1"/>
    <col min="13061" max="13062" width="9" style="8"/>
    <col min="13063" max="13063" width="15.25" style="8" customWidth="1"/>
    <col min="13064" max="13064" width="23.125" style="8" customWidth="1"/>
    <col min="13065" max="13066" width="13.375" style="8" bestFit="1" customWidth="1"/>
    <col min="13067" max="13067" width="11.75" style="8" bestFit="1" customWidth="1"/>
    <col min="13068" max="13068" width="12.875" style="8" bestFit="1" customWidth="1"/>
    <col min="13069" max="13069" width="9.125" style="8" bestFit="1" customWidth="1"/>
    <col min="13070" max="13070" width="21.5" style="8" bestFit="1" customWidth="1"/>
    <col min="13071" max="13071" width="19.375" style="8" bestFit="1" customWidth="1"/>
    <col min="13072" max="13072" width="84.875" style="8" bestFit="1" customWidth="1"/>
    <col min="13073" max="13073" width="40" style="8" bestFit="1" customWidth="1"/>
    <col min="13074" max="13074" width="17" style="8" bestFit="1" customWidth="1"/>
    <col min="13075" max="13075" width="16.875" style="8" bestFit="1" customWidth="1"/>
    <col min="13076" max="13076" width="17.75" style="8" bestFit="1" customWidth="1"/>
    <col min="13077" max="13077" width="20" style="8" bestFit="1" customWidth="1"/>
    <col min="13078" max="13078" width="17.625" style="8" bestFit="1" customWidth="1"/>
    <col min="13079" max="13079" width="9.625" style="8" bestFit="1" customWidth="1"/>
    <col min="13080" max="13080" width="14" style="8" bestFit="1" customWidth="1"/>
    <col min="13081" max="13081" width="16.125" style="8" bestFit="1" customWidth="1"/>
    <col min="13082" max="13082" width="18.5" style="8" bestFit="1" customWidth="1"/>
    <col min="13083" max="13083" width="15.75" style="8" bestFit="1" customWidth="1"/>
    <col min="13084" max="13312" width="9" style="8"/>
    <col min="13313" max="13313" width="5.625" style="8" bestFit="1" customWidth="1"/>
    <col min="13314" max="13314" width="23.875" style="8" bestFit="1" customWidth="1"/>
    <col min="13315" max="13315" width="31.625" style="8" customWidth="1"/>
    <col min="13316" max="13316" width="28.125" style="8" customWidth="1"/>
    <col min="13317" max="13318" width="9" style="8"/>
    <col min="13319" max="13319" width="15.25" style="8" customWidth="1"/>
    <col min="13320" max="13320" width="23.125" style="8" customWidth="1"/>
    <col min="13321" max="13322" width="13.375" style="8" bestFit="1" customWidth="1"/>
    <col min="13323" max="13323" width="11.75" style="8" bestFit="1" customWidth="1"/>
    <col min="13324" max="13324" width="12.875" style="8" bestFit="1" customWidth="1"/>
    <col min="13325" max="13325" width="9.125" style="8" bestFit="1" customWidth="1"/>
    <col min="13326" max="13326" width="21.5" style="8" bestFit="1" customWidth="1"/>
    <col min="13327" max="13327" width="19.375" style="8" bestFit="1" customWidth="1"/>
    <col min="13328" max="13328" width="84.875" style="8" bestFit="1" customWidth="1"/>
    <col min="13329" max="13329" width="40" style="8" bestFit="1" customWidth="1"/>
    <col min="13330" max="13330" width="17" style="8" bestFit="1" customWidth="1"/>
    <col min="13331" max="13331" width="16.875" style="8" bestFit="1" customWidth="1"/>
    <col min="13332" max="13332" width="17.75" style="8" bestFit="1" customWidth="1"/>
    <col min="13333" max="13333" width="20" style="8" bestFit="1" customWidth="1"/>
    <col min="13334" max="13334" width="17.625" style="8" bestFit="1" customWidth="1"/>
    <col min="13335" max="13335" width="9.625" style="8" bestFit="1" customWidth="1"/>
    <col min="13336" max="13336" width="14" style="8" bestFit="1" customWidth="1"/>
    <col min="13337" max="13337" width="16.125" style="8" bestFit="1" customWidth="1"/>
    <col min="13338" max="13338" width="18.5" style="8" bestFit="1" customWidth="1"/>
    <col min="13339" max="13339" width="15.75" style="8" bestFit="1" customWidth="1"/>
    <col min="13340" max="13568" width="9" style="8"/>
    <col min="13569" max="13569" width="5.625" style="8" bestFit="1" customWidth="1"/>
    <col min="13570" max="13570" width="23.875" style="8" bestFit="1" customWidth="1"/>
    <col min="13571" max="13571" width="31.625" style="8" customWidth="1"/>
    <col min="13572" max="13572" width="28.125" style="8" customWidth="1"/>
    <col min="13573" max="13574" width="9" style="8"/>
    <col min="13575" max="13575" width="15.25" style="8" customWidth="1"/>
    <col min="13576" max="13576" width="23.125" style="8" customWidth="1"/>
    <col min="13577" max="13578" width="13.375" style="8" bestFit="1" customWidth="1"/>
    <col min="13579" max="13579" width="11.75" style="8" bestFit="1" customWidth="1"/>
    <col min="13580" max="13580" width="12.875" style="8" bestFit="1" customWidth="1"/>
    <col min="13581" max="13581" width="9.125" style="8" bestFit="1" customWidth="1"/>
    <col min="13582" max="13582" width="21.5" style="8" bestFit="1" customWidth="1"/>
    <col min="13583" max="13583" width="19.375" style="8" bestFit="1" customWidth="1"/>
    <col min="13584" max="13584" width="84.875" style="8" bestFit="1" customWidth="1"/>
    <col min="13585" max="13585" width="40" style="8" bestFit="1" customWidth="1"/>
    <col min="13586" max="13586" width="17" style="8" bestFit="1" customWidth="1"/>
    <col min="13587" max="13587" width="16.875" style="8" bestFit="1" customWidth="1"/>
    <col min="13588" max="13588" width="17.75" style="8" bestFit="1" customWidth="1"/>
    <col min="13589" max="13589" width="20" style="8" bestFit="1" customWidth="1"/>
    <col min="13590" max="13590" width="17.625" style="8" bestFit="1" customWidth="1"/>
    <col min="13591" max="13591" width="9.625" style="8" bestFit="1" customWidth="1"/>
    <col min="13592" max="13592" width="14" style="8" bestFit="1" customWidth="1"/>
    <col min="13593" max="13593" width="16.125" style="8" bestFit="1" customWidth="1"/>
    <col min="13594" max="13594" width="18.5" style="8" bestFit="1" customWidth="1"/>
    <col min="13595" max="13595" width="15.75" style="8" bestFit="1" customWidth="1"/>
    <col min="13596" max="13824" width="9" style="8"/>
    <col min="13825" max="13825" width="5.625" style="8" bestFit="1" customWidth="1"/>
    <col min="13826" max="13826" width="23.875" style="8" bestFit="1" customWidth="1"/>
    <col min="13827" max="13827" width="31.625" style="8" customWidth="1"/>
    <col min="13828" max="13828" width="28.125" style="8" customWidth="1"/>
    <col min="13829" max="13830" width="9" style="8"/>
    <col min="13831" max="13831" width="15.25" style="8" customWidth="1"/>
    <col min="13832" max="13832" width="23.125" style="8" customWidth="1"/>
    <col min="13833" max="13834" width="13.375" style="8" bestFit="1" customWidth="1"/>
    <col min="13835" max="13835" width="11.75" style="8" bestFit="1" customWidth="1"/>
    <col min="13836" max="13836" width="12.875" style="8" bestFit="1" customWidth="1"/>
    <col min="13837" max="13837" width="9.125" style="8" bestFit="1" customWidth="1"/>
    <col min="13838" max="13838" width="21.5" style="8" bestFit="1" customWidth="1"/>
    <col min="13839" max="13839" width="19.375" style="8" bestFit="1" customWidth="1"/>
    <col min="13840" max="13840" width="84.875" style="8" bestFit="1" customWidth="1"/>
    <col min="13841" max="13841" width="40" style="8" bestFit="1" customWidth="1"/>
    <col min="13842" max="13842" width="17" style="8" bestFit="1" customWidth="1"/>
    <col min="13843" max="13843" width="16.875" style="8" bestFit="1" customWidth="1"/>
    <col min="13844" max="13844" width="17.75" style="8" bestFit="1" customWidth="1"/>
    <col min="13845" max="13845" width="20" style="8" bestFit="1" customWidth="1"/>
    <col min="13846" max="13846" width="17.625" style="8" bestFit="1" customWidth="1"/>
    <col min="13847" max="13847" width="9.625" style="8" bestFit="1" customWidth="1"/>
    <col min="13848" max="13848" width="14" style="8" bestFit="1" customWidth="1"/>
    <col min="13849" max="13849" width="16.125" style="8" bestFit="1" customWidth="1"/>
    <col min="13850" max="13850" width="18.5" style="8" bestFit="1" customWidth="1"/>
    <col min="13851" max="13851" width="15.75" style="8" bestFit="1" customWidth="1"/>
    <col min="13852" max="14080" width="9" style="8"/>
    <col min="14081" max="14081" width="5.625" style="8" bestFit="1" customWidth="1"/>
    <col min="14082" max="14082" width="23.875" style="8" bestFit="1" customWidth="1"/>
    <col min="14083" max="14083" width="31.625" style="8" customWidth="1"/>
    <col min="14084" max="14084" width="28.125" style="8" customWidth="1"/>
    <col min="14085" max="14086" width="9" style="8"/>
    <col min="14087" max="14087" width="15.25" style="8" customWidth="1"/>
    <col min="14088" max="14088" width="23.125" style="8" customWidth="1"/>
    <col min="14089" max="14090" width="13.375" style="8" bestFit="1" customWidth="1"/>
    <col min="14091" max="14091" width="11.75" style="8" bestFit="1" customWidth="1"/>
    <col min="14092" max="14092" width="12.875" style="8" bestFit="1" customWidth="1"/>
    <col min="14093" max="14093" width="9.125" style="8" bestFit="1" customWidth="1"/>
    <col min="14094" max="14094" width="21.5" style="8" bestFit="1" customWidth="1"/>
    <col min="14095" max="14095" width="19.375" style="8" bestFit="1" customWidth="1"/>
    <col min="14096" max="14096" width="84.875" style="8" bestFit="1" customWidth="1"/>
    <col min="14097" max="14097" width="40" style="8" bestFit="1" customWidth="1"/>
    <col min="14098" max="14098" width="17" style="8" bestFit="1" customWidth="1"/>
    <col min="14099" max="14099" width="16.875" style="8" bestFit="1" customWidth="1"/>
    <col min="14100" max="14100" width="17.75" style="8" bestFit="1" customWidth="1"/>
    <col min="14101" max="14101" width="20" style="8" bestFit="1" customWidth="1"/>
    <col min="14102" max="14102" width="17.625" style="8" bestFit="1" customWidth="1"/>
    <col min="14103" max="14103" width="9.625" style="8" bestFit="1" customWidth="1"/>
    <col min="14104" max="14104" width="14" style="8" bestFit="1" customWidth="1"/>
    <col min="14105" max="14105" width="16.125" style="8" bestFit="1" customWidth="1"/>
    <col min="14106" max="14106" width="18.5" style="8" bestFit="1" customWidth="1"/>
    <col min="14107" max="14107" width="15.75" style="8" bestFit="1" customWidth="1"/>
    <col min="14108" max="14336" width="9" style="8"/>
    <col min="14337" max="14337" width="5.625" style="8" bestFit="1" customWidth="1"/>
    <col min="14338" max="14338" width="23.875" style="8" bestFit="1" customWidth="1"/>
    <col min="14339" max="14339" width="31.625" style="8" customWidth="1"/>
    <col min="14340" max="14340" width="28.125" style="8" customWidth="1"/>
    <col min="14341" max="14342" width="9" style="8"/>
    <col min="14343" max="14343" width="15.25" style="8" customWidth="1"/>
    <col min="14344" max="14344" width="23.125" style="8" customWidth="1"/>
    <col min="14345" max="14346" width="13.375" style="8" bestFit="1" customWidth="1"/>
    <col min="14347" max="14347" width="11.75" style="8" bestFit="1" customWidth="1"/>
    <col min="14348" max="14348" width="12.875" style="8" bestFit="1" customWidth="1"/>
    <col min="14349" max="14349" width="9.125" style="8" bestFit="1" customWidth="1"/>
    <col min="14350" max="14350" width="21.5" style="8" bestFit="1" customWidth="1"/>
    <col min="14351" max="14351" width="19.375" style="8" bestFit="1" customWidth="1"/>
    <col min="14352" max="14352" width="84.875" style="8" bestFit="1" customWidth="1"/>
    <col min="14353" max="14353" width="40" style="8" bestFit="1" customWidth="1"/>
    <col min="14354" max="14354" width="17" style="8" bestFit="1" customWidth="1"/>
    <col min="14355" max="14355" width="16.875" style="8" bestFit="1" customWidth="1"/>
    <col min="14356" max="14356" width="17.75" style="8" bestFit="1" customWidth="1"/>
    <col min="14357" max="14357" width="20" style="8" bestFit="1" customWidth="1"/>
    <col min="14358" max="14358" width="17.625" style="8" bestFit="1" customWidth="1"/>
    <col min="14359" max="14359" width="9.625" style="8" bestFit="1" customWidth="1"/>
    <col min="14360" max="14360" width="14" style="8" bestFit="1" customWidth="1"/>
    <col min="14361" max="14361" width="16.125" style="8" bestFit="1" customWidth="1"/>
    <col min="14362" max="14362" width="18.5" style="8" bestFit="1" customWidth="1"/>
    <col min="14363" max="14363" width="15.75" style="8" bestFit="1" customWidth="1"/>
    <col min="14364" max="14592" width="9" style="8"/>
    <col min="14593" max="14593" width="5.625" style="8" bestFit="1" customWidth="1"/>
    <col min="14594" max="14594" width="23.875" style="8" bestFit="1" customWidth="1"/>
    <col min="14595" max="14595" width="31.625" style="8" customWidth="1"/>
    <col min="14596" max="14596" width="28.125" style="8" customWidth="1"/>
    <col min="14597" max="14598" width="9" style="8"/>
    <col min="14599" max="14599" width="15.25" style="8" customWidth="1"/>
    <col min="14600" max="14600" width="23.125" style="8" customWidth="1"/>
    <col min="14601" max="14602" width="13.375" style="8" bestFit="1" customWidth="1"/>
    <col min="14603" max="14603" width="11.75" style="8" bestFit="1" customWidth="1"/>
    <col min="14604" max="14604" width="12.875" style="8" bestFit="1" customWidth="1"/>
    <col min="14605" max="14605" width="9.125" style="8" bestFit="1" customWidth="1"/>
    <col min="14606" max="14606" width="21.5" style="8" bestFit="1" customWidth="1"/>
    <col min="14607" max="14607" width="19.375" style="8" bestFit="1" customWidth="1"/>
    <col min="14608" max="14608" width="84.875" style="8" bestFit="1" customWidth="1"/>
    <col min="14609" max="14609" width="40" style="8" bestFit="1" customWidth="1"/>
    <col min="14610" max="14610" width="17" style="8" bestFit="1" customWidth="1"/>
    <col min="14611" max="14611" width="16.875" style="8" bestFit="1" customWidth="1"/>
    <col min="14612" max="14612" width="17.75" style="8" bestFit="1" customWidth="1"/>
    <col min="14613" max="14613" width="20" style="8" bestFit="1" customWidth="1"/>
    <col min="14614" max="14614" width="17.625" style="8" bestFit="1" customWidth="1"/>
    <col min="14615" max="14615" width="9.625" style="8" bestFit="1" customWidth="1"/>
    <col min="14616" max="14616" width="14" style="8" bestFit="1" customWidth="1"/>
    <col min="14617" max="14617" width="16.125" style="8" bestFit="1" customWidth="1"/>
    <col min="14618" max="14618" width="18.5" style="8" bestFit="1" customWidth="1"/>
    <col min="14619" max="14619" width="15.75" style="8" bestFit="1" customWidth="1"/>
    <col min="14620" max="14848" width="9" style="8"/>
    <col min="14849" max="14849" width="5.625" style="8" bestFit="1" customWidth="1"/>
    <col min="14850" max="14850" width="23.875" style="8" bestFit="1" customWidth="1"/>
    <col min="14851" max="14851" width="31.625" style="8" customWidth="1"/>
    <col min="14852" max="14852" width="28.125" style="8" customWidth="1"/>
    <col min="14853" max="14854" width="9" style="8"/>
    <col min="14855" max="14855" width="15.25" style="8" customWidth="1"/>
    <col min="14856" max="14856" width="23.125" style="8" customWidth="1"/>
    <col min="14857" max="14858" width="13.375" style="8" bestFit="1" customWidth="1"/>
    <col min="14859" max="14859" width="11.75" style="8" bestFit="1" customWidth="1"/>
    <col min="14860" max="14860" width="12.875" style="8" bestFit="1" customWidth="1"/>
    <col min="14861" max="14861" width="9.125" style="8" bestFit="1" customWidth="1"/>
    <col min="14862" max="14862" width="21.5" style="8" bestFit="1" customWidth="1"/>
    <col min="14863" max="14863" width="19.375" style="8" bestFit="1" customWidth="1"/>
    <col min="14864" max="14864" width="84.875" style="8" bestFit="1" customWidth="1"/>
    <col min="14865" max="14865" width="40" style="8" bestFit="1" customWidth="1"/>
    <col min="14866" max="14866" width="17" style="8" bestFit="1" customWidth="1"/>
    <col min="14867" max="14867" width="16.875" style="8" bestFit="1" customWidth="1"/>
    <col min="14868" max="14868" width="17.75" style="8" bestFit="1" customWidth="1"/>
    <col min="14869" max="14869" width="20" style="8" bestFit="1" customWidth="1"/>
    <col min="14870" max="14870" width="17.625" style="8" bestFit="1" customWidth="1"/>
    <col min="14871" max="14871" width="9.625" style="8" bestFit="1" customWidth="1"/>
    <col min="14872" max="14872" width="14" style="8" bestFit="1" customWidth="1"/>
    <col min="14873" max="14873" width="16.125" style="8" bestFit="1" customWidth="1"/>
    <col min="14874" max="14874" width="18.5" style="8" bestFit="1" customWidth="1"/>
    <col min="14875" max="14875" width="15.75" style="8" bestFit="1" customWidth="1"/>
    <col min="14876" max="15104" width="9" style="8"/>
    <col min="15105" max="15105" width="5.625" style="8" bestFit="1" customWidth="1"/>
    <col min="15106" max="15106" width="23.875" style="8" bestFit="1" customWidth="1"/>
    <col min="15107" max="15107" width="31.625" style="8" customWidth="1"/>
    <col min="15108" max="15108" width="28.125" style="8" customWidth="1"/>
    <col min="15109" max="15110" width="9" style="8"/>
    <col min="15111" max="15111" width="15.25" style="8" customWidth="1"/>
    <col min="15112" max="15112" width="23.125" style="8" customWidth="1"/>
    <col min="15113" max="15114" width="13.375" style="8" bestFit="1" customWidth="1"/>
    <col min="15115" max="15115" width="11.75" style="8" bestFit="1" customWidth="1"/>
    <col min="15116" max="15116" width="12.875" style="8" bestFit="1" customWidth="1"/>
    <col min="15117" max="15117" width="9.125" style="8" bestFit="1" customWidth="1"/>
    <col min="15118" max="15118" width="21.5" style="8" bestFit="1" customWidth="1"/>
    <col min="15119" max="15119" width="19.375" style="8" bestFit="1" customWidth="1"/>
    <col min="15120" max="15120" width="84.875" style="8" bestFit="1" customWidth="1"/>
    <col min="15121" max="15121" width="40" style="8" bestFit="1" customWidth="1"/>
    <col min="15122" max="15122" width="17" style="8" bestFit="1" customWidth="1"/>
    <col min="15123" max="15123" width="16.875" style="8" bestFit="1" customWidth="1"/>
    <col min="15124" max="15124" width="17.75" style="8" bestFit="1" customWidth="1"/>
    <col min="15125" max="15125" width="20" style="8" bestFit="1" customWidth="1"/>
    <col min="15126" max="15126" width="17.625" style="8" bestFit="1" customWidth="1"/>
    <col min="15127" max="15127" width="9.625" style="8" bestFit="1" customWidth="1"/>
    <col min="15128" max="15128" width="14" style="8" bestFit="1" customWidth="1"/>
    <col min="15129" max="15129" width="16.125" style="8" bestFit="1" customWidth="1"/>
    <col min="15130" max="15130" width="18.5" style="8" bestFit="1" customWidth="1"/>
    <col min="15131" max="15131" width="15.75" style="8" bestFit="1" customWidth="1"/>
    <col min="15132" max="15360" width="9" style="8"/>
    <col min="15361" max="15361" width="5.625" style="8" bestFit="1" customWidth="1"/>
    <col min="15362" max="15362" width="23.875" style="8" bestFit="1" customWidth="1"/>
    <col min="15363" max="15363" width="31.625" style="8" customWidth="1"/>
    <col min="15364" max="15364" width="28.125" style="8" customWidth="1"/>
    <col min="15365" max="15366" width="9" style="8"/>
    <col min="15367" max="15367" width="15.25" style="8" customWidth="1"/>
    <col min="15368" max="15368" width="23.125" style="8" customWidth="1"/>
    <col min="15369" max="15370" width="13.375" style="8" bestFit="1" customWidth="1"/>
    <col min="15371" max="15371" width="11.75" style="8" bestFit="1" customWidth="1"/>
    <col min="15372" max="15372" width="12.875" style="8" bestFit="1" customWidth="1"/>
    <col min="15373" max="15373" width="9.125" style="8" bestFit="1" customWidth="1"/>
    <col min="15374" max="15374" width="21.5" style="8" bestFit="1" customWidth="1"/>
    <col min="15375" max="15375" width="19.375" style="8" bestFit="1" customWidth="1"/>
    <col min="15376" max="15376" width="84.875" style="8" bestFit="1" customWidth="1"/>
    <col min="15377" max="15377" width="40" style="8" bestFit="1" customWidth="1"/>
    <col min="15378" max="15378" width="17" style="8" bestFit="1" customWidth="1"/>
    <col min="15379" max="15379" width="16.875" style="8" bestFit="1" customWidth="1"/>
    <col min="15380" max="15380" width="17.75" style="8" bestFit="1" customWidth="1"/>
    <col min="15381" max="15381" width="20" style="8" bestFit="1" customWidth="1"/>
    <col min="15382" max="15382" width="17.625" style="8" bestFit="1" customWidth="1"/>
    <col min="15383" max="15383" width="9.625" style="8" bestFit="1" customWidth="1"/>
    <col min="15384" max="15384" width="14" style="8" bestFit="1" customWidth="1"/>
    <col min="15385" max="15385" width="16.125" style="8" bestFit="1" customWidth="1"/>
    <col min="15386" max="15386" width="18.5" style="8" bestFit="1" customWidth="1"/>
    <col min="15387" max="15387" width="15.75" style="8" bestFit="1" customWidth="1"/>
    <col min="15388" max="15616" width="9" style="8"/>
    <col min="15617" max="15617" width="5.625" style="8" bestFit="1" customWidth="1"/>
    <col min="15618" max="15618" width="23.875" style="8" bestFit="1" customWidth="1"/>
    <col min="15619" max="15619" width="31.625" style="8" customWidth="1"/>
    <col min="15620" max="15620" width="28.125" style="8" customWidth="1"/>
    <col min="15621" max="15622" width="9" style="8"/>
    <col min="15623" max="15623" width="15.25" style="8" customWidth="1"/>
    <col min="15624" max="15624" width="23.125" style="8" customWidth="1"/>
    <col min="15625" max="15626" width="13.375" style="8" bestFit="1" customWidth="1"/>
    <col min="15627" max="15627" width="11.75" style="8" bestFit="1" customWidth="1"/>
    <col min="15628" max="15628" width="12.875" style="8" bestFit="1" customWidth="1"/>
    <col min="15629" max="15629" width="9.125" style="8" bestFit="1" customWidth="1"/>
    <col min="15630" max="15630" width="21.5" style="8" bestFit="1" customWidth="1"/>
    <col min="15631" max="15631" width="19.375" style="8" bestFit="1" customWidth="1"/>
    <col min="15632" max="15632" width="84.875" style="8" bestFit="1" customWidth="1"/>
    <col min="15633" max="15633" width="40" style="8" bestFit="1" customWidth="1"/>
    <col min="15634" max="15634" width="17" style="8" bestFit="1" customWidth="1"/>
    <col min="15635" max="15635" width="16.875" style="8" bestFit="1" customWidth="1"/>
    <col min="15636" max="15636" width="17.75" style="8" bestFit="1" customWidth="1"/>
    <col min="15637" max="15637" width="20" style="8" bestFit="1" customWidth="1"/>
    <col min="15638" max="15638" width="17.625" style="8" bestFit="1" customWidth="1"/>
    <col min="15639" max="15639" width="9.625" style="8" bestFit="1" customWidth="1"/>
    <col min="15640" max="15640" width="14" style="8" bestFit="1" customWidth="1"/>
    <col min="15641" max="15641" width="16.125" style="8" bestFit="1" customWidth="1"/>
    <col min="15642" max="15642" width="18.5" style="8" bestFit="1" customWidth="1"/>
    <col min="15643" max="15643" width="15.75" style="8" bestFit="1" customWidth="1"/>
    <col min="15644" max="15872" width="9" style="8"/>
    <col min="15873" max="15873" width="5.625" style="8" bestFit="1" customWidth="1"/>
    <col min="15874" max="15874" width="23.875" style="8" bestFit="1" customWidth="1"/>
    <col min="15875" max="15875" width="31.625" style="8" customWidth="1"/>
    <col min="15876" max="15876" width="28.125" style="8" customWidth="1"/>
    <col min="15877" max="15878" width="9" style="8"/>
    <col min="15879" max="15879" width="15.25" style="8" customWidth="1"/>
    <col min="15880" max="15880" width="23.125" style="8" customWidth="1"/>
    <col min="15881" max="15882" width="13.375" style="8" bestFit="1" customWidth="1"/>
    <col min="15883" max="15883" width="11.75" style="8" bestFit="1" customWidth="1"/>
    <col min="15884" max="15884" width="12.875" style="8" bestFit="1" customWidth="1"/>
    <col min="15885" max="15885" width="9.125" style="8" bestFit="1" customWidth="1"/>
    <col min="15886" max="15886" width="21.5" style="8" bestFit="1" customWidth="1"/>
    <col min="15887" max="15887" width="19.375" style="8" bestFit="1" customWidth="1"/>
    <col min="15888" max="15888" width="84.875" style="8" bestFit="1" customWidth="1"/>
    <col min="15889" max="15889" width="40" style="8" bestFit="1" customWidth="1"/>
    <col min="15890" max="15890" width="17" style="8" bestFit="1" customWidth="1"/>
    <col min="15891" max="15891" width="16.875" style="8" bestFit="1" customWidth="1"/>
    <col min="15892" max="15892" width="17.75" style="8" bestFit="1" customWidth="1"/>
    <col min="15893" max="15893" width="20" style="8" bestFit="1" customWidth="1"/>
    <col min="15894" max="15894" width="17.625" style="8" bestFit="1" customWidth="1"/>
    <col min="15895" max="15895" width="9.625" style="8" bestFit="1" customWidth="1"/>
    <col min="15896" max="15896" width="14" style="8" bestFit="1" customWidth="1"/>
    <col min="15897" max="15897" width="16.125" style="8" bestFit="1" customWidth="1"/>
    <col min="15898" max="15898" width="18.5" style="8" bestFit="1" customWidth="1"/>
    <col min="15899" max="15899" width="15.75" style="8" bestFit="1" customWidth="1"/>
    <col min="15900" max="16128" width="9" style="8"/>
    <col min="16129" max="16129" width="5.625" style="8" bestFit="1" customWidth="1"/>
    <col min="16130" max="16130" width="23.875" style="8" bestFit="1" customWidth="1"/>
    <col min="16131" max="16131" width="31.625" style="8" customWidth="1"/>
    <col min="16132" max="16132" width="28.125" style="8" customWidth="1"/>
    <col min="16133" max="16134" width="9" style="8"/>
    <col min="16135" max="16135" width="15.25" style="8" customWidth="1"/>
    <col min="16136" max="16136" width="23.125" style="8" customWidth="1"/>
    <col min="16137" max="16138" width="13.375" style="8" bestFit="1" customWidth="1"/>
    <col min="16139" max="16139" width="11.75" style="8" bestFit="1" customWidth="1"/>
    <col min="16140" max="16140" width="12.875" style="8" bestFit="1" customWidth="1"/>
    <col min="16141" max="16141" width="9.125" style="8" bestFit="1" customWidth="1"/>
    <col min="16142" max="16142" width="21.5" style="8" bestFit="1" customWidth="1"/>
    <col min="16143" max="16143" width="19.375" style="8" bestFit="1" customWidth="1"/>
    <col min="16144" max="16144" width="84.875" style="8" bestFit="1" customWidth="1"/>
    <col min="16145" max="16145" width="40" style="8" bestFit="1" customWidth="1"/>
    <col min="16146" max="16146" width="17" style="8" bestFit="1" customWidth="1"/>
    <col min="16147" max="16147" width="16.875" style="8" bestFit="1" customWidth="1"/>
    <col min="16148" max="16148" width="17.75" style="8" bestFit="1" customWidth="1"/>
    <col min="16149" max="16149" width="20" style="8" bestFit="1" customWidth="1"/>
    <col min="16150" max="16150" width="17.625" style="8" bestFit="1" customWidth="1"/>
    <col min="16151" max="16151" width="9.625" style="8" bestFit="1" customWidth="1"/>
    <col min="16152" max="16152" width="14" style="8" bestFit="1" customWidth="1"/>
    <col min="16153" max="16153" width="16.125" style="8" bestFit="1" customWidth="1"/>
    <col min="16154" max="16154" width="18.5" style="8" bestFit="1" customWidth="1"/>
    <col min="16155" max="16155" width="15.75" style="8" bestFit="1" customWidth="1"/>
    <col min="16156" max="16384" width="9" style="8"/>
  </cols>
  <sheetData>
    <row r="1" spans="1:29">
      <c r="A1" s="1" t="s">
        <v>712</v>
      </c>
      <c r="B1" s="2" t="s">
        <v>713</v>
      </c>
      <c r="C1" s="3" t="s">
        <v>714</v>
      </c>
      <c r="D1" s="4" t="s">
        <v>715</v>
      </c>
      <c r="E1" s="5" t="s">
        <v>716</v>
      </c>
      <c r="F1" s="5" t="s">
        <v>717</v>
      </c>
      <c r="G1" s="5" t="s">
        <v>718</v>
      </c>
      <c r="H1" s="6" t="s">
        <v>719</v>
      </c>
      <c r="I1" s="4" t="s">
        <v>720</v>
      </c>
      <c r="J1" s="4" t="s">
        <v>721</v>
      </c>
      <c r="K1" s="4" t="s">
        <v>722</v>
      </c>
      <c r="L1" s="4" t="s">
        <v>723</v>
      </c>
      <c r="M1" s="24" t="s">
        <v>3776</v>
      </c>
      <c r="N1" s="5" t="s">
        <v>724</v>
      </c>
      <c r="O1" s="7" t="s">
        <v>725</v>
      </c>
      <c r="P1" s="4" t="s">
        <v>726</v>
      </c>
      <c r="Q1" s="4" t="s">
        <v>727</v>
      </c>
      <c r="R1" s="4" t="s">
        <v>728</v>
      </c>
      <c r="S1" s="4" t="s">
        <v>729</v>
      </c>
      <c r="T1" s="72" t="s">
        <v>730</v>
      </c>
      <c r="U1" s="72" t="s">
        <v>731</v>
      </c>
      <c r="V1" s="4" t="s">
        <v>732</v>
      </c>
      <c r="W1" s="8" t="s">
        <v>733</v>
      </c>
      <c r="X1" s="9" t="s">
        <v>734</v>
      </c>
      <c r="Y1" s="10" t="s">
        <v>735</v>
      </c>
      <c r="Z1" s="10" t="s">
        <v>736</v>
      </c>
      <c r="AA1" s="8" t="s">
        <v>737</v>
      </c>
      <c r="AB1" s="8" t="s">
        <v>738</v>
      </c>
      <c r="AC1" s="8" t="s">
        <v>3775</v>
      </c>
    </row>
    <row r="2" spans="1:29" hidden="1">
      <c r="A2" s="8">
        <v>1</v>
      </c>
      <c r="B2" s="5" t="s">
        <v>739</v>
      </c>
      <c r="C2" s="5"/>
      <c r="D2" s="4"/>
      <c r="E2" s="5" t="s">
        <v>740</v>
      </c>
      <c r="F2" s="5" t="s">
        <v>741</v>
      </c>
      <c r="G2" s="5" t="s">
        <v>742</v>
      </c>
      <c r="H2" s="11" t="s">
        <v>743</v>
      </c>
      <c r="I2" s="4">
        <v>271720.82699999999</v>
      </c>
      <c r="J2" s="4">
        <v>2734987.892</v>
      </c>
      <c r="K2" s="12">
        <v>270892</v>
      </c>
      <c r="L2" s="12">
        <v>2735194</v>
      </c>
      <c r="M2" s="5">
        <v>93</v>
      </c>
      <c r="N2" s="5" t="s">
        <v>744</v>
      </c>
      <c r="O2" s="13" t="s">
        <v>745</v>
      </c>
      <c r="P2" s="4"/>
      <c r="Q2" s="4" t="s">
        <v>746</v>
      </c>
      <c r="R2" s="4"/>
      <c r="S2" s="4"/>
      <c r="T2" s="5"/>
      <c r="U2" s="5"/>
      <c r="V2" s="4"/>
      <c r="W2" s="8">
        <f t="shared" ref="W2:W65" si="0">IF(IF(ISERROR(SEARCH("-",P2))=TRUE,0,1)=1,IF(H2&lt;&gt;"",0,1),0)</f>
        <v>0</v>
      </c>
      <c r="Y2" s="8"/>
      <c r="Z2" s="8"/>
      <c r="AC2" s="8" t="str">
        <f>IF(COUNTIFS(作業區!$W$2:$W$2000, T2, 作業區!$X$2:$X$2000, U2)&gt;0, "已存在", "未擴充")</f>
        <v>已存在</v>
      </c>
    </row>
    <row r="3" spans="1:29" hidden="1">
      <c r="A3" s="8">
        <f>ROW(A3)-1</f>
        <v>2</v>
      </c>
      <c r="B3" s="5" t="s">
        <v>739</v>
      </c>
      <c r="C3" s="5"/>
      <c r="D3" s="4"/>
      <c r="E3" s="5" t="s">
        <v>747</v>
      </c>
      <c r="F3" s="5" t="s">
        <v>748</v>
      </c>
      <c r="G3" s="5" t="s">
        <v>749</v>
      </c>
      <c r="H3" s="5"/>
      <c r="I3" s="4"/>
      <c r="J3" s="4"/>
      <c r="K3" s="4"/>
      <c r="L3" s="4"/>
      <c r="M3" s="5">
        <v>93</v>
      </c>
      <c r="N3" s="5" t="s">
        <v>750</v>
      </c>
      <c r="O3" s="13" t="s">
        <v>751</v>
      </c>
      <c r="P3" s="4"/>
      <c r="Q3" s="4" t="s">
        <v>752</v>
      </c>
      <c r="R3" s="4"/>
      <c r="S3" s="4"/>
      <c r="T3" s="5"/>
      <c r="U3" s="5"/>
      <c r="V3" s="4"/>
      <c r="W3" s="8">
        <f t="shared" si="0"/>
        <v>0</v>
      </c>
      <c r="Y3" s="8"/>
      <c r="Z3" s="8"/>
      <c r="AC3" s="8" t="str">
        <f>IF(COUNTIFS(作業區!$W$2:$W$2000, T3, 作業區!$X$2:$X$2000, U3)&gt;0, "已存在", "未擴充")</f>
        <v>已存在</v>
      </c>
    </row>
    <row r="4" spans="1:29" hidden="1">
      <c r="A4" s="8">
        <f t="shared" ref="A4:A67" si="1">ROW(A4)-1</f>
        <v>3</v>
      </c>
      <c r="B4" s="5" t="s">
        <v>739</v>
      </c>
      <c r="C4" s="5"/>
      <c r="D4" s="4"/>
      <c r="E4" s="5" t="s">
        <v>747</v>
      </c>
      <c r="F4" s="5" t="s">
        <v>748</v>
      </c>
      <c r="G4" s="5" t="s">
        <v>749</v>
      </c>
      <c r="H4" s="11" t="s">
        <v>753</v>
      </c>
      <c r="I4" s="4">
        <v>260939.86199999999</v>
      </c>
      <c r="J4" s="4">
        <v>2718472.949</v>
      </c>
      <c r="K4" s="12">
        <v>260111</v>
      </c>
      <c r="L4" s="12">
        <v>2718679</v>
      </c>
      <c r="M4" s="5">
        <v>93</v>
      </c>
      <c r="N4" s="5" t="s">
        <v>750</v>
      </c>
      <c r="O4" s="13" t="s">
        <v>751</v>
      </c>
      <c r="P4" s="4"/>
      <c r="Q4" s="4" t="s">
        <v>746</v>
      </c>
      <c r="R4" s="4"/>
      <c r="S4" s="4"/>
      <c r="T4" s="5"/>
      <c r="U4" s="5"/>
      <c r="V4" s="4"/>
      <c r="W4" s="8">
        <f t="shared" si="0"/>
        <v>0</v>
      </c>
      <c r="Y4" s="8"/>
      <c r="Z4" s="8"/>
      <c r="AC4" s="8" t="str">
        <f>IF(COUNTIFS(作業區!$W$2:$W$2000, T4, 作業區!$X$2:$X$2000, U4)&gt;0, "已存在", "未擴充")</f>
        <v>已存在</v>
      </c>
    </row>
    <row r="5" spans="1:29" hidden="1">
      <c r="A5" s="8">
        <f t="shared" si="1"/>
        <v>4</v>
      </c>
      <c r="B5" s="5" t="s">
        <v>754</v>
      </c>
      <c r="C5" s="5"/>
      <c r="D5" s="4"/>
      <c r="E5" s="5" t="s">
        <v>747</v>
      </c>
      <c r="F5" s="5" t="s">
        <v>748</v>
      </c>
      <c r="G5" s="5" t="s">
        <v>749</v>
      </c>
      <c r="H5" s="11" t="s">
        <v>755</v>
      </c>
      <c r="I5" s="4">
        <v>258887.86900000001</v>
      </c>
      <c r="J5" s="4">
        <v>2717339.9530000002</v>
      </c>
      <c r="K5" s="12">
        <v>258059</v>
      </c>
      <c r="L5" s="12">
        <v>2717546</v>
      </c>
      <c r="M5" s="5">
        <v>93</v>
      </c>
      <c r="N5" s="5" t="s">
        <v>750</v>
      </c>
      <c r="O5" s="13" t="s">
        <v>751</v>
      </c>
      <c r="P5" s="4"/>
      <c r="Q5" s="4" t="s">
        <v>746</v>
      </c>
      <c r="R5" s="4"/>
      <c r="S5" s="4"/>
      <c r="T5" s="5"/>
      <c r="U5" s="5"/>
      <c r="V5" s="4"/>
      <c r="W5" s="8">
        <f t="shared" si="0"/>
        <v>0</v>
      </c>
      <c r="Y5" s="8"/>
      <c r="Z5" s="8"/>
      <c r="AC5" s="8" t="str">
        <f>IF(COUNTIFS(作業區!$W$2:$W$2000, T5, 作業區!$X$2:$X$2000, U5)&gt;0, "已存在", "未擴充")</f>
        <v>已存在</v>
      </c>
    </row>
    <row r="6" spans="1:29" hidden="1">
      <c r="A6" s="8">
        <f t="shared" si="1"/>
        <v>5</v>
      </c>
      <c r="B6" s="5" t="s">
        <v>739</v>
      </c>
      <c r="C6" s="5"/>
      <c r="D6" s="4"/>
      <c r="E6" s="2" t="s">
        <v>756</v>
      </c>
      <c r="F6" s="2" t="s">
        <v>757</v>
      </c>
      <c r="G6" s="5" t="s">
        <v>758</v>
      </c>
      <c r="H6" s="11" t="s">
        <v>759</v>
      </c>
      <c r="I6" s="4">
        <v>248606.90400000001</v>
      </c>
      <c r="J6" s="4">
        <v>2674576.1030000001</v>
      </c>
      <c r="K6" s="12">
        <v>247778</v>
      </c>
      <c r="L6" s="12">
        <v>2674782</v>
      </c>
      <c r="M6" s="5">
        <v>93</v>
      </c>
      <c r="N6" s="5" t="s">
        <v>760</v>
      </c>
      <c r="O6" s="13" t="s">
        <v>761</v>
      </c>
      <c r="P6" s="4"/>
      <c r="Q6" s="4" t="s">
        <v>746</v>
      </c>
      <c r="R6" s="4"/>
      <c r="S6" s="4"/>
      <c r="T6" s="5"/>
      <c r="U6" s="5"/>
      <c r="V6" s="4"/>
      <c r="W6" s="8">
        <f t="shared" si="0"/>
        <v>0</v>
      </c>
      <c r="Y6" s="8"/>
      <c r="Z6" s="8"/>
      <c r="AC6" s="8" t="str">
        <f>IF(COUNTIFS(作業區!$W$2:$W$2000, T6, 作業區!$X$2:$X$2000, U6)&gt;0, "已存在", "未擴充")</f>
        <v>已存在</v>
      </c>
    </row>
    <row r="7" spans="1:29" hidden="1">
      <c r="A7" s="8">
        <f t="shared" si="1"/>
        <v>6</v>
      </c>
      <c r="B7" s="5" t="s">
        <v>739</v>
      </c>
      <c r="C7" s="5"/>
      <c r="D7" s="4"/>
      <c r="E7" s="2" t="s">
        <v>756</v>
      </c>
      <c r="F7" s="2" t="s">
        <v>757</v>
      </c>
      <c r="G7" s="5" t="s">
        <v>758</v>
      </c>
      <c r="H7" s="11" t="s">
        <v>762</v>
      </c>
      <c r="I7" s="4">
        <v>248031.90700000001</v>
      </c>
      <c r="J7" s="4">
        <v>2674145.105</v>
      </c>
      <c r="K7" s="12">
        <v>247203</v>
      </c>
      <c r="L7" s="12">
        <v>2674351</v>
      </c>
      <c r="M7" s="5">
        <v>93</v>
      </c>
      <c r="N7" s="5" t="s">
        <v>760</v>
      </c>
      <c r="O7" s="13" t="s">
        <v>761</v>
      </c>
      <c r="P7" s="4"/>
      <c r="Q7" s="4" t="s">
        <v>746</v>
      </c>
      <c r="R7" s="4"/>
      <c r="S7" s="4"/>
      <c r="T7" s="5"/>
      <c r="U7" s="5"/>
      <c r="V7" s="4"/>
      <c r="W7" s="8">
        <f t="shared" si="0"/>
        <v>0</v>
      </c>
      <c r="Y7" s="8"/>
      <c r="Z7" s="8"/>
      <c r="AC7" s="8" t="str">
        <f>IF(COUNTIFS(作業區!$W$2:$W$2000, T7, 作業區!$X$2:$X$2000, U7)&gt;0, "已存在", "未擴充")</f>
        <v>已存在</v>
      </c>
    </row>
    <row r="8" spans="1:29" hidden="1">
      <c r="A8" s="8">
        <f t="shared" si="1"/>
        <v>7</v>
      </c>
      <c r="B8" s="5" t="s">
        <v>739</v>
      </c>
      <c r="C8" s="5"/>
      <c r="D8" s="4"/>
      <c r="E8" s="2" t="s">
        <v>756</v>
      </c>
      <c r="F8" s="2" t="s">
        <v>757</v>
      </c>
      <c r="G8" s="2" t="s">
        <v>763</v>
      </c>
      <c r="H8" s="11" t="s">
        <v>764</v>
      </c>
      <c r="I8" s="4">
        <v>242428.92600000001</v>
      </c>
      <c r="J8" s="4">
        <v>2689834.048</v>
      </c>
      <c r="K8" s="12">
        <v>241600</v>
      </c>
      <c r="L8" s="12">
        <v>2690040</v>
      </c>
      <c r="M8" s="5">
        <v>93</v>
      </c>
      <c r="N8" s="5" t="s">
        <v>760</v>
      </c>
      <c r="O8" s="13">
        <v>38170.395833333336</v>
      </c>
      <c r="P8" s="4"/>
      <c r="Q8" s="4" t="s">
        <v>746</v>
      </c>
      <c r="R8" s="4"/>
      <c r="S8" s="4"/>
      <c r="T8" s="5"/>
      <c r="U8" s="5"/>
      <c r="V8" s="4"/>
      <c r="W8" s="8">
        <f t="shared" si="0"/>
        <v>0</v>
      </c>
      <c r="Y8" s="8"/>
      <c r="Z8" s="8"/>
      <c r="AC8" s="8" t="str">
        <f>IF(COUNTIFS(作業區!$W$2:$W$2000, T8, 作業區!$X$2:$X$2000, U8)&gt;0, "已存在", "未擴充")</f>
        <v>已存在</v>
      </c>
    </row>
    <row r="9" spans="1:29" hidden="1">
      <c r="A9" s="8">
        <f t="shared" si="1"/>
        <v>8</v>
      </c>
      <c r="B9" s="5" t="s">
        <v>739</v>
      </c>
      <c r="C9" s="5"/>
      <c r="D9" s="4"/>
      <c r="E9" s="2" t="s">
        <v>756</v>
      </c>
      <c r="F9" s="2" t="s">
        <v>765</v>
      </c>
      <c r="G9" s="2" t="s">
        <v>766</v>
      </c>
      <c r="H9" s="11" t="s">
        <v>767</v>
      </c>
      <c r="I9" s="4">
        <v>235277.95300000001</v>
      </c>
      <c r="J9" s="4">
        <v>2676033.0970000001</v>
      </c>
      <c r="K9" s="12">
        <v>234449</v>
      </c>
      <c r="L9" s="12">
        <v>2676239</v>
      </c>
      <c r="M9" s="5">
        <v>93</v>
      </c>
      <c r="N9" s="5" t="s">
        <v>760</v>
      </c>
      <c r="O9" s="13" t="s">
        <v>768</v>
      </c>
      <c r="P9" s="4"/>
      <c r="Q9" s="4" t="s">
        <v>746</v>
      </c>
      <c r="R9" s="4"/>
      <c r="S9" s="4"/>
      <c r="T9" s="5"/>
      <c r="U9" s="5"/>
      <c r="V9" s="4"/>
      <c r="W9" s="8">
        <f t="shared" si="0"/>
        <v>0</v>
      </c>
      <c r="Y9" s="8"/>
      <c r="Z9" s="8"/>
      <c r="AC9" s="8" t="str">
        <f>IF(COUNTIFS(作業區!$W$2:$W$2000, T9, 作業區!$X$2:$X$2000, U9)&gt;0, "已存在", "未擴充")</f>
        <v>已存在</v>
      </c>
    </row>
    <row r="10" spans="1:29" hidden="1">
      <c r="A10" s="8">
        <f t="shared" si="1"/>
        <v>9</v>
      </c>
      <c r="B10" s="5" t="s">
        <v>739</v>
      </c>
      <c r="C10" s="5"/>
      <c r="D10" s="4"/>
      <c r="E10" s="2" t="s">
        <v>769</v>
      </c>
      <c r="F10" s="2" t="s">
        <v>770</v>
      </c>
      <c r="G10" s="2" t="s">
        <v>771</v>
      </c>
      <c r="H10" s="11" t="s">
        <v>772</v>
      </c>
      <c r="I10" s="4">
        <v>242588.927</v>
      </c>
      <c r="J10" s="4">
        <v>2651704.1869999999</v>
      </c>
      <c r="K10" s="12">
        <v>241760</v>
      </c>
      <c r="L10" s="12">
        <v>2651910</v>
      </c>
      <c r="M10" s="5">
        <v>93</v>
      </c>
      <c r="N10" s="5" t="s">
        <v>760</v>
      </c>
      <c r="O10" s="13" t="s">
        <v>768</v>
      </c>
      <c r="P10" s="4"/>
      <c r="Q10" s="4" t="s">
        <v>746</v>
      </c>
      <c r="R10" s="4"/>
      <c r="S10" s="4"/>
      <c r="T10" s="5"/>
      <c r="U10" s="5"/>
      <c r="V10" s="4"/>
      <c r="W10" s="8">
        <f t="shared" si="0"/>
        <v>0</v>
      </c>
      <c r="Y10" s="8"/>
      <c r="Z10" s="8"/>
      <c r="AC10" s="8" t="str">
        <f>IF(COUNTIFS(作業區!$W$2:$W$2000, T10, 作業區!$X$2:$X$2000, U10)&gt;0, "已存在", "未擴充")</f>
        <v>已存在</v>
      </c>
    </row>
    <row r="11" spans="1:29" hidden="1">
      <c r="A11" s="8">
        <f t="shared" si="1"/>
        <v>10</v>
      </c>
      <c r="B11" s="5" t="s">
        <v>739</v>
      </c>
      <c r="C11" s="5"/>
      <c r="D11" s="4"/>
      <c r="E11" s="2" t="s">
        <v>769</v>
      </c>
      <c r="F11" s="2" t="s">
        <v>773</v>
      </c>
      <c r="G11" s="2" t="s">
        <v>774</v>
      </c>
      <c r="H11" s="5"/>
      <c r="I11" s="4"/>
      <c r="J11" s="4"/>
      <c r="K11" s="4"/>
      <c r="L11" s="4"/>
      <c r="M11" s="5">
        <v>93</v>
      </c>
      <c r="N11" s="5" t="s">
        <v>760</v>
      </c>
      <c r="O11" s="13" t="s">
        <v>768</v>
      </c>
      <c r="P11" s="4"/>
      <c r="Q11" s="4" t="s">
        <v>775</v>
      </c>
      <c r="R11" s="4"/>
      <c r="S11" s="4"/>
      <c r="T11" s="5"/>
      <c r="U11" s="5"/>
      <c r="V11" s="4"/>
      <c r="W11" s="8">
        <f t="shared" si="0"/>
        <v>0</v>
      </c>
      <c r="Y11" s="8"/>
      <c r="Z11" s="8"/>
      <c r="AC11" s="8" t="str">
        <f>IF(COUNTIFS(作業區!$W$2:$W$2000, T11, 作業區!$X$2:$X$2000, U11)&gt;0, "已存在", "未擴充")</f>
        <v>已存在</v>
      </c>
    </row>
    <row r="12" spans="1:29" hidden="1">
      <c r="A12" s="8">
        <f t="shared" si="1"/>
        <v>11</v>
      </c>
      <c r="B12" s="5" t="s">
        <v>739</v>
      </c>
      <c r="C12" s="5"/>
      <c r="D12" s="4"/>
      <c r="E12" s="5" t="s">
        <v>747</v>
      </c>
      <c r="F12" s="5" t="s">
        <v>776</v>
      </c>
      <c r="G12" s="5" t="s">
        <v>777</v>
      </c>
      <c r="H12" s="11" t="s">
        <v>778</v>
      </c>
      <c r="I12" s="5">
        <v>255623.88099999999</v>
      </c>
      <c r="J12" s="4">
        <v>2728776.9139999999</v>
      </c>
      <c r="K12" s="12">
        <v>254795</v>
      </c>
      <c r="L12" s="12">
        <v>2728983</v>
      </c>
      <c r="M12" s="5">
        <v>94</v>
      </c>
      <c r="N12" s="14" t="s">
        <v>779</v>
      </c>
      <c r="O12" s="13">
        <v>38485.083333333336</v>
      </c>
      <c r="P12" s="15"/>
      <c r="Q12" s="4" t="s">
        <v>746</v>
      </c>
      <c r="R12" s="4"/>
      <c r="S12" s="4"/>
      <c r="T12" s="5"/>
      <c r="U12" s="5"/>
      <c r="V12" s="4"/>
      <c r="W12" s="8">
        <f t="shared" si="0"/>
        <v>0</v>
      </c>
      <c r="Y12" s="8"/>
      <c r="Z12" s="8"/>
      <c r="AC12" s="8" t="str">
        <f>IF(COUNTIFS(作業區!$W$2:$W$2000, T12, 作業區!$X$2:$X$2000, U12)&gt;0, "已存在", "未擴充")</f>
        <v>已存在</v>
      </c>
    </row>
    <row r="13" spans="1:29" hidden="1">
      <c r="A13" s="8">
        <f t="shared" si="1"/>
        <v>12</v>
      </c>
      <c r="B13" s="5" t="s">
        <v>739</v>
      </c>
      <c r="C13" s="5"/>
      <c r="D13" s="4"/>
      <c r="E13" s="5" t="s">
        <v>780</v>
      </c>
      <c r="F13" s="5" t="s">
        <v>781</v>
      </c>
      <c r="G13" s="5" t="s">
        <v>782</v>
      </c>
      <c r="H13" s="11" t="s">
        <v>783</v>
      </c>
      <c r="I13" s="5">
        <v>206787.07399999999</v>
      </c>
      <c r="J13" s="4">
        <v>2587573.432</v>
      </c>
      <c r="K13" s="12">
        <v>205958</v>
      </c>
      <c r="L13" s="12">
        <v>2587779</v>
      </c>
      <c r="M13" s="5">
        <v>94</v>
      </c>
      <c r="N13" s="14" t="s">
        <v>784</v>
      </c>
      <c r="O13" s="13">
        <v>38518.5</v>
      </c>
      <c r="P13" s="15"/>
      <c r="Q13" s="4" t="s">
        <v>746</v>
      </c>
      <c r="R13" s="4"/>
      <c r="S13" s="4"/>
      <c r="T13" s="5"/>
      <c r="U13" s="5"/>
      <c r="V13" s="4"/>
      <c r="W13" s="8">
        <f t="shared" si="0"/>
        <v>0</v>
      </c>
      <c r="Y13" s="8"/>
      <c r="Z13" s="8"/>
      <c r="AC13" s="8" t="str">
        <f>IF(COUNTIFS(作業區!$W$2:$W$2000, T13, 作業區!$X$2:$X$2000, U13)&gt;0, "已存在", "未擴充")</f>
        <v>已存在</v>
      </c>
    </row>
    <row r="14" spans="1:29" hidden="1">
      <c r="A14" s="8">
        <f t="shared" si="1"/>
        <v>13</v>
      </c>
      <c r="B14" s="5" t="s">
        <v>739</v>
      </c>
      <c r="C14" s="5"/>
      <c r="D14" s="4"/>
      <c r="E14" s="5" t="s">
        <v>785</v>
      </c>
      <c r="F14" s="5" t="s">
        <v>786</v>
      </c>
      <c r="G14" s="5" t="s">
        <v>787</v>
      </c>
      <c r="H14" s="11" t="s">
        <v>788</v>
      </c>
      <c r="I14" s="5">
        <v>266336.83899999998</v>
      </c>
      <c r="J14" s="4">
        <v>2658549.1609999998</v>
      </c>
      <c r="K14" s="12">
        <v>265508</v>
      </c>
      <c r="L14" s="12">
        <v>2658755</v>
      </c>
      <c r="M14" s="5">
        <v>94</v>
      </c>
      <c r="N14" s="14" t="s">
        <v>789</v>
      </c>
      <c r="O14" s="13">
        <v>38552.833333333336</v>
      </c>
      <c r="P14" s="15"/>
      <c r="Q14" s="4" t="s">
        <v>746</v>
      </c>
      <c r="R14" s="4"/>
      <c r="S14" s="4"/>
      <c r="T14" s="5"/>
      <c r="U14" s="5"/>
      <c r="V14" s="4"/>
      <c r="W14" s="8">
        <f t="shared" si="0"/>
        <v>0</v>
      </c>
      <c r="Y14" s="8"/>
      <c r="Z14" s="8"/>
      <c r="AC14" s="8" t="str">
        <f>IF(COUNTIFS(作業區!$W$2:$W$2000, T14, 作業區!$X$2:$X$2000, U14)&gt;0, "已存在", "未擴充")</f>
        <v>已存在</v>
      </c>
    </row>
    <row r="15" spans="1:29" hidden="1">
      <c r="A15" s="8">
        <f t="shared" si="1"/>
        <v>14</v>
      </c>
      <c r="B15" s="5" t="s">
        <v>739</v>
      </c>
      <c r="C15" s="5"/>
      <c r="D15" s="4"/>
      <c r="E15" s="5" t="s">
        <v>790</v>
      </c>
      <c r="F15" s="5" t="s">
        <v>791</v>
      </c>
      <c r="G15" s="5" t="s">
        <v>792</v>
      </c>
      <c r="H15" s="11" t="s">
        <v>793</v>
      </c>
      <c r="I15" s="5">
        <v>233864.97700000001</v>
      </c>
      <c r="J15" s="4">
        <v>2432924.1209999998</v>
      </c>
      <c r="K15" s="12">
        <v>233036</v>
      </c>
      <c r="L15" s="12">
        <v>2433129</v>
      </c>
      <c r="M15" s="5">
        <v>94</v>
      </c>
      <c r="N15" s="14" t="s">
        <v>789</v>
      </c>
      <c r="O15" s="13">
        <v>38552.833333333336</v>
      </c>
      <c r="P15" s="15"/>
      <c r="Q15" s="4" t="s">
        <v>746</v>
      </c>
      <c r="R15" s="4"/>
      <c r="S15" s="4"/>
      <c r="T15" s="5"/>
      <c r="U15" s="5"/>
      <c r="V15" s="4"/>
      <c r="W15" s="8">
        <f t="shared" si="0"/>
        <v>0</v>
      </c>
      <c r="Y15" s="8"/>
      <c r="Z15" s="8"/>
      <c r="AC15" s="8" t="str">
        <f>IF(COUNTIFS(作業區!$W$2:$W$2000, T15, 作業區!$X$2:$X$2000, U15)&gt;0, "已存在", "未擴充")</f>
        <v>已存在</v>
      </c>
    </row>
    <row r="16" spans="1:29" hidden="1">
      <c r="A16" s="8">
        <f t="shared" si="1"/>
        <v>15</v>
      </c>
      <c r="B16" s="5" t="s">
        <v>739</v>
      </c>
      <c r="C16" s="5"/>
      <c r="D16" s="4"/>
      <c r="E16" s="5" t="s">
        <v>794</v>
      </c>
      <c r="F16" s="5" t="s">
        <v>795</v>
      </c>
      <c r="G16" s="5" t="s">
        <v>796</v>
      </c>
      <c r="H16" s="11" t="s">
        <v>797</v>
      </c>
      <c r="I16" s="5">
        <v>242748.92499999999</v>
      </c>
      <c r="J16" s="4">
        <v>2703664</v>
      </c>
      <c r="K16" s="12">
        <v>241920</v>
      </c>
      <c r="L16" s="12">
        <v>2703870</v>
      </c>
      <c r="M16" s="5">
        <v>94</v>
      </c>
      <c r="N16" s="14" t="s">
        <v>789</v>
      </c>
      <c r="O16" s="13">
        <v>38552.625</v>
      </c>
      <c r="P16" s="15"/>
      <c r="Q16" s="4" t="s">
        <v>746</v>
      </c>
      <c r="R16" s="4"/>
      <c r="S16" s="4"/>
      <c r="T16" s="5"/>
      <c r="U16" s="5"/>
      <c r="V16" s="4"/>
      <c r="W16" s="8">
        <f t="shared" si="0"/>
        <v>0</v>
      </c>
      <c r="Y16" s="8"/>
      <c r="Z16" s="8"/>
      <c r="AC16" s="8" t="str">
        <f>IF(COUNTIFS(作業區!$W$2:$W$2000, T16, 作業區!$X$2:$X$2000, U16)&gt;0, "已存在", "未擴充")</f>
        <v>已存在</v>
      </c>
    </row>
    <row r="17" spans="1:29" hidden="1">
      <c r="A17" s="8">
        <f t="shared" si="1"/>
        <v>16</v>
      </c>
      <c r="B17" s="5" t="s">
        <v>739</v>
      </c>
      <c r="C17" s="5"/>
      <c r="D17" s="4"/>
      <c r="E17" s="5" t="s">
        <v>794</v>
      </c>
      <c r="F17" s="5" t="s">
        <v>795</v>
      </c>
      <c r="G17" s="5" t="s">
        <v>798</v>
      </c>
      <c r="H17" s="11" t="s">
        <v>799</v>
      </c>
      <c r="I17" s="5">
        <v>242944.924</v>
      </c>
      <c r="J17" s="4">
        <v>2706198.9909999999</v>
      </c>
      <c r="K17" s="12">
        <v>242116</v>
      </c>
      <c r="L17" s="12">
        <v>2706405</v>
      </c>
      <c r="M17" s="5">
        <v>94</v>
      </c>
      <c r="N17" s="14" t="s">
        <v>789</v>
      </c>
      <c r="O17" s="13">
        <v>38552.625</v>
      </c>
      <c r="P17" s="15"/>
      <c r="Q17" s="4" t="s">
        <v>746</v>
      </c>
      <c r="R17" s="4"/>
      <c r="S17" s="4"/>
      <c r="T17" s="5"/>
      <c r="U17" s="5"/>
      <c r="V17" s="4"/>
      <c r="W17" s="8">
        <f t="shared" si="0"/>
        <v>0</v>
      </c>
      <c r="Y17" s="8"/>
      <c r="Z17" s="8"/>
      <c r="AC17" s="8" t="str">
        <f>IF(COUNTIFS(作業區!$W$2:$W$2000, T17, 作業區!$X$2:$X$2000, U17)&gt;0, "已存在", "未擴充")</f>
        <v>已存在</v>
      </c>
    </row>
    <row r="18" spans="1:29" hidden="1">
      <c r="A18" s="8">
        <f t="shared" si="1"/>
        <v>17</v>
      </c>
      <c r="B18" s="5" t="s">
        <v>739</v>
      </c>
      <c r="C18" s="5"/>
      <c r="D18" s="4"/>
      <c r="E18" s="5" t="s">
        <v>794</v>
      </c>
      <c r="F18" s="5" t="s">
        <v>795</v>
      </c>
      <c r="G18" s="5" t="s">
        <v>800</v>
      </c>
      <c r="H18" s="11" t="s">
        <v>801</v>
      </c>
      <c r="I18" s="5">
        <v>242223.92600000001</v>
      </c>
      <c r="J18" s="4">
        <v>2707435.9870000002</v>
      </c>
      <c r="K18" s="12">
        <v>241395</v>
      </c>
      <c r="L18" s="12">
        <v>2707642</v>
      </c>
      <c r="M18" s="5">
        <v>94</v>
      </c>
      <c r="N18" s="14" t="s">
        <v>789</v>
      </c>
      <c r="O18" s="13">
        <v>38552.625</v>
      </c>
      <c r="P18" s="15"/>
      <c r="Q18" s="4" t="s">
        <v>746</v>
      </c>
      <c r="R18" s="4"/>
      <c r="S18" s="4"/>
      <c r="T18" s="5"/>
      <c r="U18" s="5"/>
      <c r="V18" s="4"/>
      <c r="W18" s="8">
        <f t="shared" si="0"/>
        <v>0</v>
      </c>
      <c r="Y18" s="8"/>
      <c r="Z18" s="8"/>
      <c r="AC18" s="8" t="str">
        <f>IF(COUNTIFS(作業區!$W$2:$W$2000, T18, 作業區!$X$2:$X$2000, U18)&gt;0, "已存在", "未擴充")</f>
        <v>已存在</v>
      </c>
    </row>
    <row r="19" spans="1:29" hidden="1">
      <c r="A19" s="8">
        <f t="shared" si="1"/>
        <v>18</v>
      </c>
      <c r="B19" s="5" t="s">
        <v>739</v>
      </c>
      <c r="C19" s="5"/>
      <c r="D19" s="4"/>
      <c r="E19" s="5" t="s">
        <v>802</v>
      </c>
      <c r="F19" s="5" t="s">
        <v>803</v>
      </c>
      <c r="G19" s="5" t="s">
        <v>804</v>
      </c>
      <c r="H19" s="11" t="s">
        <v>805</v>
      </c>
      <c r="I19" s="5">
        <v>214011.054</v>
      </c>
      <c r="J19" s="4">
        <v>2534765.6540000001</v>
      </c>
      <c r="K19" s="12">
        <v>213182</v>
      </c>
      <c r="L19" s="12">
        <v>2534971</v>
      </c>
      <c r="M19" s="5">
        <v>94</v>
      </c>
      <c r="N19" s="14" t="s">
        <v>789</v>
      </c>
      <c r="O19" s="13">
        <v>38552.416666666664</v>
      </c>
      <c r="P19" s="15"/>
      <c r="Q19" s="4" t="s">
        <v>746</v>
      </c>
      <c r="R19" s="4"/>
      <c r="S19" s="4"/>
      <c r="T19" s="5"/>
      <c r="U19" s="5"/>
      <c r="V19" s="4"/>
      <c r="W19" s="8">
        <f t="shared" si="0"/>
        <v>0</v>
      </c>
      <c r="Y19" s="8"/>
      <c r="Z19" s="8"/>
      <c r="AC19" s="8" t="str">
        <f>IF(COUNTIFS(作業區!$W$2:$W$2000, T19, 作業區!$X$2:$X$2000, U19)&gt;0, "已存在", "未擴充")</f>
        <v>已存在</v>
      </c>
    </row>
    <row r="20" spans="1:29" hidden="1">
      <c r="A20" s="8">
        <f t="shared" si="1"/>
        <v>19</v>
      </c>
      <c r="B20" s="5" t="s">
        <v>739</v>
      </c>
      <c r="C20" s="5"/>
      <c r="D20" s="4"/>
      <c r="E20" s="5" t="s">
        <v>802</v>
      </c>
      <c r="F20" s="5" t="s">
        <v>803</v>
      </c>
      <c r="G20" s="5" t="s">
        <v>806</v>
      </c>
      <c r="H20" s="11" t="s">
        <v>807</v>
      </c>
      <c r="I20" s="5">
        <v>214260.052</v>
      </c>
      <c r="J20" s="4">
        <v>2538183.64</v>
      </c>
      <c r="K20" s="12">
        <v>213431</v>
      </c>
      <c r="L20" s="12">
        <v>2538389</v>
      </c>
      <c r="M20" s="5">
        <v>94</v>
      </c>
      <c r="N20" s="14" t="s">
        <v>789</v>
      </c>
      <c r="O20" s="13">
        <v>38552.583333333336</v>
      </c>
      <c r="P20" s="15"/>
      <c r="Q20" s="4" t="s">
        <v>746</v>
      </c>
      <c r="R20" s="4"/>
      <c r="S20" s="4"/>
      <c r="T20" s="5"/>
      <c r="U20" s="5"/>
      <c r="V20" s="4"/>
      <c r="W20" s="8">
        <f t="shared" si="0"/>
        <v>0</v>
      </c>
      <c r="Y20" s="8"/>
      <c r="Z20" s="8"/>
      <c r="AC20" s="8" t="str">
        <f>IF(COUNTIFS(作業區!$W$2:$W$2000, T20, 作業區!$X$2:$X$2000, U20)&gt;0, "已存在", "未擴充")</f>
        <v>已存在</v>
      </c>
    </row>
    <row r="21" spans="1:29" hidden="1">
      <c r="A21" s="8">
        <f t="shared" si="1"/>
        <v>20</v>
      </c>
      <c r="B21" s="5" t="s">
        <v>739</v>
      </c>
      <c r="C21" s="5"/>
      <c r="D21" s="4"/>
      <c r="E21" s="5" t="s">
        <v>802</v>
      </c>
      <c r="F21" s="5" t="s">
        <v>803</v>
      </c>
      <c r="G21" s="5" t="s">
        <v>808</v>
      </c>
      <c r="H21" s="5" t="s">
        <v>809</v>
      </c>
      <c r="I21" s="5">
        <v>218694.03099999999</v>
      </c>
      <c r="J21" s="4">
        <v>2552707.5780000002</v>
      </c>
      <c r="K21" s="12">
        <v>217865</v>
      </c>
      <c r="L21" s="12">
        <v>2552913</v>
      </c>
      <c r="M21" s="5">
        <v>94</v>
      </c>
      <c r="N21" s="14" t="s">
        <v>789</v>
      </c>
      <c r="O21" s="13">
        <v>38552.541666666664</v>
      </c>
      <c r="P21" s="15"/>
      <c r="Q21" s="4" t="s">
        <v>746</v>
      </c>
      <c r="R21" s="4"/>
      <c r="S21" s="4"/>
      <c r="T21" s="5"/>
      <c r="U21" s="5"/>
      <c r="V21" s="4"/>
      <c r="W21" s="8">
        <f t="shared" si="0"/>
        <v>0</v>
      </c>
      <c r="Y21" s="8"/>
      <c r="Z21" s="8"/>
      <c r="AC21" s="8" t="str">
        <f>IF(COUNTIFS(作業區!$W$2:$W$2000, T21, 作業區!$X$2:$X$2000, U21)&gt;0, "已存在", "未擴充")</f>
        <v>已存在</v>
      </c>
    </row>
    <row r="22" spans="1:29" hidden="1">
      <c r="A22" s="8">
        <f t="shared" si="1"/>
        <v>21</v>
      </c>
      <c r="B22" s="5" t="s">
        <v>739</v>
      </c>
      <c r="C22" s="5"/>
      <c r="D22" s="4"/>
      <c r="E22" s="5" t="s">
        <v>747</v>
      </c>
      <c r="F22" s="5" t="s">
        <v>741</v>
      </c>
      <c r="G22" s="5" t="s">
        <v>810</v>
      </c>
      <c r="H22" s="11" t="s">
        <v>811</v>
      </c>
      <c r="I22" s="5">
        <v>280350.79800000001</v>
      </c>
      <c r="J22" s="4">
        <v>2728275.9139999999</v>
      </c>
      <c r="K22" s="12">
        <v>279522</v>
      </c>
      <c r="L22" s="12">
        <v>2728482</v>
      </c>
      <c r="M22" s="5">
        <v>94</v>
      </c>
      <c r="N22" s="14" t="s">
        <v>789</v>
      </c>
      <c r="O22" s="13">
        <v>38551.208333333336</v>
      </c>
      <c r="P22" s="15"/>
      <c r="Q22" s="4" t="s">
        <v>746</v>
      </c>
      <c r="R22" s="4"/>
      <c r="S22" s="4"/>
      <c r="T22" s="5"/>
      <c r="U22" s="5"/>
      <c r="V22" s="4"/>
      <c r="W22" s="8">
        <f t="shared" si="0"/>
        <v>0</v>
      </c>
      <c r="Y22" s="8"/>
      <c r="Z22" s="8"/>
      <c r="AC22" s="8" t="str">
        <f>IF(COUNTIFS(作業區!$W$2:$W$2000, T22, 作業區!$X$2:$X$2000, U22)&gt;0, "已存在", "未擴充")</f>
        <v>已存在</v>
      </c>
    </row>
    <row r="23" spans="1:29" hidden="1">
      <c r="A23" s="8">
        <f t="shared" si="1"/>
        <v>22</v>
      </c>
      <c r="B23" s="5" t="s">
        <v>739</v>
      </c>
      <c r="C23" s="5"/>
      <c r="D23" s="4"/>
      <c r="E23" s="5" t="s">
        <v>747</v>
      </c>
      <c r="F23" s="5" t="s">
        <v>741</v>
      </c>
      <c r="G23" s="5" t="s">
        <v>812</v>
      </c>
      <c r="H23" s="11" t="s">
        <v>813</v>
      </c>
      <c r="I23" s="5">
        <v>269395.83500000002</v>
      </c>
      <c r="J23" s="4">
        <v>2729557.9109999998</v>
      </c>
      <c r="K23" s="12">
        <v>268567</v>
      </c>
      <c r="L23" s="12">
        <v>2729764</v>
      </c>
      <c r="M23" s="5">
        <v>94</v>
      </c>
      <c r="N23" s="14" t="s">
        <v>789</v>
      </c>
      <c r="O23" s="13">
        <v>38551.208333333336</v>
      </c>
      <c r="P23" s="15"/>
      <c r="Q23" s="4" t="s">
        <v>746</v>
      </c>
      <c r="R23" s="4"/>
      <c r="S23" s="4"/>
      <c r="T23" s="5"/>
      <c r="U23" s="5"/>
      <c r="V23" s="4"/>
      <c r="W23" s="8">
        <f t="shared" si="0"/>
        <v>0</v>
      </c>
      <c r="Y23" s="8"/>
      <c r="Z23" s="8"/>
      <c r="AC23" s="8" t="str">
        <f>IF(COUNTIFS(作業區!$W$2:$W$2000, T23, 作業區!$X$2:$X$2000, U23)&gt;0, "已存在", "未擴充")</f>
        <v>已存在</v>
      </c>
    </row>
    <row r="24" spans="1:29" hidden="1">
      <c r="A24" s="8">
        <f t="shared" si="1"/>
        <v>23</v>
      </c>
      <c r="B24" s="5" t="s">
        <v>739</v>
      </c>
      <c r="C24" s="5"/>
      <c r="D24" s="4"/>
      <c r="E24" s="5" t="s">
        <v>747</v>
      </c>
      <c r="F24" s="5" t="s">
        <v>741</v>
      </c>
      <c r="G24" s="5" t="s">
        <v>814</v>
      </c>
      <c r="H24" s="11" t="s">
        <v>815</v>
      </c>
      <c r="I24" s="5">
        <v>277177.80900000001</v>
      </c>
      <c r="J24" s="4">
        <v>2734092.895</v>
      </c>
      <c r="K24" s="12">
        <v>276349</v>
      </c>
      <c r="L24" s="12">
        <v>2734299</v>
      </c>
      <c r="M24" s="5">
        <v>94</v>
      </c>
      <c r="N24" s="14" t="s">
        <v>789</v>
      </c>
      <c r="O24" s="13">
        <v>38551.25</v>
      </c>
      <c r="P24" s="15"/>
      <c r="Q24" s="4" t="s">
        <v>746</v>
      </c>
      <c r="R24" s="4"/>
      <c r="S24" s="4"/>
      <c r="T24" s="5"/>
      <c r="U24" s="5"/>
      <c r="V24" s="4"/>
      <c r="W24" s="8">
        <f t="shared" si="0"/>
        <v>0</v>
      </c>
      <c r="Y24" s="8"/>
      <c r="Z24" s="8"/>
      <c r="AC24" s="8" t="str">
        <f>IF(COUNTIFS(作業區!$W$2:$W$2000, T24, 作業區!$X$2:$X$2000, U24)&gt;0, "已存在", "未擴充")</f>
        <v>已存在</v>
      </c>
    </row>
    <row r="25" spans="1:29" hidden="1">
      <c r="A25" s="8">
        <f t="shared" si="1"/>
        <v>24</v>
      </c>
      <c r="B25" s="5" t="s">
        <v>739</v>
      </c>
      <c r="C25" s="5"/>
      <c r="D25" s="4"/>
      <c r="E25" s="2" t="s">
        <v>756</v>
      </c>
      <c r="F25" s="5" t="s">
        <v>816</v>
      </c>
      <c r="G25" s="5" t="s">
        <v>817</v>
      </c>
      <c r="H25" s="11" t="s">
        <v>759</v>
      </c>
      <c r="I25" s="5">
        <v>248606.90400000001</v>
      </c>
      <c r="J25" s="4">
        <v>2674576.1030000001</v>
      </c>
      <c r="K25" s="12">
        <v>247778</v>
      </c>
      <c r="L25" s="12">
        <v>2674782</v>
      </c>
      <c r="M25" s="5">
        <v>94</v>
      </c>
      <c r="N25" s="14" t="s">
        <v>818</v>
      </c>
      <c r="O25" s="13">
        <v>38569.416666666664</v>
      </c>
      <c r="P25" s="15"/>
      <c r="Q25" s="4" t="s">
        <v>746</v>
      </c>
      <c r="R25" s="4"/>
      <c r="S25" s="4"/>
      <c r="T25" s="5"/>
      <c r="U25" s="5"/>
      <c r="V25" s="4"/>
      <c r="W25" s="8">
        <f t="shared" si="0"/>
        <v>0</v>
      </c>
      <c r="Y25" s="8"/>
      <c r="Z25" s="8"/>
      <c r="AC25" s="8" t="str">
        <f>IF(COUNTIFS(作業區!$W$2:$W$2000, T25, 作業區!$X$2:$X$2000, U25)&gt;0, "已存在", "未擴充")</f>
        <v>已存在</v>
      </c>
    </row>
    <row r="26" spans="1:29" hidden="1">
      <c r="A26" s="8">
        <f t="shared" si="1"/>
        <v>25</v>
      </c>
      <c r="B26" s="5" t="s">
        <v>739</v>
      </c>
      <c r="C26" s="5"/>
      <c r="D26" s="4"/>
      <c r="E26" s="2" t="s">
        <v>756</v>
      </c>
      <c r="F26" s="5" t="s">
        <v>816</v>
      </c>
      <c r="G26" s="5" t="s">
        <v>817</v>
      </c>
      <c r="H26" s="11" t="s">
        <v>762</v>
      </c>
      <c r="I26" s="5">
        <v>248031.90700000001</v>
      </c>
      <c r="J26" s="4">
        <v>2674145.105</v>
      </c>
      <c r="K26" s="12">
        <v>247203</v>
      </c>
      <c r="L26" s="12">
        <v>2674351</v>
      </c>
      <c r="M26" s="5">
        <v>94</v>
      </c>
      <c r="N26" s="14" t="s">
        <v>818</v>
      </c>
      <c r="O26" s="13">
        <v>38569.375</v>
      </c>
      <c r="P26" s="15"/>
      <c r="Q26" s="4" t="s">
        <v>746</v>
      </c>
      <c r="R26" s="4"/>
      <c r="S26" s="4"/>
      <c r="T26" s="5"/>
      <c r="U26" s="5"/>
      <c r="V26" s="4"/>
      <c r="W26" s="8">
        <f t="shared" si="0"/>
        <v>0</v>
      </c>
      <c r="Y26" s="8"/>
      <c r="Z26" s="8"/>
      <c r="AC26" s="8" t="str">
        <f>IF(COUNTIFS(作業區!$W$2:$W$2000, T26, 作業區!$X$2:$X$2000, U26)&gt;0, "已存在", "未擴充")</f>
        <v>已存在</v>
      </c>
    </row>
    <row r="27" spans="1:29" hidden="1">
      <c r="A27" s="8">
        <f t="shared" si="1"/>
        <v>26</v>
      </c>
      <c r="B27" s="5" t="s">
        <v>739</v>
      </c>
      <c r="C27" s="5"/>
      <c r="D27" s="4"/>
      <c r="E27" s="5" t="s">
        <v>785</v>
      </c>
      <c r="F27" s="5" t="s">
        <v>819</v>
      </c>
      <c r="G27" s="5" t="s">
        <v>820</v>
      </c>
      <c r="H27" s="11" t="s">
        <v>821</v>
      </c>
      <c r="I27" s="5">
        <v>235583.95499999999</v>
      </c>
      <c r="J27" s="4">
        <v>2625619.2859999998</v>
      </c>
      <c r="K27" s="12">
        <v>234755</v>
      </c>
      <c r="L27" s="12">
        <v>2625825</v>
      </c>
      <c r="M27" s="5">
        <v>94</v>
      </c>
      <c r="N27" s="14" t="s">
        <v>818</v>
      </c>
      <c r="O27" s="13">
        <v>38569.5</v>
      </c>
      <c r="P27" s="15"/>
      <c r="Q27" s="4" t="s">
        <v>746</v>
      </c>
      <c r="R27" s="4"/>
      <c r="S27" s="4"/>
      <c r="T27" s="5"/>
      <c r="U27" s="5"/>
      <c r="V27" s="4"/>
      <c r="W27" s="8">
        <f t="shared" si="0"/>
        <v>0</v>
      </c>
      <c r="Y27" s="8"/>
      <c r="Z27" s="8"/>
      <c r="AC27" s="8" t="str">
        <f>IF(COUNTIFS(作業區!$W$2:$W$2000, T27, 作業區!$X$2:$X$2000, U27)&gt;0, "已存在", "未擴充")</f>
        <v>已存在</v>
      </c>
    </row>
    <row r="28" spans="1:29" hidden="1">
      <c r="A28" s="8">
        <f t="shared" si="1"/>
        <v>27</v>
      </c>
      <c r="B28" s="5" t="s">
        <v>739</v>
      </c>
      <c r="C28" s="5"/>
      <c r="D28" s="4"/>
      <c r="E28" s="5" t="s">
        <v>780</v>
      </c>
      <c r="F28" s="5" t="s">
        <v>822</v>
      </c>
      <c r="G28" s="5" t="s">
        <v>823</v>
      </c>
      <c r="H28" s="11" t="s">
        <v>824</v>
      </c>
      <c r="I28" s="5">
        <v>208029.06599999999</v>
      </c>
      <c r="J28" s="4">
        <v>2602891.3709999998</v>
      </c>
      <c r="K28" s="12">
        <v>207200</v>
      </c>
      <c r="L28" s="12">
        <v>2603097</v>
      </c>
      <c r="M28" s="5">
        <v>94</v>
      </c>
      <c r="N28" s="14" t="s">
        <v>818</v>
      </c>
      <c r="O28" s="13">
        <v>38596.333333333336</v>
      </c>
      <c r="P28" s="15"/>
      <c r="Q28" s="4" t="s">
        <v>746</v>
      </c>
      <c r="R28" s="4"/>
      <c r="S28" s="4"/>
      <c r="T28" s="5"/>
      <c r="U28" s="5"/>
      <c r="V28" s="4"/>
      <c r="W28" s="8">
        <f t="shared" si="0"/>
        <v>0</v>
      </c>
      <c r="Y28" s="8"/>
      <c r="Z28" s="8"/>
      <c r="AC28" s="8" t="str">
        <f>IF(COUNTIFS(作業區!$W$2:$W$2000, T28, 作業區!$X$2:$X$2000, U28)&gt;0, "已存在", "未擴充")</f>
        <v>已存在</v>
      </c>
    </row>
    <row r="29" spans="1:29" hidden="1">
      <c r="A29" s="8">
        <f t="shared" si="1"/>
        <v>28</v>
      </c>
      <c r="B29" s="5" t="s">
        <v>739</v>
      </c>
      <c r="C29" s="5"/>
      <c r="D29" s="4"/>
      <c r="E29" s="5" t="s">
        <v>825</v>
      </c>
      <c r="F29" s="5" t="s">
        <v>826</v>
      </c>
      <c r="G29" s="5" t="s">
        <v>827</v>
      </c>
      <c r="H29" s="11" t="s">
        <v>828</v>
      </c>
      <c r="I29" s="5">
        <v>295812.73499999999</v>
      </c>
      <c r="J29" s="4">
        <v>2678125.0860000001</v>
      </c>
      <c r="K29" s="12">
        <v>294984</v>
      </c>
      <c r="L29" s="12">
        <v>2678331</v>
      </c>
      <c r="M29" s="5">
        <v>94</v>
      </c>
      <c r="N29" s="14" t="s">
        <v>829</v>
      </c>
      <c r="O29" s="13">
        <v>38627.541666666664</v>
      </c>
      <c r="P29" s="15"/>
      <c r="Q29" s="4" t="s">
        <v>746</v>
      </c>
      <c r="R29" s="4"/>
      <c r="S29" s="4"/>
      <c r="T29" s="5"/>
      <c r="U29" s="5"/>
      <c r="V29" s="4"/>
      <c r="W29" s="8">
        <f t="shared" si="0"/>
        <v>0</v>
      </c>
      <c r="Y29" s="8"/>
      <c r="Z29" s="8"/>
      <c r="AC29" s="8" t="str">
        <f>IF(COUNTIFS(作業區!$W$2:$W$2000, T29, 作業區!$X$2:$X$2000, U29)&gt;0, "已存在", "未擴充")</f>
        <v>已存在</v>
      </c>
    </row>
    <row r="30" spans="1:29" ht="49.5" hidden="1">
      <c r="A30" s="8">
        <f t="shared" si="1"/>
        <v>29</v>
      </c>
      <c r="B30" s="5" t="s">
        <v>739</v>
      </c>
      <c r="C30" s="5"/>
      <c r="D30" s="4" t="s">
        <v>830</v>
      </c>
      <c r="E30" s="5" t="s">
        <v>769</v>
      </c>
      <c r="F30" s="5" t="s">
        <v>831</v>
      </c>
      <c r="G30" s="5" t="s">
        <v>832</v>
      </c>
      <c r="H30" s="11" t="s">
        <v>821</v>
      </c>
      <c r="I30" s="4">
        <v>236219.95300000001</v>
      </c>
      <c r="J30" s="4">
        <v>2625277.287</v>
      </c>
      <c r="K30" s="15">
        <v>235391</v>
      </c>
      <c r="L30" s="15">
        <v>2625483</v>
      </c>
      <c r="M30" s="5">
        <v>95</v>
      </c>
      <c r="N30" s="5" t="s">
        <v>833</v>
      </c>
      <c r="O30" s="13">
        <v>38878.5</v>
      </c>
      <c r="P30" s="15" t="s">
        <v>834</v>
      </c>
      <c r="Q30" s="4"/>
      <c r="R30" s="16" t="s">
        <v>835</v>
      </c>
      <c r="S30" s="16" t="s">
        <v>836</v>
      </c>
      <c r="T30" s="5">
        <v>3.5</v>
      </c>
      <c r="U30" s="5">
        <v>401.6</v>
      </c>
      <c r="V30" s="4">
        <v>200</v>
      </c>
      <c r="W30" s="8">
        <f t="shared" si="0"/>
        <v>0</v>
      </c>
      <c r="Y30" s="8"/>
      <c r="Z30" s="8"/>
      <c r="AC30" s="8" t="str">
        <f>IF(COUNTIFS(作業區!$W$2:$W$2000, T30, 作業區!$X$2:$X$2000, U30)&gt;0, "已存在", "未擴充")</f>
        <v>已存在</v>
      </c>
    </row>
    <row r="31" spans="1:29" ht="33" hidden="1">
      <c r="A31" s="8">
        <f t="shared" si="1"/>
        <v>30</v>
      </c>
      <c r="B31" s="5" t="s">
        <v>739</v>
      </c>
      <c r="C31" s="5"/>
      <c r="D31" s="4" t="s">
        <v>837</v>
      </c>
      <c r="E31" s="5" t="s">
        <v>802</v>
      </c>
      <c r="F31" s="5" t="s">
        <v>803</v>
      </c>
      <c r="G31" s="5" t="s">
        <v>804</v>
      </c>
      <c r="H31" s="5" t="s">
        <v>838</v>
      </c>
      <c r="I31" s="4">
        <v>214028.054</v>
      </c>
      <c r="J31" s="4">
        <v>2533857.6579999998</v>
      </c>
      <c r="K31" s="15">
        <v>213199</v>
      </c>
      <c r="L31" s="15">
        <v>2534063</v>
      </c>
      <c r="M31" s="5">
        <v>95</v>
      </c>
      <c r="N31" s="5" t="s">
        <v>833</v>
      </c>
      <c r="O31" s="13">
        <v>38877.75</v>
      </c>
      <c r="P31" s="15" t="s">
        <v>839</v>
      </c>
      <c r="Q31" s="4"/>
      <c r="R31" s="16" t="s">
        <v>233</v>
      </c>
      <c r="S31" s="16" t="s">
        <v>840</v>
      </c>
      <c r="T31" s="5">
        <v>14.4</v>
      </c>
      <c r="U31" s="5">
        <v>336.4</v>
      </c>
      <c r="V31" s="4">
        <v>400</v>
      </c>
      <c r="W31" s="8">
        <f t="shared" si="0"/>
        <v>0</v>
      </c>
      <c r="Y31" s="8"/>
      <c r="Z31" s="8"/>
      <c r="AC31" s="8" t="str">
        <f>IF(COUNTIFS(作業區!$W$2:$W$2000, T31, 作業區!$X$2:$X$2000, U31)&gt;0, "已存在", "未擴充")</f>
        <v>已存在</v>
      </c>
    </row>
    <row r="32" spans="1:29" ht="33" hidden="1">
      <c r="A32" s="8">
        <f t="shared" si="1"/>
        <v>31</v>
      </c>
      <c r="B32" s="5" t="s">
        <v>739</v>
      </c>
      <c r="C32" s="5"/>
      <c r="D32" s="4" t="s">
        <v>841</v>
      </c>
      <c r="E32" s="5" t="s">
        <v>802</v>
      </c>
      <c r="F32" s="5" t="s">
        <v>803</v>
      </c>
      <c r="G32" s="5" t="s">
        <v>804</v>
      </c>
      <c r="H32" s="5" t="s">
        <v>842</v>
      </c>
      <c r="I32" s="4">
        <v>213974.054</v>
      </c>
      <c r="J32" s="4">
        <v>2533634.659</v>
      </c>
      <c r="K32" s="15">
        <v>213145</v>
      </c>
      <c r="L32" s="15">
        <v>2533840</v>
      </c>
      <c r="M32" s="5">
        <v>95</v>
      </c>
      <c r="N32" s="5" t="s">
        <v>833</v>
      </c>
      <c r="O32" s="13">
        <v>38878.25</v>
      </c>
      <c r="P32" s="15" t="s">
        <v>843</v>
      </c>
      <c r="Q32" s="4"/>
      <c r="R32" s="16" t="s">
        <v>233</v>
      </c>
      <c r="S32" s="16" t="s">
        <v>840</v>
      </c>
      <c r="T32" s="5">
        <v>48.5</v>
      </c>
      <c r="U32" s="5">
        <v>431.6</v>
      </c>
      <c r="V32" s="4">
        <v>400</v>
      </c>
      <c r="W32" s="8">
        <f t="shared" si="0"/>
        <v>0</v>
      </c>
      <c r="Y32" s="8"/>
      <c r="Z32" s="8"/>
      <c r="AC32" s="8" t="str">
        <f>IF(COUNTIFS(作業區!$W$2:$W$2000, T32, 作業區!$X$2:$X$2000, U32)&gt;0, "已存在", "未擴充")</f>
        <v>已存在</v>
      </c>
    </row>
    <row r="33" spans="1:29" ht="33">
      <c r="A33" s="8">
        <f t="shared" si="1"/>
        <v>32</v>
      </c>
      <c r="B33" s="5" t="s">
        <v>844</v>
      </c>
      <c r="C33" s="5"/>
      <c r="D33" s="4" t="s">
        <v>845</v>
      </c>
      <c r="E33" s="5" t="s">
        <v>846</v>
      </c>
      <c r="F33" s="5" t="s">
        <v>847</v>
      </c>
      <c r="G33" s="5" t="s">
        <v>848</v>
      </c>
      <c r="H33" s="5"/>
      <c r="I33" s="4">
        <v>234379.95499999999</v>
      </c>
      <c r="J33" s="4">
        <v>2689164.05</v>
      </c>
      <c r="K33" s="15">
        <v>233551</v>
      </c>
      <c r="L33" s="15">
        <v>2689370</v>
      </c>
      <c r="M33" s="5">
        <v>95</v>
      </c>
      <c r="N33" s="5" t="s">
        <v>833</v>
      </c>
      <c r="O33" s="13">
        <v>38878.208333333336</v>
      </c>
      <c r="P33" s="15" t="s">
        <v>849</v>
      </c>
      <c r="Q33" s="4"/>
      <c r="R33" s="16" t="s">
        <v>850</v>
      </c>
      <c r="S33" s="16" t="s">
        <v>851</v>
      </c>
      <c r="T33" s="5">
        <v>8.5</v>
      </c>
      <c r="U33" s="5">
        <v>286.7</v>
      </c>
      <c r="V33" s="4">
        <v>250</v>
      </c>
      <c r="W33" s="8">
        <f t="shared" si="0"/>
        <v>0</v>
      </c>
      <c r="Y33" s="8"/>
      <c r="Z33" s="8"/>
      <c r="AC33" s="8" t="str">
        <f>IF(COUNTIFS(作業區!$W$2:$W$2000, T33, 作業區!$X$2:$X$2000, U33)&gt;0, "已存在", "未擴充")</f>
        <v>已存在</v>
      </c>
    </row>
    <row r="34" spans="1:29" ht="33">
      <c r="A34" s="8">
        <f t="shared" si="1"/>
        <v>33</v>
      </c>
      <c r="B34" s="5" t="s">
        <v>754</v>
      </c>
      <c r="C34" s="5"/>
      <c r="D34" s="4" t="s">
        <v>852</v>
      </c>
      <c r="E34" s="5" t="s">
        <v>769</v>
      </c>
      <c r="F34" s="5" t="s">
        <v>773</v>
      </c>
      <c r="G34" s="5" t="s">
        <v>853</v>
      </c>
      <c r="H34" s="5"/>
      <c r="I34" s="4">
        <v>271788.821</v>
      </c>
      <c r="J34" s="4">
        <v>2676723.094</v>
      </c>
      <c r="K34" s="15">
        <v>270960</v>
      </c>
      <c r="L34" s="15">
        <v>2676929</v>
      </c>
      <c r="M34" s="5">
        <v>95</v>
      </c>
      <c r="N34" s="5" t="s">
        <v>833</v>
      </c>
      <c r="O34" s="13">
        <v>38877.208333333336</v>
      </c>
      <c r="P34" s="15" t="s">
        <v>854</v>
      </c>
      <c r="Q34" s="4"/>
      <c r="R34" s="16" t="s">
        <v>855</v>
      </c>
      <c r="S34" s="16" t="s">
        <v>856</v>
      </c>
      <c r="T34" s="5">
        <v>25.5</v>
      </c>
      <c r="U34" s="5">
        <v>436.4</v>
      </c>
      <c r="V34" s="16" t="s">
        <v>857</v>
      </c>
      <c r="W34" s="8">
        <f t="shared" si="0"/>
        <v>0</v>
      </c>
      <c r="Y34" s="8"/>
      <c r="Z34" s="8"/>
      <c r="AC34" s="8" t="str">
        <f>IF(COUNTIFS(作業區!$W$2:$W$2000, T34, 作業區!$X$2:$X$2000, U34)&gt;0, "已存在", "未擴充")</f>
        <v>已存在</v>
      </c>
    </row>
    <row r="35" spans="1:29" ht="33">
      <c r="A35" s="8">
        <f t="shared" si="1"/>
        <v>34</v>
      </c>
      <c r="B35" s="5" t="s">
        <v>754</v>
      </c>
      <c r="C35" s="5"/>
      <c r="D35" s="4" t="s">
        <v>858</v>
      </c>
      <c r="E35" s="5" t="s">
        <v>769</v>
      </c>
      <c r="F35" s="5" t="s">
        <v>859</v>
      </c>
      <c r="G35" s="5" t="s">
        <v>860</v>
      </c>
      <c r="H35" s="5"/>
      <c r="I35" s="4">
        <v>239330.94</v>
      </c>
      <c r="J35" s="4">
        <v>2630325.2680000002</v>
      </c>
      <c r="K35" s="15">
        <v>238502</v>
      </c>
      <c r="L35" s="15">
        <v>2630531</v>
      </c>
      <c r="M35" s="5">
        <v>95</v>
      </c>
      <c r="N35" s="5" t="s">
        <v>833</v>
      </c>
      <c r="O35" s="13">
        <v>38877.208333333336</v>
      </c>
      <c r="P35" s="15" t="s">
        <v>861</v>
      </c>
      <c r="Q35" s="4"/>
      <c r="R35" s="16" t="s">
        <v>105</v>
      </c>
      <c r="S35" s="16" t="s">
        <v>836</v>
      </c>
      <c r="T35" s="5">
        <v>13.5</v>
      </c>
      <c r="U35" s="5">
        <v>71.3</v>
      </c>
      <c r="V35" s="16" t="s">
        <v>857</v>
      </c>
      <c r="W35" s="8">
        <f t="shared" si="0"/>
        <v>0</v>
      </c>
      <c r="Y35" s="8"/>
      <c r="Z35" s="8"/>
      <c r="AC35" s="8" t="str">
        <f>IF(COUNTIFS(作業區!$W$2:$W$2000, T35, 作業區!$X$2:$X$2000, U35)&gt;0, "已存在", "未擴充")</f>
        <v>已存在</v>
      </c>
    </row>
    <row r="36" spans="1:29" ht="33">
      <c r="A36" s="8">
        <f t="shared" si="1"/>
        <v>35</v>
      </c>
      <c r="B36" s="5" t="s">
        <v>754</v>
      </c>
      <c r="C36" s="5"/>
      <c r="D36" s="4" t="s">
        <v>862</v>
      </c>
      <c r="E36" s="5" t="s">
        <v>846</v>
      </c>
      <c r="F36" s="5" t="s">
        <v>863</v>
      </c>
      <c r="G36" s="5" t="s">
        <v>864</v>
      </c>
      <c r="H36" s="5"/>
      <c r="I36" s="4">
        <v>229695.96900000001</v>
      </c>
      <c r="J36" s="4">
        <v>2715187.9589999998</v>
      </c>
      <c r="K36" s="15">
        <v>228867</v>
      </c>
      <c r="L36" s="15">
        <v>2715394</v>
      </c>
      <c r="M36" s="5">
        <v>95</v>
      </c>
      <c r="N36" s="5" t="s">
        <v>833</v>
      </c>
      <c r="O36" s="13">
        <v>38878.333333333336</v>
      </c>
      <c r="P36" s="15" t="s">
        <v>865</v>
      </c>
      <c r="Q36" s="4"/>
      <c r="R36" s="16" t="s">
        <v>866</v>
      </c>
      <c r="S36" s="16" t="s">
        <v>867</v>
      </c>
      <c r="T36" s="5">
        <v>51</v>
      </c>
      <c r="U36" s="5">
        <v>261.60000000000002</v>
      </c>
      <c r="V36" s="16" t="s">
        <v>857</v>
      </c>
      <c r="W36" s="8">
        <f t="shared" si="0"/>
        <v>0</v>
      </c>
      <c r="Y36" s="8"/>
      <c r="Z36" s="8"/>
      <c r="AC36" s="8" t="str">
        <f>IF(COUNTIFS(作業區!$W$2:$W$2000, T36, 作業區!$X$2:$X$2000, U36)&gt;0, "已存在", "未擴充")</f>
        <v>已存在</v>
      </c>
    </row>
    <row r="37" spans="1:29" ht="33">
      <c r="A37" s="8">
        <f t="shared" si="1"/>
        <v>36</v>
      </c>
      <c r="B37" s="5" t="s">
        <v>754</v>
      </c>
      <c r="C37" s="5"/>
      <c r="D37" s="4" t="s">
        <v>868</v>
      </c>
      <c r="E37" s="5" t="s">
        <v>869</v>
      </c>
      <c r="F37" s="5" t="s">
        <v>870</v>
      </c>
      <c r="G37" s="5" t="s">
        <v>871</v>
      </c>
      <c r="H37" s="5"/>
      <c r="I37" s="4">
        <v>213143.041</v>
      </c>
      <c r="J37" s="4">
        <v>2627780.2749999999</v>
      </c>
      <c r="K37" s="15">
        <v>212314</v>
      </c>
      <c r="L37" s="15">
        <v>2627986</v>
      </c>
      <c r="M37" s="5">
        <v>95</v>
      </c>
      <c r="N37" s="5" t="s">
        <v>833</v>
      </c>
      <c r="O37" s="13">
        <v>38877.708333333336</v>
      </c>
      <c r="P37" s="15" t="s">
        <v>872</v>
      </c>
      <c r="Q37" s="4"/>
      <c r="R37" s="16" t="s">
        <v>873</v>
      </c>
      <c r="S37" s="16" t="s">
        <v>874</v>
      </c>
      <c r="T37" s="5">
        <v>1</v>
      </c>
      <c r="U37" s="5">
        <v>250.7</v>
      </c>
      <c r="V37" s="16" t="s">
        <v>857</v>
      </c>
      <c r="W37" s="8">
        <f t="shared" si="0"/>
        <v>0</v>
      </c>
      <c r="Y37" s="8"/>
      <c r="Z37" s="8"/>
      <c r="AC37" s="8" t="str">
        <f>IF(COUNTIFS(作業區!$W$2:$W$2000, T37, 作業區!$X$2:$X$2000, U37)&gt;0, "已存在", "未擴充")</f>
        <v>已存在</v>
      </c>
    </row>
    <row r="38" spans="1:29" ht="33">
      <c r="A38" s="8">
        <f t="shared" si="1"/>
        <v>37</v>
      </c>
      <c r="B38" s="5" t="s">
        <v>875</v>
      </c>
      <c r="C38" s="5"/>
      <c r="D38" s="4" t="s">
        <v>876</v>
      </c>
      <c r="E38" s="5" t="s">
        <v>769</v>
      </c>
      <c r="F38" s="5" t="s">
        <v>773</v>
      </c>
      <c r="G38" s="5" t="s">
        <v>877</v>
      </c>
      <c r="H38" s="5"/>
      <c r="I38" s="4">
        <v>263296.84999999998</v>
      </c>
      <c r="J38" s="4">
        <v>2657263.1660000002</v>
      </c>
      <c r="K38" s="15">
        <v>262468</v>
      </c>
      <c r="L38" s="15">
        <v>2657469</v>
      </c>
      <c r="M38" s="5">
        <v>95</v>
      </c>
      <c r="N38" s="5" t="s">
        <v>833</v>
      </c>
      <c r="O38" s="13">
        <v>38877.625</v>
      </c>
      <c r="P38" s="15" t="s">
        <v>878</v>
      </c>
      <c r="Q38" s="4"/>
      <c r="R38" s="16" t="s">
        <v>879</v>
      </c>
      <c r="S38" s="16" t="s">
        <v>880</v>
      </c>
      <c r="T38" s="5">
        <v>9</v>
      </c>
      <c r="U38" s="5">
        <v>529.4</v>
      </c>
      <c r="V38" s="16" t="s">
        <v>857</v>
      </c>
      <c r="W38" s="8">
        <f t="shared" si="0"/>
        <v>0</v>
      </c>
      <c r="Y38" s="8"/>
      <c r="Z38" s="8"/>
      <c r="AC38" s="8" t="str">
        <f>IF(COUNTIFS(作業區!$W$2:$W$2000, T38, 作業區!$X$2:$X$2000, U38)&gt;0, "已存在", "未擴充")</f>
        <v>已存在</v>
      </c>
    </row>
    <row r="39" spans="1:29">
      <c r="A39" s="8">
        <f t="shared" si="1"/>
        <v>38</v>
      </c>
      <c r="B39" s="5" t="s">
        <v>881</v>
      </c>
      <c r="C39" s="5"/>
      <c r="D39" s="4" t="s">
        <v>882</v>
      </c>
      <c r="E39" s="2" t="s">
        <v>756</v>
      </c>
      <c r="F39" s="5" t="s">
        <v>765</v>
      </c>
      <c r="G39" s="5" t="s">
        <v>883</v>
      </c>
      <c r="H39" s="5"/>
      <c r="I39" s="4">
        <v>227901.978</v>
      </c>
      <c r="J39" s="4">
        <v>2687192.057</v>
      </c>
      <c r="K39" s="4">
        <v>227073</v>
      </c>
      <c r="L39" s="4">
        <v>2687398</v>
      </c>
      <c r="M39" s="5">
        <v>96</v>
      </c>
      <c r="N39" s="5" t="s">
        <v>884</v>
      </c>
      <c r="O39" s="13">
        <v>39241.583333333336</v>
      </c>
      <c r="P39" s="4" t="s">
        <v>885</v>
      </c>
      <c r="Q39" s="4"/>
      <c r="R39" s="16" t="s">
        <v>886</v>
      </c>
      <c r="S39" s="16" t="s">
        <v>887</v>
      </c>
      <c r="T39" s="5">
        <v>20.5</v>
      </c>
      <c r="U39" s="5">
        <v>387.8</v>
      </c>
      <c r="V39" s="16" t="s">
        <v>857</v>
      </c>
      <c r="W39" s="8">
        <f t="shared" si="0"/>
        <v>0</v>
      </c>
      <c r="Y39" s="8"/>
      <c r="Z39" s="8"/>
      <c r="AC39" s="8" t="str">
        <f>IF(COUNTIFS(作業區!$W$2:$W$2000, T39, 作業區!$X$2:$X$2000, U39)&gt;0, "已存在", "未擴充")</f>
        <v>已存在</v>
      </c>
    </row>
    <row r="40" spans="1:29">
      <c r="A40" s="8">
        <f t="shared" si="1"/>
        <v>39</v>
      </c>
      <c r="B40" s="5" t="s">
        <v>881</v>
      </c>
      <c r="C40" s="5"/>
      <c r="D40" s="17" t="s">
        <v>888</v>
      </c>
      <c r="E40" s="2" t="s">
        <v>769</v>
      </c>
      <c r="F40" s="2" t="s">
        <v>831</v>
      </c>
      <c r="G40" s="2" t="s">
        <v>889</v>
      </c>
      <c r="H40" s="5"/>
      <c r="I40" s="4">
        <v>235737.954</v>
      </c>
      <c r="J40" s="4">
        <v>2637144.2420000001</v>
      </c>
      <c r="K40" s="17">
        <v>234909</v>
      </c>
      <c r="L40" s="17">
        <v>2637350</v>
      </c>
      <c r="M40" s="5">
        <v>96</v>
      </c>
      <c r="N40" s="5" t="s">
        <v>884</v>
      </c>
      <c r="O40" s="13">
        <v>39240.666666666664</v>
      </c>
      <c r="P40" s="17" t="s">
        <v>890</v>
      </c>
      <c r="Q40" s="4"/>
      <c r="R40" s="16" t="s">
        <v>891</v>
      </c>
      <c r="S40" s="16" t="s">
        <v>892</v>
      </c>
      <c r="T40" s="5">
        <v>30</v>
      </c>
      <c r="U40" s="5">
        <v>155.69999999999999</v>
      </c>
      <c r="V40" s="16">
        <v>250</v>
      </c>
      <c r="W40" s="8">
        <f t="shared" si="0"/>
        <v>0</v>
      </c>
      <c r="Y40" s="8"/>
      <c r="Z40" s="8"/>
      <c r="AC40" s="8" t="str">
        <f>IF(COUNTIFS(作業區!$W$2:$W$2000, T40, 作業區!$X$2:$X$2000, U40)&gt;0, "已存在", "未擴充")</f>
        <v>已存在</v>
      </c>
    </row>
    <row r="41" spans="1:29">
      <c r="A41" s="8">
        <f t="shared" si="1"/>
        <v>40</v>
      </c>
      <c r="B41" s="5" t="s">
        <v>893</v>
      </c>
      <c r="C41" s="5"/>
      <c r="D41" s="4" t="s">
        <v>894</v>
      </c>
      <c r="E41" s="5" t="s">
        <v>895</v>
      </c>
      <c r="F41" s="5" t="s">
        <v>896</v>
      </c>
      <c r="G41" s="5" t="s">
        <v>897</v>
      </c>
      <c r="H41" s="5"/>
      <c r="I41" s="4">
        <v>315973.69</v>
      </c>
      <c r="J41" s="4">
        <v>2765877.7829999998</v>
      </c>
      <c r="K41" s="4">
        <v>315145</v>
      </c>
      <c r="L41" s="4">
        <v>2766084</v>
      </c>
      <c r="M41" s="5">
        <v>96</v>
      </c>
      <c r="N41" s="5" t="s">
        <v>884</v>
      </c>
      <c r="O41" s="13">
        <v>39241.375</v>
      </c>
      <c r="P41" s="4" t="s">
        <v>898</v>
      </c>
      <c r="Q41" s="4"/>
      <c r="R41" s="16" t="s">
        <v>899</v>
      </c>
      <c r="S41" s="16" t="s">
        <v>900</v>
      </c>
      <c r="T41" s="5">
        <v>4.5</v>
      </c>
      <c r="U41" s="5">
        <v>230.3</v>
      </c>
      <c r="V41" s="16">
        <v>500</v>
      </c>
      <c r="W41" s="8">
        <f t="shared" si="0"/>
        <v>0</v>
      </c>
      <c r="Y41" s="8"/>
      <c r="Z41" s="8"/>
      <c r="AC41" s="8" t="str">
        <f>IF(COUNTIFS(作業區!$W$2:$W$2000, T41, 作業區!$X$2:$X$2000, U41)&gt;0, "已存在", "未擴充")</f>
        <v>已存在</v>
      </c>
    </row>
    <row r="42" spans="1:29">
      <c r="A42" s="8">
        <f t="shared" si="1"/>
        <v>41</v>
      </c>
      <c r="B42" s="5" t="s">
        <v>893</v>
      </c>
      <c r="C42" s="5"/>
      <c r="D42" s="4" t="s">
        <v>901</v>
      </c>
      <c r="E42" s="5" t="s">
        <v>895</v>
      </c>
      <c r="F42" s="5" t="s">
        <v>902</v>
      </c>
      <c r="G42" s="5" t="s">
        <v>903</v>
      </c>
      <c r="H42" s="5"/>
      <c r="I42" s="4">
        <v>301669.73499999999</v>
      </c>
      <c r="J42" s="4">
        <v>2763844.7940000002</v>
      </c>
      <c r="K42" s="4">
        <v>300841</v>
      </c>
      <c r="L42" s="4">
        <v>2764051</v>
      </c>
      <c r="M42" s="5">
        <v>96</v>
      </c>
      <c r="N42" s="5" t="s">
        <v>884</v>
      </c>
      <c r="O42" s="13">
        <v>39243.25</v>
      </c>
      <c r="P42" s="4" t="s">
        <v>904</v>
      </c>
      <c r="Q42" s="4"/>
      <c r="R42" s="16" t="s">
        <v>905</v>
      </c>
      <c r="S42" s="16" t="s">
        <v>906</v>
      </c>
      <c r="T42" s="5">
        <v>1</v>
      </c>
      <c r="U42" s="5">
        <v>232.6</v>
      </c>
      <c r="V42" s="16" t="s">
        <v>857</v>
      </c>
      <c r="W42" s="8">
        <f t="shared" si="0"/>
        <v>0</v>
      </c>
      <c r="Y42" s="8"/>
      <c r="Z42" s="8"/>
      <c r="AC42" s="8" t="str">
        <f>IF(COUNTIFS(作業區!$W$2:$W$2000, T42, 作業區!$X$2:$X$2000, U42)&gt;0, "已存在", "未擴充")</f>
        <v>已存在</v>
      </c>
    </row>
    <row r="43" spans="1:29">
      <c r="A43" s="8">
        <f t="shared" si="1"/>
        <v>42</v>
      </c>
      <c r="B43" s="5" t="s">
        <v>893</v>
      </c>
      <c r="C43" s="5"/>
      <c r="D43" s="17" t="s">
        <v>907</v>
      </c>
      <c r="E43" s="2" t="s">
        <v>769</v>
      </c>
      <c r="F43" s="2" t="s">
        <v>908</v>
      </c>
      <c r="G43" s="2" t="s">
        <v>909</v>
      </c>
      <c r="H43" s="5"/>
      <c r="I43" s="4">
        <v>234202.95800000001</v>
      </c>
      <c r="J43" s="4">
        <v>2650392.1919999998</v>
      </c>
      <c r="K43" s="17">
        <v>233374</v>
      </c>
      <c r="L43" s="17">
        <v>2650598</v>
      </c>
      <c r="M43" s="5">
        <v>96</v>
      </c>
      <c r="N43" s="5" t="s">
        <v>884</v>
      </c>
      <c r="O43" s="13">
        <v>39240.666666666664</v>
      </c>
      <c r="P43" s="17" t="s">
        <v>910</v>
      </c>
      <c r="Q43" s="4"/>
      <c r="R43" s="16" t="s">
        <v>911</v>
      </c>
      <c r="S43" s="16" t="s">
        <v>912</v>
      </c>
      <c r="T43" s="5">
        <v>26.5</v>
      </c>
      <c r="U43" s="5">
        <v>232.1</v>
      </c>
      <c r="V43" s="16">
        <v>250</v>
      </c>
      <c r="W43" s="8">
        <f t="shared" si="0"/>
        <v>0</v>
      </c>
      <c r="Y43" s="8"/>
      <c r="Z43" s="8"/>
      <c r="AC43" s="8" t="str">
        <f>IF(COUNTIFS(作業區!$W$2:$W$2000, T43, 作業區!$X$2:$X$2000, U43)&gt;0, "已存在", "未擴充")</f>
        <v>已存在</v>
      </c>
    </row>
    <row r="44" spans="1:29">
      <c r="A44" s="8">
        <f t="shared" si="1"/>
        <v>43</v>
      </c>
      <c r="B44" s="5" t="s">
        <v>893</v>
      </c>
      <c r="C44" s="5"/>
      <c r="D44" s="4" t="s">
        <v>913</v>
      </c>
      <c r="E44" s="5" t="s">
        <v>914</v>
      </c>
      <c r="F44" s="5" t="s">
        <v>915</v>
      </c>
      <c r="G44" s="5" t="s">
        <v>916</v>
      </c>
      <c r="H44" s="5"/>
      <c r="I44" s="4">
        <v>322735.674</v>
      </c>
      <c r="J44" s="4">
        <v>2779602.7379999999</v>
      </c>
      <c r="K44" s="4">
        <v>321907</v>
      </c>
      <c r="L44" s="4">
        <v>2779809</v>
      </c>
      <c r="M44" s="5">
        <v>96</v>
      </c>
      <c r="N44" s="5" t="s">
        <v>884</v>
      </c>
      <c r="O44" s="13">
        <v>39241.333333333336</v>
      </c>
      <c r="P44" s="4" t="s">
        <v>917</v>
      </c>
      <c r="Q44" s="4"/>
      <c r="R44" s="16" t="s">
        <v>918</v>
      </c>
      <c r="S44" s="16" t="s">
        <v>919</v>
      </c>
      <c r="T44" s="5">
        <v>13</v>
      </c>
      <c r="U44" s="5">
        <v>192.9</v>
      </c>
      <c r="V44" s="16" t="s">
        <v>857</v>
      </c>
      <c r="W44" s="8">
        <f t="shared" si="0"/>
        <v>0</v>
      </c>
      <c r="Y44" s="8"/>
      <c r="Z44" s="8"/>
      <c r="AC44" s="8" t="str">
        <f>IF(COUNTIFS(作業區!$W$2:$W$2000, T44, 作業區!$X$2:$X$2000, U44)&gt;0, "已存在", "未擴充")</f>
        <v>已存在</v>
      </c>
    </row>
    <row r="45" spans="1:29">
      <c r="A45" s="8">
        <f t="shared" si="1"/>
        <v>44</v>
      </c>
      <c r="B45" s="2" t="s">
        <v>920</v>
      </c>
      <c r="C45" s="2"/>
      <c r="D45" s="17" t="s">
        <v>921</v>
      </c>
      <c r="E45" s="14" t="s">
        <v>922</v>
      </c>
      <c r="F45" s="14" t="s">
        <v>923</v>
      </c>
      <c r="G45" s="14" t="s">
        <v>924</v>
      </c>
      <c r="H45" s="18" t="s">
        <v>925</v>
      </c>
      <c r="I45" s="4">
        <v>249582.90100000001</v>
      </c>
      <c r="J45" s="4">
        <v>2502786.798</v>
      </c>
      <c r="K45" s="17">
        <v>248754</v>
      </c>
      <c r="L45" s="17">
        <v>2502992</v>
      </c>
      <c r="M45" s="2">
        <v>96</v>
      </c>
      <c r="N45" s="5" t="s">
        <v>926</v>
      </c>
      <c r="O45" s="13">
        <v>39303.083333333336</v>
      </c>
      <c r="P45" s="17" t="s">
        <v>927</v>
      </c>
      <c r="Q45" s="4"/>
      <c r="R45" s="16" t="s">
        <v>634</v>
      </c>
      <c r="S45" s="16" t="s">
        <v>928</v>
      </c>
      <c r="T45" s="5">
        <v>55</v>
      </c>
      <c r="U45" s="5">
        <v>316.2</v>
      </c>
      <c r="V45" s="16">
        <v>450</v>
      </c>
      <c r="W45" s="8">
        <f t="shared" si="0"/>
        <v>0</v>
      </c>
      <c r="Y45" s="8"/>
      <c r="Z45" s="8"/>
      <c r="AC45" s="8" t="str">
        <f>IF(COUNTIFS(作業區!$W$2:$W$2000, T45, 作業區!$X$2:$X$2000, U45)&gt;0, "已存在", "未擴充")</f>
        <v>已存在</v>
      </c>
    </row>
    <row r="46" spans="1:29" hidden="1">
      <c r="A46" s="8">
        <f t="shared" si="1"/>
        <v>45</v>
      </c>
      <c r="B46" s="2" t="s">
        <v>920</v>
      </c>
      <c r="C46" s="2"/>
      <c r="D46" s="4" t="s">
        <v>929</v>
      </c>
      <c r="E46" s="14" t="s">
        <v>930</v>
      </c>
      <c r="F46" s="14" t="s">
        <v>931</v>
      </c>
      <c r="G46" s="14" t="s">
        <v>932</v>
      </c>
      <c r="H46" s="5" t="s">
        <v>933</v>
      </c>
      <c r="I46" s="4">
        <v>219720.033</v>
      </c>
      <c r="J46" s="4">
        <v>2510319.7620000001</v>
      </c>
      <c r="K46" s="17">
        <v>218891</v>
      </c>
      <c r="L46" s="4">
        <v>2510525</v>
      </c>
      <c r="M46" s="5">
        <v>96</v>
      </c>
      <c r="N46" s="5" t="s">
        <v>926</v>
      </c>
      <c r="O46" s="13">
        <v>39307.791666666664</v>
      </c>
      <c r="P46" s="17" t="s">
        <v>934</v>
      </c>
      <c r="Q46" s="4"/>
      <c r="R46" s="16" t="s">
        <v>608</v>
      </c>
      <c r="S46" s="16" t="s">
        <v>935</v>
      </c>
      <c r="T46" s="5">
        <v>71</v>
      </c>
      <c r="U46" s="5">
        <v>1104.01</v>
      </c>
      <c r="V46" s="16">
        <v>550</v>
      </c>
      <c r="W46" s="8">
        <f t="shared" si="0"/>
        <v>0</v>
      </c>
      <c r="Y46" s="8"/>
      <c r="Z46" s="8"/>
      <c r="AC46" s="8" t="str">
        <f>IF(COUNTIFS(作業區!$W$2:$W$2000, T46, 作業區!$X$2:$X$2000, U46)&gt;0, "已存在", "未擴充")</f>
        <v>已存在</v>
      </c>
    </row>
    <row r="47" spans="1:29">
      <c r="A47" s="8">
        <f t="shared" si="1"/>
        <v>46</v>
      </c>
      <c r="B47" s="2" t="s">
        <v>920</v>
      </c>
      <c r="C47" s="2"/>
      <c r="D47" s="17" t="s">
        <v>936</v>
      </c>
      <c r="E47" s="14" t="s">
        <v>930</v>
      </c>
      <c r="F47" s="14" t="s">
        <v>937</v>
      </c>
      <c r="G47" s="14" t="s">
        <v>938</v>
      </c>
      <c r="H47" s="5" t="s">
        <v>939</v>
      </c>
      <c r="I47" s="4">
        <v>217418.04300000001</v>
      </c>
      <c r="J47" s="4">
        <v>2510795.7590000001</v>
      </c>
      <c r="K47" s="17">
        <v>216589</v>
      </c>
      <c r="L47" s="17">
        <v>2511001</v>
      </c>
      <c r="M47" s="5">
        <v>96</v>
      </c>
      <c r="N47" s="5" t="s">
        <v>926</v>
      </c>
      <c r="O47" s="13">
        <v>39307.791666666664</v>
      </c>
      <c r="P47" s="17" t="s">
        <v>940</v>
      </c>
      <c r="Q47" s="4"/>
      <c r="R47" s="16" t="s">
        <v>608</v>
      </c>
      <c r="S47" s="16" t="s">
        <v>935</v>
      </c>
      <c r="T47" s="5">
        <v>71</v>
      </c>
      <c r="U47" s="5">
        <v>1104.4000000000001</v>
      </c>
      <c r="V47" s="16" t="s">
        <v>857</v>
      </c>
      <c r="W47" s="8">
        <f t="shared" si="0"/>
        <v>0</v>
      </c>
      <c r="Y47" s="8"/>
      <c r="Z47" s="8"/>
      <c r="AC47" s="8" t="str">
        <f>IF(COUNTIFS(作業區!$W$2:$W$2000, T47, 作業區!$X$2:$X$2000, U47)&gt;0, "已存在", "未擴充")</f>
        <v>已存在</v>
      </c>
    </row>
    <row r="48" spans="1:29">
      <c r="A48" s="8">
        <f t="shared" si="1"/>
        <v>47</v>
      </c>
      <c r="B48" s="5" t="s">
        <v>893</v>
      </c>
      <c r="C48" s="5"/>
      <c r="D48" s="17" t="s">
        <v>941</v>
      </c>
      <c r="E48" s="14" t="s">
        <v>942</v>
      </c>
      <c r="F48" s="2" t="s">
        <v>943</v>
      </c>
      <c r="G48" s="2" t="s">
        <v>944</v>
      </c>
      <c r="H48" s="5"/>
      <c r="I48" s="4">
        <v>193031.14</v>
      </c>
      <c r="J48" s="4">
        <v>2549216.588</v>
      </c>
      <c r="K48" s="17">
        <v>192202</v>
      </c>
      <c r="L48" s="17">
        <v>2549422</v>
      </c>
      <c r="M48" s="5">
        <v>96</v>
      </c>
      <c r="N48" s="5" t="s">
        <v>926</v>
      </c>
      <c r="O48" s="13">
        <v>39308.125</v>
      </c>
      <c r="P48" s="17" t="s">
        <v>945</v>
      </c>
      <c r="Q48" s="4"/>
      <c r="R48" s="16" t="s">
        <v>218</v>
      </c>
      <c r="S48" s="16" t="s">
        <v>946</v>
      </c>
      <c r="T48" s="5">
        <v>4</v>
      </c>
      <c r="U48" s="5">
        <v>658.7</v>
      </c>
      <c r="V48" s="16" t="s">
        <v>857</v>
      </c>
      <c r="W48" s="8">
        <f t="shared" si="0"/>
        <v>0</v>
      </c>
      <c r="Y48" s="8"/>
      <c r="Z48" s="8"/>
      <c r="AC48" s="8" t="str">
        <f>IF(COUNTIFS(作業區!$W$2:$W$2000, T48, 作業區!$X$2:$X$2000, U48)&gt;0, "已存在", "未擴充")</f>
        <v>已存在</v>
      </c>
    </row>
    <row r="49" spans="1:29">
      <c r="A49" s="8">
        <f t="shared" si="1"/>
        <v>48</v>
      </c>
      <c r="B49" s="5" t="s">
        <v>893</v>
      </c>
      <c r="C49" s="5"/>
      <c r="D49" s="17" t="s">
        <v>947</v>
      </c>
      <c r="E49" s="14" t="s">
        <v>769</v>
      </c>
      <c r="F49" s="14" t="s">
        <v>770</v>
      </c>
      <c r="G49" s="14" t="s">
        <v>948</v>
      </c>
      <c r="H49" s="19"/>
      <c r="I49" s="4">
        <v>249569.90100000001</v>
      </c>
      <c r="J49" s="4">
        <v>2650111.193</v>
      </c>
      <c r="K49" s="17">
        <v>248741</v>
      </c>
      <c r="L49" s="17">
        <v>2650317</v>
      </c>
      <c r="M49" s="5">
        <v>96</v>
      </c>
      <c r="N49" s="5" t="s">
        <v>926</v>
      </c>
      <c r="O49" s="13">
        <v>39307.291666666664</v>
      </c>
      <c r="P49" s="17" t="s">
        <v>949</v>
      </c>
      <c r="Q49" s="4"/>
      <c r="R49" s="16" t="s">
        <v>950</v>
      </c>
      <c r="S49" s="16" t="s">
        <v>951</v>
      </c>
      <c r="T49" s="5">
        <v>43.5</v>
      </c>
      <c r="U49" s="5">
        <v>195.3</v>
      </c>
      <c r="V49" s="16">
        <v>350</v>
      </c>
      <c r="W49" s="8">
        <f t="shared" si="0"/>
        <v>1</v>
      </c>
      <c r="Y49" s="8"/>
      <c r="Z49" s="8"/>
      <c r="AC49" s="8" t="str">
        <f>IF(COUNTIFS(作業區!$W$2:$W$2000, T49, 作業區!$X$2:$X$2000, U49)&gt;0, "已存在", "未擴充")</f>
        <v>已存在</v>
      </c>
    </row>
    <row r="50" spans="1:29">
      <c r="A50" s="8">
        <f t="shared" si="1"/>
        <v>49</v>
      </c>
      <c r="B50" s="5" t="s">
        <v>893</v>
      </c>
      <c r="C50" s="5"/>
      <c r="D50" s="17" t="s">
        <v>952</v>
      </c>
      <c r="E50" s="14" t="s">
        <v>769</v>
      </c>
      <c r="F50" s="14" t="s">
        <v>953</v>
      </c>
      <c r="G50" s="14" t="s">
        <v>954</v>
      </c>
      <c r="H50" s="5"/>
      <c r="I50" s="4">
        <v>226619.98800000001</v>
      </c>
      <c r="J50" s="4">
        <v>2643064.2179999999</v>
      </c>
      <c r="K50" s="17">
        <v>225791</v>
      </c>
      <c r="L50" s="17">
        <v>2643270</v>
      </c>
      <c r="M50" s="5">
        <v>96</v>
      </c>
      <c r="N50" s="5" t="s">
        <v>926</v>
      </c>
      <c r="O50" s="13" t="s">
        <v>955</v>
      </c>
      <c r="P50" s="17" t="s">
        <v>956</v>
      </c>
      <c r="Q50" s="4"/>
      <c r="R50" s="16" t="s">
        <v>957</v>
      </c>
      <c r="S50" s="16" t="s">
        <v>958</v>
      </c>
      <c r="T50" s="5">
        <v>6</v>
      </c>
      <c r="U50" s="5">
        <v>60.7</v>
      </c>
      <c r="V50" s="16" t="s">
        <v>857</v>
      </c>
      <c r="W50" s="8">
        <f t="shared" si="0"/>
        <v>0</v>
      </c>
      <c r="Y50" s="8"/>
      <c r="Z50" s="8"/>
      <c r="AC50" s="8" t="str">
        <f>IF(COUNTIFS(作業區!$W$2:$W$2000, T50, 作業區!$X$2:$X$2000, U50)&gt;0, "已存在", "未擴充")</f>
        <v>已存在</v>
      </c>
    </row>
    <row r="51" spans="1:29">
      <c r="A51" s="8">
        <f t="shared" si="1"/>
        <v>50</v>
      </c>
      <c r="B51" s="5" t="s">
        <v>893</v>
      </c>
      <c r="C51" s="5"/>
      <c r="D51" s="4" t="s">
        <v>959</v>
      </c>
      <c r="E51" s="14" t="s">
        <v>930</v>
      </c>
      <c r="F51" s="14" t="s">
        <v>931</v>
      </c>
      <c r="G51" s="14" t="s">
        <v>932</v>
      </c>
      <c r="H51" s="5"/>
      <c r="I51" s="4">
        <v>219412.03400000001</v>
      </c>
      <c r="J51" s="4">
        <v>2510518.7609999999</v>
      </c>
      <c r="K51" s="17">
        <v>218583</v>
      </c>
      <c r="L51" s="17">
        <v>2510724</v>
      </c>
      <c r="M51" s="5">
        <v>96</v>
      </c>
      <c r="N51" s="5" t="s">
        <v>926</v>
      </c>
      <c r="O51" s="13">
        <v>39307.791666666664</v>
      </c>
      <c r="P51" s="17" t="s">
        <v>960</v>
      </c>
      <c r="Q51" s="4"/>
      <c r="R51" s="16" t="s">
        <v>608</v>
      </c>
      <c r="S51" s="16" t="s">
        <v>961</v>
      </c>
      <c r="T51" s="5">
        <v>71</v>
      </c>
      <c r="U51" s="5">
        <v>1104.4000000000001</v>
      </c>
      <c r="V51" s="16">
        <v>550</v>
      </c>
      <c r="W51" s="8">
        <f t="shared" si="0"/>
        <v>0</v>
      </c>
      <c r="Y51" s="8"/>
      <c r="Z51" s="8"/>
      <c r="AC51" s="8" t="str">
        <f>IF(COUNTIFS(作業區!$W$2:$W$2000, T51, 作業區!$X$2:$X$2000, U51)&gt;0, "已存在", "未擴充")</f>
        <v>已存在</v>
      </c>
    </row>
    <row r="52" spans="1:29">
      <c r="A52" s="8">
        <f t="shared" si="1"/>
        <v>51</v>
      </c>
      <c r="B52" s="5" t="s">
        <v>893</v>
      </c>
      <c r="C52" s="5"/>
      <c r="D52" s="4" t="s">
        <v>962</v>
      </c>
      <c r="E52" s="14" t="s">
        <v>930</v>
      </c>
      <c r="F52" s="14" t="s">
        <v>931</v>
      </c>
      <c r="G52" s="14" t="s">
        <v>932</v>
      </c>
      <c r="H52" s="19"/>
      <c r="I52" s="4">
        <v>218249.03899999999</v>
      </c>
      <c r="J52" s="4">
        <v>2510970.7590000001</v>
      </c>
      <c r="K52" s="17">
        <v>217420</v>
      </c>
      <c r="L52" s="17">
        <v>2511176</v>
      </c>
      <c r="M52" s="5">
        <v>96</v>
      </c>
      <c r="N52" s="5" t="s">
        <v>926</v>
      </c>
      <c r="O52" s="13">
        <v>39307.791666666664</v>
      </c>
      <c r="P52" s="17" t="s">
        <v>963</v>
      </c>
      <c r="Q52" s="4"/>
      <c r="R52" s="16" t="s">
        <v>608</v>
      </c>
      <c r="S52" s="16" t="s">
        <v>961</v>
      </c>
      <c r="T52" s="5">
        <v>71</v>
      </c>
      <c r="U52" s="5">
        <v>1104.4000000000001</v>
      </c>
      <c r="V52" s="16" t="s">
        <v>964</v>
      </c>
      <c r="W52" s="8">
        <f t="shared" si="0"/>
        <v>0</v>
      </c>
      <c r="Y52" s="8"/>
      <c r="Z52" s="8"/>
      <c r="AC52" s="8" t="str">
        <f>IF(COUNTIFS(作業區!$W$2:$W$2000, T52, 作業區!$X$2:$X$2000, U52)&gt;0, "已存在", "未擴充")</f>
        <v>已存在</v>
      </c>
    </row>
    <row r="53" spans="1:29">
      <c r="A53" s="8">
        <f t="shared" si="1"/>
        <v>52</v>
      </c>
      <c r="B53" s="5" t="s">
        <v>893</v>
      </c>
      <c r="C53" s="5"/>
      <c r="D53" s="20" t="s">
        <v>965</v>
      </c>
      <c r="E53" s="14" t="s">
        <v>930</v>
      </c>
      <c r="F53" s="14" t="s">
        <v>937</v>
      </c>
      <c r="G53" s="14" t="s">
        <v>938</v>
      </c>
      <c r="H53" s="19"/>
      <c r="I53" s="4">
        <v>216409.04800000001</v>
      </c>
      <c r="J53" s="4">
        <v>2511443.7560000001</v>
      </c>
      <c r="K53" s="17">
        <v>215580</v>
      </c>
      <c r="L53" s="17">
        <v>2511649</v>
      </c>
      <c r="M53" s="5">
        <v>96</v>
      </c>
      <c r="N53" s="5" t="s">
        <v>926</v>
      </c>
      <c r="O53" s="13" t="s">
        <v>966</v>
      </c>
      <c r="P53" s="17" t="s">
        <v>967</v>
      </c>
      <c r="Q53" s="4"/>
      <c r="R53" s="16" t="s">
        <v>608</v>
      </c>
      <c r="S53" s="16" t="s">
        <v>961</v>
      </c>
      <c r="T53" s="5">
        <v>139</v>
      </c>
      <c r="U53" s="5">
        <v>1068.5</v>
      </c>
      <c r="V53" s="16" t="s">
        <v>857</v>
      </c>
      <c r="W53" s="8">
        <f t="shared" si="0"/>
        <v>0</v>
      </c>
      <c r="Y53" s="8"/>
      <c r="Z53" s="8"/>
      <c r="AC53" s="8" t="str">
        <f>IF(COUNTIFS(作業區!$W$2:$W$2000, T53, 作業區!$X$2:$X$2000, U53)&gt;0, "已存在", "未擴充")</f>
        <v>已存在</v>
      </c>
    </row>
    <row r="54" spans="1:29">
      <c r="A54" s="8">
        <f t="shared" si="1"/>
        <v>53</v>
      </c>
      <c r="B54" s="5" t="s">
        <v>893</v>
      </c>
      <c r="C54" s="5"/>
      <c r="D54" s="20" t="s">
        <v>968</v>
      </c>
      <c r="E54" s="14" t="s">
        <v>930</v>
      </c>
      <c r="F54" s="14" t="s">
        <v>937</v>
      </c>
      <c r="G54" s="14" t="s">
        <v>938</v>
      </c>
      <c r="H54" s="5"/>
      <c r="I54" s="4">
        <v>214851.054</v>
      </c>
      <c r="J54" s="4">
        <v>2511813.7540000002</v>
      </c>
      <c r="K54" s="17">
        <v>214022</v>
      </c>
      <c r="L54" s="17">
        <v>2512019</v>
      </c>
      <c r="M54" s="5">
        <v>96</v>
      </c>
      <c r="N54" s="5" t="s">
        <v>926</v>
      </c>
      <c r="O54" s="13" t="s">
        <v>966</v>
      </c>
      <c r="P54" s="17" t="s">
        <v>969</v>
      </c>
      <c r="Q54" s="4"/>
      <c r="R54" s="16" t="s">
        <v>608</v>
      </c>
      <c r="S54" s="16" t="s">
        <v>935</v>
      </c>
      <c r="T54" s="5">
        <v>139</v>
      </c>
      <c r="U54" s="5">
        <v>1068.5</v>
      </c>
      <c r="V54" s="16" t="s">
        <v>970</v>
      </c>
      <c r="W54" s="8">
        <f t="shared" si="0"/>
        <v>0</v>
      </c>
      <c r="Y54" s="8"/>
      <c r="Z54" s="8"/>
      <c r="AC54" s="8" t="str">
        <f>IF(COUNTIFS(作業區!$W$2:$W$2000, T54, 作業區!$X$2:$X$2000, U54)&gt;0, "已存在", "未擴充")</f>
        <v>已存在</v>
      </c>
    </row>
    <row r="55" spans="1:29">
      <c r="A55" s="8">
        <f t="shared" si="1"/>
        <v>54</v>
      </c>
      <c r="B55" s="5" t="s">
        <v>893</v>
      </c>
      <c r="C55" s="5"/>
      <c r="D55" s="17" t="s">
        <v>971</v>
      </c>
      <c r="E55" s="14" t="s">
        <v>930</v>
      </c>
      <c r="F55" s="21" t="s">
        <v>972</v>
      </c>
      <c r="G55" s="21" t="s">
        <v>973</v>
      </c>
      <c r="H55" s="5"/>
      <c r="I55" s="4">
        <v>220189.03099999999</v>
      </c>
      <c r="J55" s="4">
        <v>2510040.7629999998</v>
      </c>
      <c r="K55" s="17">
        <v>219360</v>
      </c>
      <c r="L55" s="17">
        <v>2510246</v>
      </c>
      <c r="M55" s="5">
        <v>96</v>
      </c>
      <c r="N55" s="5" t="s">
        <v>926</v>
      </c>
      <c r="O55" s="13">
        <v>39307.666666666664</v>
      </c>
      <c r="P55" s="17" t="s">
        <v>974</v>
      </c>
      <c r="Q55" s="4"/>
      <c r="R55" s="16" t="s">
        <v>608</v>
      </c>
      <c r="S55" s="16" t="s">
        <v>961</v>
      </c>
      <c r="T55" s="5">
        <v>112.5</v>
      </c>
      <c r="U55" s="5">
        <v>846.7</v>
      </c>
      <c r="V55" s="16" t="s">
        <v>975</v>
      </c>
      <c r="W55" s="8">
        <f t="shared" si="0"/>
        <v>0</v>
      </c>
      <c r="Y55" s="8"/>
      <c r="Z55" s="8"/>
      <c r="AC55" s="8" t="str">
        <f>IF(COUNTIFS(作業區!$W$2:$W$2000, T55, 作業區!$X$2:$X$2000, U55)&gt;0, "已存在", "未擴充")</f>
        <v>已存在</v>
      </c>
    </row>
    <row r="56" spans="1:29">
      <c r="A56" s="8">
        <f t="shared" si="1"/>
        <v>55</v>
      </c>
      <c r="B56" s="5" t="s">
        <v>893</v>
      </c>
      <c r="C56" s="5"/>
      <c r="D56" s="17" t="s">
        <v>971</v>
      </c>
      <c r="E56" s="14" t="s">
        <v>930</v>
      </c>
      <c r="F56" s="21" t="s">
        <v>972</v>
      </c>
      <c r="G56" s="21" t="s">
        <v>973</v>
      </c>
      <c r="H56" s="5"/>
      <c r="I56" s="4">
        <v>219943.03200000001</v>
      </c>
      <c r="J56" s="4">
        <v>2510335.7620000001</v>
      </c>
      <c r="K56" s="17">
        <v>219114</v>
      </c>
      <c r="L56" s="17">
        <v>2510541</v>
      </c>
      <c r="M56" s="5">
        <v>96</v>
      </c>
      <c r="N56" s="5" t="s">
        <v>926</v>
      </c>
      <c r="O56" s="13">
        <v>39307.666666666664</v>
      </c>
      <c r="P56" s="17" t="s">
        <v>976</v>
      </c>
      <c r="Q56" s="4"/>
      <c r="R56" s="16" t="s">
        <v>977</v>
      </c>
      <c r="S56" s="16" t="s">
        <v>935</v>
      </c>
      <c r="T56" s="5">
        <v>112.5</v>
      </c>
      <c r="U56" s="5">
        <v>846.7</v>
      </c>
      <c r="V56" s="16" t="s">
        <v>857</v>
      </c>
      <c r="W56" s="8">
        <f t="shared" si="0"/>
        <v>0</v>
      </c>
      <c r="Y56" s="8"/>
      <c r="Z56" s="8"/>
      <c r="AC56" s="8" t="str">
        <f>IF(COUNTIFS(作業區!$W$2:$W$2000, T56, 作業區!$X$2:$X$2000, U56)&gt;0, "已存在", "未擴充")</f>
        <v>已存在</v>
      </c>
    </row>
    <row r="57" spans="1:29">
      <c r="A57" s="8">
        <f t="shared" si="1"/>
        <v>56</v>
      </c>
      <c r="B57" s="5" t="s">
        <v>893</v>
      </c>
      <c r="C57" s="5"/>
      <c r="D57" s="17" t="s">
        <v>978</v>
      </c>
      <c r="E57" s="14" t="s">
        <v>802</v>
      </c>
      <c r="F57" s="2" t="s">
        <v>979</v>
      </c>
      <c r="G57" s="2" t="s">
        <v>980</v>
      </c>
      <c r="H57" s="5"/>
      <c r="I57" s="4">
        <v>187082.18299999999</v>
      </c>
      <c r="J57" s="4">
        <v>2491625.838</v>
      </c>
      <c r="K57" s="17">
        <v>186253</v>
      </c>
      <c r="L57" s="17">
        <v>2491831</v>
      </c>
      <c r="M57" s="5">
        <v>96</v>
      </c>
      <c r="N57" s="5" t="s">
        <v>926</v>
      </c>
      <c r="O57" s="13">
        <v>39309.458333333336</v>
      </c>
      <c r="P57" s="17" t="s">
        <v>981</v>
      </c>
      <c r="Q57" s="4"/>
      <c r="R57" s="16" t="s">
        <v>982</v>
      </c>
      <c r="S57" s="16" t="s">
        <v>983</v>
      </c>
      <c r="T57" s="5">
        <v>42.5</v>
      </c>
      <c r="U57" s="5">
        <v>558</v>
      </c>
      <c r="V57" s="16" t="s">
        <v>975</v>
      </c>
      <c r="W57" s="8">
        <f t="shared" si="0"/>
        <v>0</v>
      </c>
      <c r="Y57" s="8"/>
      <c r="Z57" s="8"/>
      <c r="AC57" s="8" t="str">
        <f>IF(COUNTIFS(作業區!$W$2:$W$2000, T57, 作業區!$X$2:$X$2000, U57)&gt;0, "已存在", "未擴充")</f>
        <v>已存在</v>
      </c>
    </row>
    <row r="58" spans="1:29">
      <c r="A58" s="8">
        <f t="shared" si="1"/>
        <v>57</v>
      </c>
      <c r="B58" s="5" t="s">
        <v>893</v>
      </c>
      <c r="C58" s="5"/>
      <c r="D58" s="17" t="s">
        <v>984</v>
      </c>
      <c r="E58" s="14" t="s">
        <v>985</v>
      </c>
      <c r="F58" s="14" t="s">
        <v>986</v>
      </c>
      <c r="G58" s="14" t="s">
        <v>987</v>
      </c>
      <c r="H58" s="5"/>
      <c r="I58" s="4">
        <v>290584.74300000002</v>
      </c>
      <c r="J58" s="4">
        <v>2623662.29</v>
      </c>
      <c r="K58" s="17">
        <v>289756</v>
      </c>
      <c r="L58" s="17">
        <v>2623868</v>
      </c>
      <c r="M58" s="2">
        <v>96</v>
      </c>
      <c r="N58" s="5" t="s">
        <v>988</v>
      </c>
      <c r="O58" s="13">
        <v>39370.041666666664</v>
      </c>
      <c r="P58" s="17" t="s">
        <v>989</v>
      </c>
      <c r="Q58" s="4"/>
      <c r="R58" s="16" t="s">
        <v>990</v>
      </c>
      <c r="S58" s="16" t="s">
        <v>991</v>
      </c>
      <c r="T58" s="5">
        <v>0</v>
      </c>
      <c r="U58" s="5">
        <v>6.5</v>
      </c>
      <c r="V58" s="16" t="s">
        <v>857</v>
      </c>
      <c r="W58" s="8">
        <f t="shared" si="0"/>
        <v>0</v>
      </c>
      <c r="Y58" s="8"/>
      <c r="Z58" s="8"/>
      <c r="AC58" s="8" t="str">
        <f>IF(COUNTIFS(作業區!$W$2:$W$2000, T58, 作業區!$X$2:$X$2000, U58)&gt;0, "已存在", "未擴充")</f>
        <v>已存在</v>
      </c>
    </row>
    <row r="59" spans="1:29">
      <c r="A59" s="8">
        <f t="shared" si="1"/>
        <v>58</v>
      </c>
      <c r="B59" s="5" t="s">
        <v>893</v>
      </c>
      <c r="C59" s="5"/>
      <c r="D59" s="17" t="s">
        <v>992</v>
      </c>
      <c r="E59" s="14" t="s">
        <v>869</v>
      </c>
      <c r="F59" s="14" t="s">
        <v>870</v>
      </c>
      <c r="G59" s="14" t="s">
        <v>871</v>
      </c>
      <c r="H59" s="19"/>
      <c r="I59" s="4">
        <v>213143.041</v>
      </c>
      <c r="J59" s="4">
        <v>2627780.2749999999</v>
      </c>
      <c r="K59" s="17">
        <v>212314</v>
      </c>
      <c r="L59" s="17">
        <v>2627986</v>
      </c>
      <c r="M59" s="2">
        <v>96</v>
      </c>
      <c r="N59" s="5" t="s">
        <v>988</v>
      </c>
      <c r="O59" s="13">
        <v>39224.25</v>
      </c>
      <c r="P59" s="17" t="s">
        <v>993</v>
      </c>
      <c r="Q59" s="4"/>
      <c r="R59" s="16" t="s">
        <v>873</v>
      </c>
      <c r="S59" s="16" t="s">
        <v>994</v>
      </c>
      <c r="T59" s="5">
        <v>0</v>
      </c>
      <c r="U59" s="5">
        <v>66.400000000000006</v>
      </c>
      <c r="V59" s="16" t="s">
        <v>857</v>
      </c>
      <c r="W59" s="8">
        <f t="shared" si="0"/>
        <v>0</v>
      </c>
      <c r="Y59" s="8"/>
      <c r="Z59" s="8"/>
      <c r="AC59" s="8" t="str">
        <f>IF(COUNTIFS(作業區!$W$2:$W$2000, T59, 作業區!$X$2:$X$2000, U59)&gt;0, "已存在", "未擴充")</f>
        <v>已存在</v>
      </c>
    </row>
    <row r="60" spans="1:29">
      <c r="A60" s="8">
        <f t="shared" si="1"/>
        <v>59</v>
      </c>
      <c r="B60" s="5" t="s">
        <v>881</v>
      </c>
      <c r="C60" s="5"/>
      <c r="D60" s="17" t="s">
        <v>995</v>
      </c>
      <c r="E60" s="2" t="s">
        <v>756</v>
      </c>
      <c r="F60" s="21" t="s">
        <v>996</v>
      </c>
      <c r="G60" s="21" t="s">
        <v>997</v>
      </c>
      <c r="H60" s="5"/>
      <c r="I60" s="4">
        <v>228164.97700000001</v>
      </c>
      <c r="J60" s="4">
        <v>2684227.0669999998</v>
      </c>
      <c r="K60" s="17">
        <v>227336</v>
      </c>
      <c r="L60" s="17">
        <v>2684433</v>
      </c>
      <c r="M60" s="2">
        <v>96</v>
      </c>
      <c r="N60" s="5" t="s">
        <v>998</v>
      </c>
      <c r="O60" s="13">
        <v>39362.666666666664</v>
      </c>
      <c r="P60" s="17" t="s">
        <v>999</v>
      </c>
      <c r="Q60" s="4"/>
      <c r="R60" s="16" t="s">
        <v>886</v>
      </c>
      <c r="S60" s="16" t="s">
        <v>887</v>
      </c>
      <c r="T60" s="5">
        <v>34</v>
      </c>
      <c r="U60" s="5">
        <v>128</v>
      </c>
      <c r="V60" s="16" t="s">
        <v>857</v>
      </c>
      <c r="W60" s="8">
        <f t="shared" si="0"/>
        <v>0</v>
      </c>
      <c r="Y60" s="8"/>
      <c r="Z60" s="8"/>
      <c r="AC60" s="8" t="str">
        <f>IF(COUNTIFS(作業區!$W$2:$W$2000, T60, 作業區!$X$2:$X$2000, U60)&gt;0, "已存在", "未擴充")</f>
        <v>已存在</v>
      </c>
    </row>
    <row r="61" spans="1:29">
      <c r="A61" s="8">
        <f t="shared" si="1"/>
        <v>60</v>
      </c>
      <c r="B61" s="5" t="s">
        <v>893</v>
      </c>
      <c r="C61" s="5"/>
      <c r="D61" s="4" t="s">
        <v>1000</v>
      </c>
      <c r="E61" s="14" t="s">
        <v>1001</v>
      </c>
      <c r="F61" s="14" t="s">
        <v>1002</v>
      </c>
      <c r="G61" s="14" t="s">
        <v>1003</v>
      </c>
      <c r="H61" s="5"/>
      <c r="I61" s="4">
        <v>305860.72600000002</v>
      </c>
      <c r="J61" s="4">
        <v>2779170.7439999999</v>
      </c>
      <c r="K61" s="17">
        <v>305032</v>
      </c>
      <c r="L61" s="17">
        <v>2779377</v>
      </c>
      <c r="M61" s="2">
        <v>96</v>
      </c>
      <c r="N61" s="5" t="s">
        <v>998</v>
      </c>
      <c r="O61" s="13">
        <v>39361.625</v>
      </c>
      <c r="P61" s="17" t="s">
        <v>1004</v>
      </c>
      <c r="Q61" s="4"/>
      <c r="R61" s="16" t="s">
        <v>1005</v>
      </c>
      <c r="S61" s="16" t="s">
        <v>1006</v>
      </c>
      <c r="T61" s="5">
        <v>33</v>
      </c>
      <c r="U61" s="5">
        <v>205.3</v>
      </c>
      <c r="V61" s="16" t="s">
        <v>857</v>
      </c>
      <c r="W61" s="8">
        <f t="shared" si="0"/>
        <v>0</v>
      </c>
      <c r="Y61" s="8"/>
      <c r="Z61" s="8"/>
      <c r="AC61" s="8" t="str">
        <f>IF(COUNTIFS(作業區!$W$2:$W$2000, T61, 作業區!$X$2:$X$2000, U61)&gt;0, "已存在", "未擴充")</f>
        <v>已存在</v>
      </c>
    </row>
    <row r="62" spans="1:29">
      <c r="A62" s="8">
        <f t="shared" si="1"/>
        <v>61</v>
      </c>
      <c r="B62" s="5" t="s">
        <v>893</v>
      </c>
      <c r="C62" s="5"/>
      <c r="D62" s="17" t="s">
        <v>1007</v>
      </c>
      <c r="E62" s="14" t="s">
        <v>895</v>
      </c>
      <c r="F62" s="14" t="s">
        <v>1008</v>
      </c>
      <c r="G62" s="14" t="s">
        <v>1009</v>
      </c>
      <c r="H62" s="5"/>
      <c r="I62" s="4">
        <v>296553.755</v>
      </c>
      <c r="J62" s="4">
        <v>2780534.7420000001</v>
      </c>
      <c r="K62" s="17">
        <v>295725</v>
      </c>
      <c r="L62" s="17">
        <v>2780741</v>
      </c>
      <c r="M62" s="2">
        <v>96</v>
      </c>
      <c r="N62" s="5" t="s">
        <v>998</v>
      </c>
      <c r="O62" s="13">
        <v>39361.645833333336</v>
      </c>
      <c r="P62" s="17" t="s">
        <v>1010</v>
      </c>
      <c r="Q62" s="4"/>
      <c r="R62" s="16" t="s">
        <v>1011</v>
      </c>
      <c r="S62" s="16" t="s">
        <v>1012</v>
      </c>
      <c r="T62" s="5">
        <v>49.5</v>
      </c>
      <c r="U62" s="5">
        <v>305.5</v>
      </c>
      <c r="V62" s="16" t="s">
        <v>857</v>
      </c>
      <c r="W62" s="8">
        <f t="shared" si="0"/>
        <v>0</v>
      </c>
      <c r="Y62" s="8"/>
      <c r="Z62" s="8"/>
      <c r="AC62" s="8" t="str">
        <f>IF(COUNTIFS(作業區!$W$2:$W$2000, T62, 作業區!$X$2:$X$2000, U62)&gt;0, "已存在", "未擴充")</f>
        <v>已存在</v>
      </c>
    </row>
    <row r="63" spans="1:29">
      <c r="A63" s="8">
        <f t="shared" si="1"/>
        <v>62</v>
      </c>
      <c r="B63" s="5" t="s">
        <v>893</v>
      </c>
      <c r="C63" s="5"/>
      <c r="D63" s="4" t="s">
        <v>1013</v>
      </c>
      <c r="E63" s="14" t="s">
        <v>895</v>
      </c>
      <c r="F63" s="14" t="s">
        <v>1014</v>
      </c>
      <c r="G63" s="14" t="s">
        <v>1015</v>
      </c>
      <c r="H63" s="5"/>
      <c r="I63" s="4">
        <v>292508.76699999999</v>
      </c>
      <c r="J63" s="4">
        <v>2778016.7510000002</v>
      </c>
      <c r="K63" s="17">
        <v>291680</v>
      </c>
      <c r="L63" s="17">
        <v>2778223</v>
      </c>
      <c r="M63" s="2">
        <v>96</v>
      </c>
      <c r="N63" s="5" t="s">
        <v>998</v>
      </c>
      <c r="O63" s="13">
        <v>39362.041666666664</v>
      </c>
      <c r="P63" s="17" t="s">
        <v>1016</v>
      </c>
      <c r="Q63" s="4"/>
      <c r="R63" s="16" t="s">
        <v>1017</v>
      </c>
      <c r="S63" s="16" t="s">
        <v>1018</v>
      </c>
      <c r="T63" s="5">
        <v>0</v>
      </c>
      <c r="U63" s="5">
        <v>222.1</v>
      </c>
      <c r="V63" s="16" t="s">
        <v>975</v>
      </c>
      <c r="W63" s="8">
        <f t="shared" si="0"/>
        <v>0</v>
      </c>
      <c r="Y63" s="8"/>
      <c r="Z63" s="8"/>
      <c r="AC63" s="8" t="str">
        <f>IF(COUNTIFS(作業區!$W$2:$W$2000, T63, 作業區!$X$2:$X$2000, U63)&gt;0, "已存在", "未擴充")</f>
        <v>已存在</v>
      </c>
    </row>
    <row r="64" spans="1:29">
      <c r="A64" s="8">
        <f t="shared" si="1"/>
        <v>63</v>
      </c>
      <c r="B64" s="2" t="s">
        <v>920</v>
      </c>
      <c r="C64" s="2"/>
      <c r="D64" s="17" t="s">
        <v>1019</v>
      </c>
      <c r="E64" s="14" t="s">
        <v>846</v>
      </c>
      <c r="F64" s="14" t="s">
        <v>1020</v>
      </c>
      <c r="G64" s="14" t="s">
        <v>1021</v>
      </c>
      <c r="H64" s="22" t="s">
        <v>1022</v>
      </c>
      <c r="I64" s="4">
        <v>274212</v>
      </c>
      <c r="J64" s="4">
        <v>2709335</v>
      </c>
      <c r="K64" s="17">
        <v>235391</v>
      </c>
      <c r="L64" s="17">
        <v>2625483</v>
      </c>
      <c r="M64" s="2">
        <v>96</v>
      </c>
      <c r="N64" s="5" t="s">
        <v>1023</v>
      </c>
      <c r="O64" s="13">
        <v>39343.708333333336</v>
      </c>
      <c r="P64" s="17" t="s">
        <v>1024</v>
      </c>
      <c r="Q64" s="4"/>
      <c r="R64" s="16" t="s">
        <v>367</v>
      </c>
      <c r="S64" s="16" t="s">
        <v>1025</v>
      </c>
      <c r="T64" s="5">
        <v>20</v>
      </c>
      <c r="U64" s="5">
        <v>662.5</v>
      </c>
      <c r="V64" s="16">
        <v>500</v>
      </c>
      <c r="W64" s="8">
        <f t="shared" si="0"/>
        <v>0</v>
      </c>
      <c r="Y64" s="8"/>
      <c r="Z64" s="8"/>
      <c r="AC64" s="8" t="str">
        <f>IF(COUNTIFS(作業區!$W$2:$W$2000, T64, 作業區!$X$2:$X$2000, U64)&gt;0, "已存在", "未擴充")</f>
        <v>已存在</v>
      </c>
    </row>
    <row r="65" spans="1:29">
      <c r="A65" s="8">
        <f t="shared" si="1"/>
        <v>64</v>
      </c>
      <c r="B65" s="5" t="s">
        <v>881</v>
      </c>
      <c r="C65" s="5"/>
      <c r="D65" s="17" t="s">
        <v>1026</v>
      </c>
      <c r="E65" s="14" t="s">
        <v>846</v>
      </c>
      <c r="F65" s="14" t="s">
        <v>1027</v>
      </c>
      <c r="G65" s="14" t="s">
        <v>1028</v>
      </c>
      <c r="H65" s="5"/>
      <c r="I65" s="4">
        <v>224101.99100000001</v>
      </c>
      <c r="J65" s="4">
        <v>2694398.031</v>
      </c>
      <c r="K65" s="17">
        <v>223273</v>
      </c>
      <c r="L65" s="17">
        <v>2694604</v>
      </c>
      <c r="M65" s="2">
        <v>96</v>
      </c>
      <c r="N65" s="5" t="s">
        <v>1023</v>
      </c>
      <c r="O65" s="13">
        <v>39344.041666666664</v>
      </c>
      <c r="P65" s="17" t="s">
        <v>1029</v>
      </c>
      <c r="Q65" s="4"/>
      <c r="R65" s="16" t="s">
        <v>1030</v>
      </c>
      <c r="S65" s="16" t="s">
        <v>1031</v>
      </c>
      <c r="T65" s="5">
        <v>5.5</v>
      </c>
      <c r="U65" s="5">
        <v>311.60000000000002</v>
      </c>
      <c r="V65" s="16" t="s">
        <v>857</v>
      </c>
      <c r="W65" s="8">
        <f t="shared" si="0"/>
        <v>0</v>
      </c>
      <c r="Y65" s="8"/>
      <c r="Z65" s="8"/>
      <c r="AC65" s="8" t="str">
        <f>IF(COUNTIFS(作業區!$W$2:$W$2000, T65, 作業區!$X$2:$X$2000, U65)&gt;0, "已存在", "未擴充")</f>
        <v>已存在</v>
      </c>
    </row>
    <row r="66" spans="1:29">
      <c r="A66" s="8">
        <f t="shared" si="1"/>
        <v>65</v>
      </c>
      <c r="B66" s="5" t="s">
        <v>893</v>
      </c>
      <c r="C66" s="5"/>
      <c r="D66" s="17" t="s">
        <v>1032</v>
      </c>
      <c r="E66" s="14" t="s">
        <v>1033</v>
      </c>
      <c r="F66" s="14" t="s">
        <v>1034</v>
      </c>
      <c r="G66" s="21" t="s">
        <v>1035</v>
      </c>
      <c r="H66" s="5"/>
      <c r="I66" s="4">
        <v>288207.772</v>
      </c>
      <c r="J66" s="4">
        <v>2731262.9029999999</v>
      </c>
      <c r="K66" s="17">
        <v>287379</v>
      </c>
      <c r="L66" s="17">
        <v>2731469</v>
      </c>
      <c r="M66" s="2">
        <v>96</v>
      </c>
      <c r="N66" s="5" t="s">
        <v>1023</v>
      </c>
      <c r="O66" s="13">
        <v>39343.458333333336</v>
      </c>
      <c r="P66" s="17" t="s">
        <v>1036</v>
      </c>
      <c r="Q66" s="4"/>
      <c r="R66" s="16" t="s">
        <v>1037</v>
      </c>
      <c r="S66" s="16" t="s">
        <v>1038</v>
      </c>
      <c r="T66" s="5">
        <v>22</v>
      </c>
      <c r="U66" s="5">
        <v>181</v>
      </c>
      <c r="V66" s="16" t="s">
        <v>964</v>
      </c>
      <c r="W66" s="8">
        <f t="shared" ref="W66:W129" si="2">IF(IF(ISERROR(SEARCH("-",P66))=TRUE,0,1)=1,IF(H66&lt;&gt;"",0,1),0)</f>
        <v>0</v>
      </c>
      <c r="Y66" s="8"/>
      <c r="Z66" s="8"/>
      <c r="AC66" s="8" t="str">
        <f>IF(COUNTIFS(作業區!$W$2:$W$2000, T66, 作業區!$X$2:$X$2000, U66)&gt;0, "已存在", "未擴充")</f>
        <v>已存在</v>
      </c>
    </row>
    <row r="67" spans="1:29">
      <c r="A67" s="8">
        <f t="shared" si="1"/>
        <v>66</v>
      </c>
      <c r="B67" s="5" t="s">
        <v>893</v>
      </c>
      <c r="C67" s="5"/>
      <c r="D67" s="17" t="s">
        <v>1039</v>
      </c>
      <c r="E67" s="14" t="s">
        <v>1033</v>
      </c>
      <c r="F67" s="14" t="s">
        <v>1034</v>
      </c>
      <c r="G67" s="14" t="s">
        <v>1040</v>
      </c>
      <c r="H67" s="5"/>
      <c r="I67" s="4">
        <v>286319.77799999999</v>
      </c>
      <c r="J67" s="4">
        <v>2728358.9130000002</v>
      </c>
      <c r="K67" s="17">
        <v>285491</v>
      </c>
      <c r="L67" s="17">
        <v>2728565</v>
      </c>
      <c r="M67" s="2">
        <v>96</v>
      </c>
      <c r="N67" s="5" t="s">
        <v>1023</v>
      </c>
      <c r="O67" s="13">
        <v>39343.458333333336</v>
      </c>
      <c r="P67" s="17" t="s">
        <v>1041</v>
      </c>
      <c r="Q67" s="4"/>
      <c r="R67" s="16" t="s">
        <v>1037</v>
      </c>
      <c r="S67" s="16" t="s">
        <v>1038</v>
      </c>
      <c r="T67" s="5">
        <v>22</v>
      </c>
      <c r="U67" s="5">
        <v>181</v>
      </c>
      <c r="V67" s="16" t="s">
        <v>857</v>
      </c>
      <c r="W67" s="8">
        <f t="shared" si="2"/>
        <v>0</v>
      </c>
      <c r="Y67" s="8"/>
      <c r="Z67" s="8"/>
      <c r="AC67" s="8" t="str">
        <f>IF(COUNTIFS(作業區!$W$2:$W$2000, T67, 作業區!$X$2:$X$2000, U67)&gt;0, "已存在", "未擴充")</f>
        <v>已存在</v>
      </c>
    </row>
    <row r="68" spans="1:29">
      <c r="A68" s="8">
        <f t="shared" ref="A68:A131" si="3">ROW(A68)-1</f>
        <v>67</v>
      </c>
      <c r="B68" s="2" t="s">
        <v>920</v>
      </c>
      <c r="C68" s="2"/>
      <c r="D68" s="17" t="s">
        <v>1042</v>
      </c>
      <c r="E68" s="21" t="s">
        <v>802</v>
      </c>
      <c r="F68" s="21" t="s">
        <v>1043</v>
      </c>
      <c r="G68" s="21" t="s">
        <v>1044</v>
      </c>
      <c r="H68" s="18" t="s">
        <v>1045</v>
      </c>
      <c r="I68" s="4">
        <v>212422.05799999999</v>
      </c>
      <c r="J68" s="4">
        <v>2552868.577</v>
      </c>
      <c r="K68" s="17">
        <v>211593</v>
      </c>
      <c r="L68" s="17">
        <v>2553074</v>
      </c>
      <c r="M68" s="2">
        <v>96</v>
      </c>
      <c r="N68" s="5" t="s">
        <v>1046</v>
      </c>
      <c r="O68" s="13">
        <v>39313</v>
      </c>
      <c r="P68" s="17" t="s">
        <v>1047</v>
      </c>
      <c r="Q68" s="4"/>
      <c r="R68" s="16" t="s">
        <v>559</v>
      </c>
      <c r="S68" s="16" t="s">
        <v>1048</v>
      </c>
      <c r="T68" s="5">
        <v>90.5</v>
      </c>
      <c r="U68" s="5">
        <v>539.79999999999995</v>
      </c>
      <c r="V68" s="4">
        <v>500</v>
      </c>
      <c r="W68" s="8">
        <f t="shared" si="2"/>
        <v>0</v>
      </c>
      <c r="Y68" s="8"/>
      <c r="Z68" s="8"/>
      <c r="AC68" s="8" t="str">
        <f>IF(COUNTIFS(作業區!$W$2:$W$2000, T68, 作業區!$X$2:$X$2000, U68)&gt;0, "已存在", "未擴充")</f>
        <v>已存在</v>
      </c>
    </row>
    <row r="69" spans="1:29">
      <c r="A69" s="8">
        <f t="shared" si="3"/>
        <v>68</v>
      </c>
      <c r="B69" s="2" t="s">
        <v>920</v>
      </c>
      <c r="C69" s="2"/>
      <c r="D69" s="4" t="s">
        <v>1049</v>
      </c>
      <c r="E69" s="14" t="s">
        <v>802</v>
      </c>
      <c r="F69" s="14" t="s">
        <v>803</v>
      </c>
      <c r="G69" s="14" t="s">
        <v>1050</v>
      </c>
      <c r="H69" s="18" t="s">
        <v>1051</v>
      </c>
      <c r="I69" s="4">
        <v>218919.03</v>
      </c>
      <c r="J69" s="4">
        <v>2556195.5639999998</v>
      </c>
      <c r="K69" s="17">
        <v>218090</v>
      </c>
      <c r="L69" s="17">
        <v>2556401</v>
      </c>
      <c r="M69" s="2">
        <v>96</v>
      </c>
      <c r="N69" s="5" t="s">
        <v>1046</v>
      </c>
      <c r="O69" s="13">
        <v>39314.5</v>
      </c>
      <c r="P69" s="17" t="s">
        <v>1052</v>
      </c>
      <c r="Q69" s="4"/>
      <c r="R69" s="16" t="s">
        <v>225</v>
      </c>
      <c r="S69" s="16" t="s">
        <v>1053</v>
      </c>
      <c r="T69" s="5">
        <v>33</v>
      </c>
      <c r="U69" s="5">
        <v>940.3</v>
      </c>
      <c r="V69" s="4">
        <v>450</v>
      </c>
      <c r="W69" s="8">
        <f t="shared" si="2"/>
        <v>0</v>
      </c>
      <c r="Y69" s="8"/>
      <c r="Z69" s="8"/>
      <c r="AC69" s="8" t="str">
        <f>IF(COUNTIFS(作業區!$W$2:$W$2000, T69, 作業區!$X$2:$X$2000, U69)&gt;0, "已存在", "未擴充")</f>
        <v>已存在</v>
      </c>
    </row>
    <row r="70" spans="1:29">
      <c r="A70" s="8">
        <f t="shared" si="3"/>
        <v>69</v>
      </c>
      <c r="B70" s="5" t="s">
        <v>881</v>
      </c>
      <c r="C70" s="5"/>
      <c r="D70" s="17" t="s">
        <v>1054</v>
      </c>
      <c r="E70" s="14" t="s">
        <v>769</v>
      </c>
      <c r="F70" s="14" t="s">
        <v>1055</v>
      </c>
      <c r="G70" s="21" t="s">
        <v>1056</v>
      </c>
      <c r="H70" s="5"/>
      <c r="I70" s="4">
        <v>225170.992</v>
      </c>
      <c r="J70" s="4">
        <v>2648545.1979999999</v>
      </c>
      <c r="K70" s="17">
        <v>224342</v>
      </c>
      <c r="L70" s="17">
        <v>2648751</v>
      </c>
      <c r="M70" s="2">
        <v>96</v>
      </c>
      <c r="N70" s="5" t="s">
        <v>1046</v>
      </c>
      <c r="O70" s="13">
        <v>39313.708333333336</v>
      </c>
      <c r="P70" s="17" t="s">
        <v>1057</v>
      </c>
      <c r="Q70" s="4"/>
      <c r="R70" s="16" t="s">
        <v>1058</v>
      </c>
      <c r="S70" s="16" t="s">
        <v>1059</v>
      </c>
      <c r="T70" s="5">
        <v>14</v>
      </c>
      <c r="U70" s="5">
        <v>182.4</v>
      </c>
      <c r="V70" s="16" t="s">
        <v>857</v>
      </c>
      <c r="W70" s="8">
        <f t="shared" si="2"/>
        <v>0</v>
      </c>
      <c r="Y70" s="8"/>
      <c r="Z70" s="8"/>
      <c r="AC70" s="8" t="str">
        <f>IF(COUNTIFS(作業區!$W$2:$W$2000, T70, 作業區!$X$2:$X$2000, U70)&gt;0, "已存在", "未擴充")</f>
        <v>已存在</v>
      </c>
    </row>
    <row r="71" spans="1:29">
      <c r="A71" s="8">
        <f t="shared" si="3"/>
        <v>70</v>
      </c>
      <c r="B71" s="5" t="s">
        <v>881</v>
      </c>
      <c r="C71" s="5"/>
      <c r="D71" s="17" t="s">
        <v>1060</v>
      </c>
      <c r="E71" s="14" t="s">
        <v>1061</v>
      </c>
      <c r="F71" s="21" t="s">
        <v>1062</v>
      </c>
      <c r="G71" s="21" t="s">
        <v>1063</v>
      </c>
      <c r="H71" s="5"/>
      <c r="I71" s="4">
        <v>214211.04199999999</v>
      </c>
      <c r="J71" s="4">
        <v>2597479.3939999999</v>
      </c>
      <c r="K71" s="17">
        <v>213382</v>
      </c>
      <c r="L71" s="17">
        <v>2597685</v>
      </c>
      <c r="M71" s="2">
        <v>96</v>
      </c>
      <c r="N71" s="5" t="s">
        <v>1046</v>
      </c>
      <c r="O71" s="13">
        <v>39314.666666666664</v>
      </c>
      <c r="P71" s="17" t="s">
        <v>1064</v>
      </c>
      <c r="Q71" s="4"/>
      <c r="R71" s="16" t="s">
        <v>1065</v>
      </c>
      <c r="S71" s="16" t="s">
        <v>1066</v>
      </c>
      <c r="T71" s="5">
        <v>1</v>
      </c>
      <c r="U71" s="5">
        <v>541.1</v>
      </c>
      <c r="V71" s="4">
        <v>450</v>
      </c>
      <c r="W71" s="8">
        <f t="shared" si="2"/>
        <v>0</v>
      </c>
      <c r="Y71" s="8"/>
      <c r="Z71" s="8"/>
      <c r="AC71" s="8" t="str">
        <f>IF(COUNTIFS(作業區!$W$2:$W$2000, T71, 作業區!$X$2:$X$2000, U71)&gt;0, "已存在", "未擴充")</f>
        <v>已存在</v>
      </c>
    </row>
    <row r="72" spans="1:29">
      <c r="A72" s="8">
        <f t="shared" si="3"/>
        <v>71</v>
      </c>
      <c r="B72" s="5" t="s">
        <v>881</v>
      </c>
      <c r="C72" s="5"/>
      <c r="D72" s="17" t="s">
        <v>1067</v>
      </c>
      <c r="E72" s="14" t="s">
        <v>1061</v>
      </c>
      <c r="F72" s="5" t="s">
        <v>1068</v>
      </c>
      <c r="G72" s="21" t="s">
        <v>1069</v>
      </c>
      <c r="H72" s="19"/>
      <c r="I72" s="4">
        <v>205628.07800000001</v>
      </c>
      <c r="J72" s="4">
        <v>2589019.426</v>
      </c>
      <c r="K72" s="17">
        <v>204799</v>
      </c>
      <c r="L72" s="17">
        <v>2589225</v>
      </c>
      <c r="M72" s="2">
        <v>96</v>
      </c>
      <c r="N72" s="5" t="s">
        <v>1046</v>
      </c>
      <c r="O72" s="13">
        <v>39312.958333333336</v>
      </c>
      <c r="P72" s="17" t="s">
        <v>1070</v>
      </c>
      <c r="Q72" s="4"/>
      <c r="R72" s="16" t="s">
        <v>1071</v>
      </c>
      <c r="S72" s="16" t="s">
        <v>1072</v>
      </c>
      <c r="T72" s="5">
        <v>61</v>
      </c>
      <c r="U72" s="5">
        <v>431.3</v>
      </c>
      <c r="V72" s="4">
        <v>450</v>
      </c>
      <c r="W72" s="8">
        <f t="shared" si="2"/>
        <v>0</v>
      </c>
      <c r="Y72" s="8"/>
      <c r="Z72" s="8"/>
      <c r="AC72" s="8" t="str">
        <f>IF(COUNTIFS(作業區!$W$2:$W$2000, T72, 作業區!$X$2:$X$2000, U72)&gt;0, "已存在", "未擴充")</f>
        <v>已存在</v>
      </c>
    </row>
    <row r="73" spans="1:29">
      <c r="A73" s="8">
        <f t="shared" si="3"/>
        <v>72</v>
      </c>
      <c r="B73" s="2" t="s">
        <v>1073</v>
      </c>
      <c r="C73" s="2"/>
      <c r="D73" s="17" t="s">
        <v>1074</v>
      </c>
      <c r="E73" s="14" t="s">
        <v>846</v>
      </c>
      <c r="F73" s="21" t="s">
        <v>863</v>
      </c>
      <c r="G73" s="21" t="s">
        <v>1075</v>
      </c>
      <c r="H73" s="19"/>
      <c r="I73" s="4">
        <v>231489.96299999999</v>
      </c>
      <c r="J73" s="4">
        <v>2714570.9610000001</v>
      </c>
      <c r="K73" s="17">
        <v>230661</v>
      </c>
      <c r="L73" s="17">
        <v>2714777</v>
      </c>
      <c r="M73" s="2">
        <v>96</v>
      </c>
      <c r="N73" s="5" t="s">
        <v>1076</v>
      </c>
      <c r="O73" s="13">
        <v>39362.416666666664</v>
      </c>
      <c r="P73" s="23" t="s">
        <v>1077</v>
      </c>
      <c r="Q73" s="4"/>
      <c r="R73" s="16" t="s">
        <v>1078</v>
      </c>
      <c r="S73" s="16" t="s">
        <v>1079</v>
      </c>
      <c r="T73" s="5">
        <v>8</v>
      </c>
      <c r="U73" s="5">
        <v>254.5</v>
      </c>
      <c r="V73" s="16" t="s">
        <v>857</v>
      </c>
      <c r="W73" s="8">
        <f t="shared" si="2"/>
        <v>0</v>
      </c>
      <c r="Y73" s="8"/>
      <c r="Z73" s="8"/>
      <c r="AC73" s="8" t="str">
        <f>IF(COUNTIFS(作業區!$W$2:$W$2000, T73, 作業區!$X$2:$X$2000, U73)&gt;0, "已存在", "未擴充")</f>
        <v>已存在</v>
      </c>
    </row>
    <row r="74" spans="1:29" ht="33">
      <c r="A74" s="8">
        <f t="shared" si="3"/>
        <v>73</v>
      </c>
      <c r="B74" s="2" t="s">
        <v>754</v>
      </c>
      <c r="C74" s="2"/>
      <c r="D74" s="17" t="s">
        <v>1080</v>
      </c>
      <c r="E74" s="2" t="s">
        <v>756</v>
      </c>
      <c r="F74" s="21" t="s">
        <v>1081</v>
      </c>
      <c r="G74" s="21" t="s">
        <v>1082</v>
      </c>
      <c r="H74" s="19"/>
      <c r="I74" s="4">
        <v>226018.98699999999</v>
      </c>
      <c r="J74" s="4">
        <v>2668788.1230000001</v>
      </c>
      <c r="K74" s="17">
        <v>225190</v>
      </c>
      <c r="L74" s="17">
        <v>2668994</v>
      </c>
      <c r="M74" s="2">
        <v>96</v>
      </c>
      <c r="N74" s="5" t="s">
        <v>1076</v>
      </c>
      <c r="O74" s="13">
        <v>39361.958333333336</v>
      </c>
      <c r="P74" s="23" t="s">
        <v>1083</v>
      </c>
      <c r="Q74" s="4"/>
      <c r="R74" s="16" t="s">
        <v>1084</v>
      </c>
      <c r="S74" s="16" t="s">
        <v>1085</v>
      </c>
      <c r="T74" s="5">
        <v>5.5</v>
      </c>
      <c r="U74" s="5">
        <v>74.400000000000006</v>
      </c>
      <c r="V74" s="16" t="s">
        <v>857</v>
      </c>
      <c r="W74" s="8">
        <f t="shared" si="2"/>
        <v>0</v>
      </c>
      <c r="Y74" s="8"/>
      <c r="Z74" s="8"/>
      <c r="AC74" s="8" t="str">
        <f>IF(COUNTIFS(作業區!$W$2:$W$2000, T74, 作業區!$X$2:$X$2000, U74)&gt;0, "已存在", "未擴充")</f>
        <v>已存在</v>
      </c>
    </row>
    <row r="75" spans="1:29" ht="48.75">
      <c r="A75" s="8">
        <f t="shared" si="3"/>
        <v>74</v>
      </c>
      <c r="B75" s="2" t="s">
        <v>1073</v>
      </c>
      <c r="C75" s="2"/>
      <c r="D75" s="23" t="s">
        <v>1086</v>
      </c>
      <c r="E75" s="14" t="s">
        <v>1061</v>
      </c>
      <c r="F75" s="21" t="s">
        <v>822</v>
      </c>
      <c r="G75" s="21" t="s">
        <v>1087</v>
      </c>
      <c r="H75" s="19"/>
      <c r="I75" s="4">
        <v>211022.054</v>
      </c>
      <c r="J75" s="4">
        <v>2603580.3689999999</v>
      </c>
      <c r="K75" s="17">
        <v>210193</v>
      </c>
      <c r="L75" s="17">
        <v>2603786</v>
      </c>
      <c r="M75" s="2">
        <v>96</v>
      </c>
      <c r="N75" s="5" t="s">
        <v>1088</v>
      </c>
      <c r="O75" s="13">
        <v>39327.791666666664</v>
      </c>
      <c r="P75" s="23" t="s">
        <v>1089</v>
      </c>
      <c r="Q75" s="4"/>
      <c r="R75" s="16" t="s">
        <v>507</v>
      </c>
      <c r="S75" s="16" t="s">
        <v>1090</v>
      </c>
      <c r="T75" s="5">
        <v>66.5</v>
      </c>
      <c r="U75" s="5">
        <v>139.6</v>
      </c>
      <c r="V75" s="16">
        <v>450</v>
      </c>
      <c r="W75" s="8">
        <f t="shared" si="2"/>
        <v>1</v>
      </c>
      <c r="Y75" s="8"/>
      <c r="Z75" s="8"/>
      <c r="AC75" s="8" t="str">
        <f>IF(COUNTIFS(作業區!$W$2:$W$2000, T75, 作業區!$X$2:$X$2000, U75)&gt;0, "已存在", "未擴充")</f>
        <v>已存在</v>
      </c>
    </row>
    <row r="76" spans="1:29" ht="66">
      <c r="A76" s="8">
        <f t="shared" si="3"/>
        <v>75</v>
      </c>
      <c r="B76" s="2" t="s">
        <v>1073</v>
      </c>
      <c r="C76" s="2"/>
      <c r="D76" s="17" t="s">
        <v>1091</v>
      </c>
      <c r="E76" s="14" t="s">
        <v>1061</v>
      </c>
      <c r="F76" s="21" t="s">
        <v>1062</v>
      </c>
      <c r="G76" s="21" t="s">
        <v>1092</v>
      </c>
      <c r="H76" s="19"/>
      <c r="I76" s="4">
        <v>208546.06400000001</v>
      </c>
      <c r="J76" s="4">
        <v>2601684.3760000002</v>
      </c>
      <c r="K76" s="17">
        <v>207717</v>
      </c>
      <c r="L76" s="17">
        <v>2601890</v>
      </c>
      <c r="M76" s="2">
        <v>96</v>
      </c>
      <c r="N76" s="5" t="s">
        <v>1076</v>
      </c>
      <c r="O76" s="13">
        <v>39361.791666666664</v>
      </c>
      <c r="P76" s="23" t="s">
        <v>1093</v>
      </c>
      <c r="Q76" s="4"/>
      <c r="R76" s="16" t="s">
        <v>507</v>
      </c>
      <c r="S76" s="16" t="s">
        <v>1090</v>
      </c>
      <c r="T76" s="5">
        <v>56.5</v>
      </c>
      <c r="U76" s="5">
        <v>457.5</v>
      </c>
      <c r="V76" s="16" t="s">
        <v>970</v>
      </c>
      <c r="W76" s="8">
        <f t="shared" si="2"/>
        <v>0</v>
      </c>
      <c r="Y76" s="8"/>
      <c r="Z76" s="8"/>
      <c r="AC76" s="8" t="str">
        <f>IF(COUNTIFS(作業區!$W$2:$W$2000, T76, 作業區!$X$2:$X$2000, U76)&gt;0, "已存在", "未擴充")</f>
        <v>已存在</v>
      </c>
    </row>
    <row r="77" spans="1:29">
      <c r="A77" s="8">
        <f t="shared" si="3"/>
        <v>76</v>
      </c>
      <c r="B77" s="2" t="s">
        <v>1073</v>
      </c>
      <c r="C77" s="2"/>
      <c r="D77" s="17" t="s">
        <v>1094</v>
      </c>
      <c r="E77" s="14" t="s">
        <v>769</v>
      </c>
      <c r="F77" s="21" t="s">
        <v>770</v>
      </c>
      <c r="G77" s="21" t="s">
        <v>1095</v>
      </c>
      <c r="H77" s="22" t="s">
        <v>1096</v>
      </c>
      <c r="I77" s="4">
        <v>239980.93700000001</v>
      </c>
      <c r="J77" s="4">
        <v>2651297.1889999998</v>
      </c>
      <c r="K77" s="17">
        <v>239152</v>
      </c>
      <c r="L77" s="17">
        <v>2651503</v>
      </c>
      <c r="M77" s="2">
        <v>96</v>
      </c>
      <c r="N77" s="5" t="s">
        <v>926</v>
      </c>
      <c r="O77" s="13">
        <v>39307.25</v>
      </c>
      <c r="P77" s="23" t="s">
        <v>1097</v>
      </c>
      <c r="Q77" s="4"/>
      <c r="R77" s="16" t="s">
        <v>451</v>
      </c>
      <c r="S77" s="16" t="s">
        <v>1098</v>
      </c>
      <c r="T77" s="5">
        <v>38</v>
      </c>
      <c r="U77" s="5">
        <v>156.5</v>
      </c>
      <c r="V77" s="16" t="s">
        <v>975</v>
      </c>
      <c r="W77" s="8">
        <f t="shared" si="2"/>
        <v>0</v>
      </c>
      <c r="Y77" s="8"/>
      <c r="Z77" s="8"/>
      <c r="AC77" s="8" t="str">
        <f>IF(COUNTIFS(作業區!$W$2:$W$2000, T77, 作業區!$X$2:$X$2000, U77)&gt;0, "已存在", "未擴充")</f>
        <v>已存在</v>
      </c>
    </row>
    <row r="78" spans="1:29">
      <c r="A78" s="8">
        <f t="shared" si="3"/>
        <v>77</v>
      </c>
      <c r="B78" s="2" t="s">
        <v>1073</v>
      </c>
      <c r="C78" s="2"/>
      <c r="D78" s="17" t="s">
        <v>1099</v>
      </c>
      <c r="E78" s="14" t="s">
        <v>942</v>
      </c>
      <c r="F78" s="21" t="s">
        <v>1100</v>
      </c>
      <c r="G78" s="21" t="s">
        <v>1101</v>
      </c>
      <c r="H78" s="19"/>
      <c r="I78" s="4">
        <v>196518.12400000001</v>
      </c>
      <c r="J78" s="4">
        <v>2556421.5580000002</v>
      </c>
      <c r="K78" s="17">
        <v>195689</v>
      </c>
      <c r="L78" s="17">
        <v>2556627</v>
      </c>
      <c r="M78" s="2">
        <v>96</v>
      </c>
      <c r="N78" s="5" t="s">
        <v>926</v>
      </c>
      <c r="O78" s="13">
        <v>39307.583333333336</v>
      </c>
      <c r="P78" s="23" t="s">
        <v>1102</v>
      </c>
      <c r="Q78" s="4"/>
      <c r="R78" s="16" t="s">
        <v>1103</v>
      </c>
      <c r="S78" s="16" t="s">
        <v>1104</v>
      </c>
      <c r="T78" s="5">
        <v>61</v>
      </c>
      <c r="U78" s="5">
        <v>453.1</v>
      </c>
      <c r="V78" s="16" t="s">
        <v>857</v>
      </c>
      <c r="W78" s="8">
        <f t="shared" si="2"/>
        <v>0</v>
      </c>
      <c r="Y78" s="8"/>
      <c r="Z78" s="8"/>
      <c r="AC78" s="8" t="str">
        <f>IF(COUNTIFS(作業區!$W$2:$W$2000, T78, 作業區!$X$2:$X$2000, U78)&gt;0, "已存在", "未擴充")</f>
        <v>已存在</v>
      </c>
    </row>
    <row r="79" spans="1:29">
      <c r="A79" s="8">
        <f t="shared" si="3"/>
        <v>78</v>
      </c>
      <c r="B79" s="2" t="s">
        <v>1073</v>
      </c>
      <c r="C79" s="2"/>
      <c r="D79" s="17" t="s">
        <v>1105</v>
      </c>
      <c r="E79" s="14" t="s">
        <v>942</v>
      </c>
      <c r="F79" s="21" t="s">
        <v>1106</v>
      </c>
      <c r="G79" s="21" t="s">
        <v>1107</v>
      </c>
      <c r="H79" s="19"/>
      <c r="I79" s="4">
        <v>185993.17199999999</v>
      </c>
      <c r="J79" s="4">
        <v>2543115.6120000002</v>
      </c>
      <c r="K79" s="17">
        <v>185164</v>
      </c>
      <c r="L79" s="17">
        <v>2543321</v>
      </c>
      <c r="M79" s="2">
        <v>96</v>
      </c>
      <c r="N79" s="5" t="s">
        <v>926</v>
      </c>
      <c r="O79" s="13">
        <v>39307</v>
      </c>
      <c r="P79" s="23" t="s">
        <v>1108</v>
      </c>
      <c r="Q79" s="4"/>
      <c r="R79" s="16" t="s">
        <v>1109</v>
      </c>
      <c r="S79" s="16" t="s">
        <v>1110</v>
      </c>
      <c r="T79" s="5">
        <v>4.5</v>
      </c>
      <c r="U79" s="5">
        <v>216.5</v>
      </c>
      <c r="V79" s="16" t="s">
        <v>857</v>
      </c>
      <c r="W79" s="8">
        <f t="shared" si="2"/>
        <v>0</v>
      </c>
      <c r="Y79" s="8"/>
      <c r="Z79" s="8"/>
      <c r="AC79" s="8" t="str">
        <f>IF(COUNTIFS(作業區!$W$2:$W$2000, T79, 作業區!$X$2:$X$2000, U79)&gt;0, "已存在", "未擴充")</f>
        <v>已存在</v>
      </c>
    </row>
    <row r="80" spans="1:29" ht="33">
      <c r="A80" s="8">
        <f t="shared" si="3"/>
        <v>79</v>
      </c>
      <c r="B80" s="2" t="s">
        <v>1073</v>
      </c>
      <c r="C80" s="2"/>
      <c r="D80" s="17" t="s">
        <v>1111</v>
      </c>
      <c r="E80" s="2" t="s">
        <v>756</v>
      </c>
      <c r="F80" s="21" t="s">
        <v>765</v>
      </c>
      <c r="G80" s="21" t="s">
        <v>1112</v>
      </c>
      <c r="H80" s="19"/>
      <c r="I80" s="4">
        <v>233746.95800000001</v>
      </c>
      <c r="J80" s="4">
        <v>2682820.0729999999</v>
      </c>
      <c r="K80" s="17">
        <v>232918</v>
      </c>
      <c r="L80" s="17">
        <v>2683026</v>
      </c>
      <c r="M80" s="2">
        <v>96</v>
      </c>
      <c r="N80" s="5" t="s">
        <v>926</v>
      </c>
      <c r="O80" s="13">
        <v>39305.625</v>
      </c>
      <c r="P80" s="23" t="s">
        <v>1113</v>
      </c>
      <c r="Q80" s="4"/>
      <c r="R80" s="16" t="s">
        <v>1114</v>
      </c>
      <c r="S80" s="16" t="s">
        <v>1115</v>
      </c>
      <c r="T80" s="5">
        <v>5</v>
      </c>
      <c r="U80" s="5">
        <v>32.9</v>
      </c>
      <c r="V80" s="16" t="s">
        <v>975</v>
      </c>
      <c r="W80" s="8">
        <f t="shared" si="2"/>
        <v>0</v>
      </c>
      <c r="Y80" s="8"/>
      <c r="Z80" s="8"/>
      <c r="AC80" s="8" t="str">
        <f>IF(COUNTIFS(作業區!$W$2:$W$2000, T80, 作業區!$X$2:$X$2000, U80)&gt;0, "已存在", "未擴充")</f>
        <v>已存在</v>
      </c>
    </row>
    <row r="81" spans="1:29">
      <c r="A81" s="8">
        <f t="shared" si="3"/>
        <v>80</v>
      </c>
      <c r="B81" s="2" t="s">
        <v>1073</v>
      </c>
      <c r="C81" s="2"/>
      <c r="D81" s="17" t="s">
        <v>1116</v>
      </c>
      <c r="E81" s="14" t="s">
        <v>942</v>
      </c>
      <c r="F81" s="21" t="s">
        <v>1106</v>
      </c>
      <c r="G81" s="21" t="s">
        <v>1117</v>
      </c>
      <c r="H81" s="19"/>
      <c r="I81" s="4">
        <v>185412.17499999999</v>
      </c>
      <c r="J81" s="4">
        <v>2540410.6230000001</v>
      </c>
      <c r="K81" s="17">
        <v>184583</v>
      </c>
      <c r="L81" s="17">
        <v>2540616</v>
      </c>
      <c r="M81" s="2">
        <v>96</v>
      </c>
      <c r="N81" s="5" t="s">
        <v>926</v>
      </c>
      <c r="O81" s="13">
        <v>39303</v>
      </c>
      <c r="P81" s="23" t="s">
        <v>1118</v>
      </c>
      <c r="Q81" s="4"/>
      <c r="R81" s="16" t="s">
        <v>1109</v>
      </c>
      <c r="S81" s="16" t="s">
        <v>1110</v>
      </c>
      <c r="T81" s="5" t="s">
        <v>857</v>
      </c>
      <c r="U81" s="5">
        <v>482.4</v>
      </c>
      <c r="V81" s="16" t="s">
        <v>857</v>
      </c>
      <c r="W81" s="8">
        <f t="shared" si="2"/>
        <v>0</v>
      </c>
      <c r="Y81" s="8"/>
      <c r="Z81" s="8"/>
      <c r="AC81" s="8" t="str">
        <f>IF(COUNTIFS(作業區!$W$2:$W$2000, T81, 作業區!$X$2:$X$2000, U81)&gt;0, "已存在", "未擴充")</f>
        <v>已存在</v>
      </c>
    </row>
    <row r="82" spans="1:29">
      <c r="A82" s="8">
        <f t="shared" si="3"/>
        <v>81</v>
      </c>
      <c r="B82" s="2" t="s">
        <v>1073</v>
      </c>
      <c r="C82" s="2"/>
      <c r="D82" s="17" t="s">
        <v>1119</v>
      </c>
      <c r="E82" s="2" t="s">
        <v>756</v>
      </c>
      <c r="F82" s="21" t="s">
        <v>765</v>
      </c>
      <c r="G82" s="21" t="s">
        <v>766</v>
      </c>
      <c r="H82" s="22" t="s">
        <v>1120</v>
      </c>
      <c r="I82" s="4">
        <v>236162.94899999999</v>
      </c>
      <c r="J82" s="4">
        <v>2676034.0970000001</v>
      </c>
      <c r="K82" s="17">
        <v>235334</v>
      </c>
      <c r="L82" s="17">
        <v>2676240</v>
      </c>
      <c r="M82" s="2">
        <v>96</v>
      </c>
      <c r="N82" s="5" t="s">
        <v>884</v>
      </c>
      <c r="O82" s="13">
        <v>39242.625</v>
      </c>
      <c r="P82" s="23" t="s">
        <v>1121</v>
      </c>
      <c r="Q82" s="4"/>
      <c r="R82" s="16" t="s">
        <v>1122</v>
      </c>
      <c r="S82" s="16" t="s">
        <v>1123</v>
      </c>
      <c r="T82" s="5">
        <v>1</v>
      </c>
      <c r="U82" s="5">
        <v>477.5</v>
      </c>
      <c r="V82" s="16">
        <v>250</v>
      </c>
      <c r="W82" s="8">
        <f t="shared" si="2"/>
        <v>0</v>
      </c>
      <c r="Y82" s="8"/>
      <c r="Z82" s="8"/>
      <c r="AC82" s="8" t="str">
        <f>IF(COUNTIFS(作業區!$W$2:$W$2000, T82, 作業區!$X$2:$X$2000, U82)&gt;0, "已存在", "未擴充")</f>
        <v>已存在</v>
      </c>
    </row>
    <row r="83" spans="1:29" ht="33">
      <c r="A83" s="8">
        <f t="shared" si="3"/>
        <v>82</v>
      </c>
      <c r="B83" s="2" t="s">
        <v>893</v>
      </c>
      <c r="C83" s="2"/>
      <c r="D83" s="17" t="s">
        <v>952</v>
      </c>
      <c r="E83" s="14" t="s">
        <v>769</v>
      </c>
      <c r="F83" s="21" t="s">
        <v>953</v>
      </c>
      <c r="G83" s="21" t="s">
        <v>954</v>
      </c>
      <c r="H83" s="19"/>
      <c r="I83" s="4">
        <v>226619.98800000001</v>
      </c>
      <c r="J83" s="4">
        <v>2643064.2179999999</v>
      </c>
      <c r="K83" s="17">
        <v>225791</v>
      </c>
      <c r="L83" s="17">
        <v>2643270</v>
      </c>
      <c r="M83" s="2">
        <v>96</v>
      </c>
      <c r="N83" s="5" t="s">
        <v>926</v>
      </c>
      <c r="O83" s="13" t="s">
        <v>1124</v>
      </c>
      <c r="P83" s="23" t="s">
        <v>1125</v>
      </c>
      <c r="Q83" s="4"/>
      <c r="R83" s="16" t="s">
        <v>957</v>
      </c>
      <c r="S83" s="16" t="s">
        <v>1126</v>
      </c>
      <c r="T83" s="5">
        <v>6</v>
      </c>
      <c r="U83" s="5">
        <v>60.7</v>
      </c>
      <c r="V83" s="16" t="s">
        <v>857</v>
      </c>
      <c r="W83" s="8">
        <f t="shared" si="2"/>
        <v>0</v>
      </c>
      <c r="Y83" s="8"/>
      <c r="Z83" s="8"/>
      <c r="AC83" s="8" t="str">
        <f>IF(COUNTIFS(作業區!$W$2:$W$2000, T83, 作業區!$X$2:$X$2000, U83)&gt;0, "已存在", "未擴充")</f>
        <v>已存在</v>
      </c>
    </row>
    <row r="84" spans="1:29" ht="33">
      <c r="A84" s="8">
        <f t="shared" si="3"/>
        <v>83</v>
      </c>
      <c r="B84" s="2" t="s">
        <v>754</v>
      </c>
      <c r="C84" s="2"/>
      <c r="D84" s="17" t="s">
        <v>1127</v>
      </c>
      <c r="E84" s="14" t="s">
        <v>769</v>
      </c>
      <c r="F84" s="21" t="s">
        <v>773</v>
      </c>
      <c r="G84" s="21" t="s">
        <v>877</v>
      </c>
      <c r="H84" s="19"/>
      <c r="I84" s="4">
        <v>263296.84999999998</v>
      </c>
      <c r="J84" s="4">
        <v>2657263.1660000002</v>
      </c>
      <c r="K84" s="17">
        <v>262468</v>
      </c>
      <c r="L84" s="17">
        <v>2657469</v>
      </c>
      <c r="M84" s="2">
        <v>96</v>
      </c>
      <c r="N84" s="5" t="s">
        <v>884</v>
      </c>
      <c r="O84" s="13">
        <v>39242.166666666664</v>
      </c>
      <c r="P84" s="23" t="s">
        <v>1128</v>
      </c>
      <c r="Q84" s="4"/>
      <c r="R84" s="16" t="s">
        <v>1129</v>
      </c>
      <c r="S84" s="16" t="s">
        <v>880</v>
      </c>
      <c r="T84" s="5">
        <v>11.5</v>
      </c>
      <c r="U84" s="5">
        <v>371.7</v>
      </c>
      <c r="V84" s="16" t="s">
        <v>857</v>
      </c>
      <c r="W84" s="8">
        <f t="shared" si="2"/>
        <v>0</v>
      </c>
      <c r="Y84" s="8"/>
      <c r="Z84" s="8"/>
      <c r="AC84" s="8" t="str">
        <f>IF(COUNTIFS(作業區!$W$2:$W$2000, T84, 作業區!$X$2:$X$2000, U84)&gt;0, "已存在", "未擴充")</f>
        <v>已存在</v>
      </c>
    </row>
    <row r="85" spans="1:29">
      <c r="A85" s="8">
        <f t="shared" si="3"/>
        <v>84</v>
      </c>
      <c r="B85" s="2" t="s">
        <v>1073</v>
      </c>
      <c r="C85" s="2"/>
      <c r="D85" s="17" t="s">
        <v>1130</v>
      </c>
      <c r="E85" s="14" t="s">
        <v>1033</v>
      </c>
      <c r="F85" s="14" t="s">
        <v>1034</v>
      </c>
      <c r="G85" s="21" t="s">
        <v>1131</v>
      </c>
      <c r="H85" s="19" t="s">
        <v>1132</v>
      </c>
      <c r="I85" s="4">
        <v>286203.77899999998</v>
      </c>
      <c r="J85" s="4">
        <v>2732687.898</v>
      </c>
      <c r="K85" s="17">
        <v>285375</v>
      </c>
      <c r="L85" s="17">
        <v>2732894</v>
      </c>
      <c r="M85" s="2">
        <v>96</v>
      </c>
      <c r="N85" s="5" t="s">
        <v>884</v>
      </c>
      <c r="O85" s="13">
        <v>39241.75</v>
      </c>
      <c r="P85" s="23" t="s">
        <v>1133</v>
      </c>
      <c r="Q85" s="4"/>
      <c r="R85" s="16" t="s">
        <v>1134</v>
      </c>
      <c r="S85" s="16" t="s">
        <v>1135</v>
      </c>
      <c r="T85" s="5">
        <v>1</v>
      </c>
      <c r="U85" s="5">
        <v>133</v>
      </c>
      <c r="V85" s="16" t="s">
        <v>857</v>
      </c>
      <c r="W85" s="8">
        <f t="shared" si="2"/>
        <v>0</v>
      </c>
      <c r="Y85" s="8"/>
      <c r="Z85" s="8"/>
      <c r="AC85" s="8" t="str">
        <f>IF(COUNTIFS(作業區!$W$2:$W$2000, T85, 作業區!$X$2:$X$2000, U85)&gt;0, "已存在", "未擴充")</f>
        <v>已存在</v>
      </c>
    </row>
    <row r="86" spans="1:29">
      <c r="A86" s="8">
        <f t="shared" si="3"/>
        <v>85</v>
      </c>
      <c r="B86" s="2" t="s">
        <v>1073</v>
      </c>
      <c r="C86" s="2"/>
      <c r="D86" s="17" t="s">
        <v>1136</v>
      </c>
      <c r="E86" s="14" t="s">
        <v>846</v>
      </c>
      <c r="F86" s="21" t="s">
        <v>1137</v>
      </c>
      <c r="G86" s="21" t="s">
        <v>1138</v>
      </c>
      <c r="H86" s="19"/>
      <c r="I86" s="4">
        <v>220041.00200000001</v>
      </c>
      <c r="J86" s="4">
        <v>2712020.969</v>
      </c>
      <c r="K86" s="17">
        <v>219212</v>
      </c>
      <c r="L86" s="17">
        <v>2712227</v>
      </c>
      <c r="M86" s="2">
        <v>96</v>
      </c>
      <c r="N86" s="5" t="s">
        <v>884</v>
      </c>
      <c r="O86" s="13">
        <v>39241.333333333336</v>
      </c>
      <c r="P86" s="23" t="s">
        <v>1139</v>
      </c>
      <c r="Q86" s="4"/>
      <c r="R86" s="16" t="s">
        <v>1140</v>
      </c>
      <c r="S86" s="16" t="s">
        <v>1141</v>
      </c>
      <c r="T86" s="5">
        <v>6</v>
      </c>
      <c r="U86" s="5">
        <v>248.4</v>
      </c>
      <c r="V86" s="16" t="s">
        <v>975</v>
      </c>
      <c r="W86" s="8">
        <f t="shared" si="2"/>
        <v>0</v>
      </c>
      <c r="Y86" s="8"/>
      <c r="Z86" s="8"/>
      <c r="AC86" s="8" t="str">
        <f>IF(COUNTIFS(作業區!$W$2:$W$2000, T86, 作業區!$X$2:$X$2000, U86)&gt;0, "已存在", "未擴充")</f>
        <v>已存在</v>
      </c>
    </row>
    <row r="87" spans="1:29" ht="33">
      <c r="A87" s="8">
        <f t="shared" si="3"/>
        <v>86</v>
      </c>
      <c r="B87" s="2" t="s">
        <v>1073</v>
      </c>
      <c r="C87" s="2"/>
      <c r="D87" s="17" t="s">
        <v>1142</v>
      </c>
      <c r="E87" s="14" t="s">
        <v>846</v>
      </c>
      <c r="F87" s="21" t="s">
        <v>1143</v>
      </c>
      <c r="G87" s="21" t="s">
        <v>1144</v>
      </c>
      <c r="H87" s="19"/>
      <c r="I87" s="4">
        <v>247749.90700000001</v>
      </c>
      <c r="J87" s="4">
        <v>2699989.0129999998</v>
      </c>
      <c r="K87" s="17">
        <v>246921</v>
      </c>
      <c r="L87" s="17">
        <v>2700195</v>
      </c>
      <c r="M87" s="2">
        <v>96</v>
      </c>
      <c r="N87" s="5" t="s">
        <v>884</v>
      </c>
      <c r="O87" s="13">
        <v>39241.5</v>
      </c>
      <c r="P87" s="23" t="s">
        <v>1145</v>
      </c>
      <c r="Q87" s="4"/>
      <c r="R87" s="16" t="s">
        <v>1146</v>
      </c>
      <c r="S87" s="16" t="s">
        <v>1147</v>
      </c>
      <c r="T87" s="5">
        <v>22.5</v>
      </c>
      <c r="U87" s="5">
        <v>319.2</v>
      </c>
      <c r="V87" s="16" t="s">
        <v>975</v>
      </c>
      <c r="W87" s="8">
        <f t="shared" si="2"/>
        <v>0</v>
      </c>
      <c r="Y87" s="8"/>
      <c r="Z87" s="8"/>
      <c r="AC87" s="8" t="str">
        <f>IF(COUNTIFS(作業區!$W$2:$W$2000, T87, 作業區!$X$2:$X$2000, U87)&gt;0, "已存在", "未擴充")</f>
        <v>已存在</v>
      </c>
    </row>
    <row r="88" spans="1:29" ht="33">
      <c r="A88" s="8">
        <f t="shared" si="3"/>
        <v>87</v>
      </c>
      <c r="B88" s="2" t="s">
        <v>1073</v>
      </c>
      <c r="C88" s="2"/>
      <c r="D88" s="17" t="s">
        <v>1148</v>
      </c>
      <c r="E88" s="14" t="s">
        <v>846</v>
      </c>
      <c r="F88" s="21" t="s">
        <v>1143</v>
      </c>
      <c r="G88" s="21" t="s">
        <v>1149</v>
      </c>
      <c r="H88" s="19"/>
      <c r="I88" s="4">
        <v>246906.91</v>
      </c>
      <c r="J88" s="4">
        <v>2696511.0249999999</v>
      </c>
      <c r="K88" s="17">
        <v>246078</v>
      </c>
      <c r="L88" s="17">
        <v>2696717</v>
      </c>
      <c r="M88" s="2">
        <v>96</v>
      </c>
      <c r="N88" s="5" t="s">
        <v>884</v>
      </c>
      <c r="O88" s="13">
        <v>39241.625</v>
      </c>
      <c r="P88" s="23" t="s">
        <v>1150</v>
      </c>
      <c r="Q88" s="4"/>
      <c r="R88" s="16" t="s">
        <v>1151</v>
      </c>
      <c r="S88" s="16" t="s">
        <v>1152</v>
      </c>
      <c r="T88" s="5">
        <v>28.5</v>
      </c>
      <c r="U88" s="5">
        <v>399</v>
      </c>
      <c r="V88" s="16">
        <v>350</v>
      </c>
      <c r="W88" s="8">
        <f t="shared" si="2"/>
        <v>0</v>
      </c>
      <c r="Y88" s="8"/>
      <c r="Z88" s="8"/>
      <c r="AC88" s="8" t="str">
        <f>IF(COUNTIFS(作業區!$W$2:$W$2000, T88, 作業區!$X$2:$X$2000, U88)&gt;0, "已存在", "未擴充")</f>
        <v>已存在</v>
      </c>
    </row>
    <row r="89" spans="1:29" ht="33">
      <c r="A89" s="8">
        <f t="shared" si="3"/>
        <v>88</v>
      </c>
      <c r="B89" s="2" t="s">
        <v>1073</v>
      </c>
      <c r="C89" s="2"/>
      <c r="D89" s="17" t="s">
        <v>1153</v>
      </c>
      <c r="E89" s="14" t="s">
        <v>846</v>
      </c>
      <c r="F89" s="21" t="s">
        <v>1143</v>
      </c>
      <c r="G89" s="21" t="s">
        <v>1149</v>
      </c>
      <c r="H89" s="22" t="s">
        <v>1154</v>
      </c>
      <c r="I89" s="4">
        <v>245714.91500000001</v>
      </c>
      <c r="J89" s="4">
        <v>2694952.03</v>
      </c>
      <c r="K89" s="17">
        <v>244886</v>
      </c>
      <c r="L89" s="17">
        <v>2695158</v>
      </c>
      <c r="M89" s="2">
        <v>96</v>
      </c>
      <c r="N89" s="5" t="s">
        <v>884</v>
      </c>
      <c r="O89" s="13">
        <v>39241.625</v>
      </c>
      <c r="P89" s="23" t="s">
        <v>1155</v>
      </c>
      <c r="Q89" s="4"/>
      <c r="R89" s="16" t="s">
        <v>1156</v>
      </c>
      <c r="S89" s="16" t="s">
        <v>1152</v>
      </c>
      <c r="T89" s="5">
        <v>28.5</v>
      </c>
      <c r="U89" s="5">
        <v>399</v>
      </c>
      <c r="V89" s="16">
        <v>350</v>
      </c>
      <c r="W89" s="8">
        <f t="shared" si="2"/>
        <v>0</v>
      </c>
      <c r="Y89" s="8"/>
      <c r="Z89" s="8"/>
      <c r="AC89" s="8" t="str">
        <f>IF(COUNTIFS(作業區!$W$2:$W$2000, T89, 作業區!$X$2:$X$2000, U89)&gt;0, "已存在", "未擴充")</f>
        <v>已存在</v>
      </c>
    </row>
    <row r="90" spans="1:29" ht="48.75">
      <c r="A90" s="8">
        <f t="shared" si="3"/>
        <v>89</v>
      </c>
      <c r="B90" s="2" t="s">
        <v>754</v>
      </c>
      <c r="C90" s="2"/>
      <c r="D90" s="23" t="s">
        <v>1157</v>
      </c>
      <c r="E90" s="14" t="s">
        <v>769</v>
      </c>
      <c r="F90" s="21" t="s">
        <v>908</v>
      </c>
      <c r="G90" s="21" t="s">
        <v>1158</v>
      </c>
      <c r="H90" s="19"/>
      <c r="I90" s="4">
        <v>230810.97</v>
      </c>
      <c r="J90" s="4">
        <v>2658992.159</v>
      </c>
      <c r="K90" s="17">
        <v>229982</v>
      </c>
      <c r="L90" s="17">
        <v>2659198</v>
      </c>
      <c r="M90" s="2">
        <v>96</v>
      </c>
      <c r="N90" s="5" t="s">
        <v>884</v>
      </c>
      <c r="O90" s="13">
        <v>39241.666666666664</v>
      </c>
      <c r="P90" s="23" t="s">
        <v>1159</v>
      </c>
      <c r="Q90" s="4"/>
      <c r="R90" s="16" t="s">
        <v>1160</v>
      </c>
      <c r="S90" s="16" t="s">
        <v>1161</v>
      </c>
      <c r="T90" s="5">
        <v>9.5</v>
      </c>
      <c r="U90" s="5">
        <v>337.3</v>
      </c>
      <c r="V90" s="16">
        <v>250</v>
      </c>
      <c r="W90" s="8">
        <f t="shared" si="2"/>
        <v>0</v>
      </c>
      <c r="Y90" s="8"/>
      <c r="Z90" s="8"/>
      <c r="AC90" s="8" t="str">
        <f>IF(COUNTIFS(作業區!$W$2:$W$2000, T90, 作業區!$X$2:$X$2000, U90)&gt;0, "已存在", "未擴充")</f>
        <v>已存在</v>
      </c>
    </row>
    <row r="91" spans="1:29" ht="33">
      <c r="A91" s="8">
        <f t="shared" si="3"/>
        <v>90</v>
      </c>
      <c r="B91" s="2" t="s">
        <v>844</v>
      </c>
      <c r="C91" s="2"/>
      <c r="D91" s="17" t="s">
        <v>1162</v>
      </c>
      <c r="E91" s="14" t="s">
        <v>769</v>
      </c>
      <c r="F91" s="21" t="s">
        <v>908</v>
      </c>
      <c r="G91" s="21" t="s">
        <v>1158</v>
      </c>
      <c r="H91" s="19"/>
      <c r="I91" s="4">
        <v>231560.967</v>
      </c>
      <c r="J91" s="4">
        <v>2662086.148</v>
      </c>
      <c r="K91" s="17">
        <v>230732</v>
      </c>
      <c r="L91" s="17">
        <v>2662292</v>
      </c>
      <c r="M91" s="2">
        <v>96</v>
      </c>
      <c r="N91" s="5" t="s">
        <v>884</v>
      </c>
      <c r="O91" s="13">
        <v>39241.625</v>
      </c>
      <c r="P91" s="23" t="s">
        <v>1163</v>
      </c>
      <c r="Q91" s="4"/>
      <c r="R91" s="16" t="s">
        <v>1160</v>
      </c>
      <c r="S91" s="16" t="s">
        <v>1164</v>
      </c>
      <c r="T91" s="5">
        <v>10.5</v>
      </c>
      <c r="U91" s="5">
        <v>326</v>
      </c>
      <c r="V91" s="16">
        <v>250</v>
      </c>
      <c r="W91" s="8">
        <f t="shared" si="2"/>
        <v>0</v>
      </c>
      <c r="Y91" s="8"/>
      <c r="Z91" s="8"/>
      <c r="AC91" s="8" t="str">
        <f>IF(COUNTIFS(作業區!$W$2:$W$2000, T91, 作業區!$X$2:$X$2000, U91)&gt;0, "已存在", "未擴充")</f>
        <v>已存在</v>
      </c>
    </row>
    <row r="92" spans="1:29">
      <c r="A92" s="8">
        <f t="shared" si="3"/>
        <v>91</v>
      </c>
      <c r="B92" s="2" t="s">
        <v>754</v>
      </c>
      <c r="C92" s="2"/>
      <c r="D92" s="17" t="s">
        <v>1165</v>
      </c>
      <c r="E92" s="14" t="s">
        <v>769</v>
      </c>
      <c r="F92" s="21" t="s">
        <v>773</v>
      </c>
      <c r="G92" s="21" t="s">
        <v>1166</v>
      </c>
      <c r="H92" s="19"/>
      <c r="I92" s="4">
        <v>245437.916</v>
      </c>
      <c r="J92" s="4">
        <v>2661943.1490000002</v>
      </c>
      <c r="K92" s="17">
        <v>244609</v>
      </c>
      <c r="L92" s="17">
        <v>2662149</v>
      </c>
      <c r="M92" s="2">
        <v>96</v>
      </c>
      <c r="N92" s="5" t="s">
        <v>884</v>
      </c>
      <c r="O92" s="13">
        <v>39237.291666666664</v>
      </c>
      <c r="P92" s="23" t="s">
        <v>1167</v>
      </c>
      <c r="Q92" s="4"/>
      <c r="R92" s="16" t="s">
        <v>377</v>
      </c>
      <c r="S92" s="16" t="s">
        <v>1168</v>
      </c>
      <c r="T92" s="5">
        <v>3.5</v>
      </c>
      <c r="U92" s="5">
        <v>47.8</v>
      </c>
      <c r="V92" s="16">
        <v>250</v>
      </c>
      <c r="W92" s="8">
        <f t="shared" si="2"/>
        <v>0</v>
      </c>
      <c r="Y92" s="8"/>
      <c r="Z92" s="8"/>
      <c r="AC92" s="8" t="str">
        <f>IF(COUNTIFS(作業區!$W$2:$W$2000, T92, 作業區!$X$2:$X$2000, U92)&gt;0, "已存在", "未擴充")</f>
        <v>已存在</v>
      </c>
    </row>
    <row r="93" spans="1:29">
      <c r="A93" s="8">
        <f t="shared" si="3"/>
        <v>92</v>
      </c>
      <c r="B93" s="2" t="s">
        <v>1169</v>
      </c>
      <c r="C93" s="2"/>
      <c r="D93" s="17" t="s">
        <v>1170</v>
      </c>
      <c r="E93" s="14" t="s">
        <v>769</v>
      </c>
      <c r="F93" s="21" t="s">
        <v>773</v>
      </c>
      <c r="G93" s="21" t="s">
        <v>1166</v>
      </c>
      <c r="H93" s="19" t="s">
        <v>1171</v>
      </c>
      <c r="I93" s="4">
        <v>249008.90299999999</v>
      </c>
      <c r="J93" s="4">
        <v>2664447.14</v>
      </c>
      <c r="K93" s="17">
        <v>248180</v>
      </c>
      <c r="L93" s="17">
        <v>2664653</v>
      </c>
      <c r="M93" s="2">
        <v>96</v>
      </c>
      <c r="N93" s="5" t="s">
        <v>884</v>
      </c>
      <c r="O93" s="13">
        <v>39237.833333333336</v>
      </c>
      <c r="P93" s="23" t="s">
        <v>1172</v>
      </c>
      <c r="Q93" s="4"/>
      <c r="R93" s="16" t="s">
        <v>377</v>
      </c>
      <c r="S93" s="16" t="s">
        <v>1168</v>
      </c>
      <c r="T93" s="5">
        <v>3.5</v>
      </c>
      <c r="U93" s="5">
        <v>77.900000000000006</v>
      </c>
      <c r="V93" s="16">
        <v>250</v>
      </c>
      <c r="W93" s="8">
        <f t="shared" si="2"/>
        <v>0</v>
      </c>
      <c r="Y93" s="8"/>
      <c r="Z93" s="8"/>
      <c r="AC93" s="8" t="str">
        <f>IF(COUNTIFS(作業區!$W$2:$W$2000, T93, 作業區!$X$2:$X$2000, U93)&gt;0, "已存在", "未擴充")</f>
        <v>已存在</v>
      </c>
    </row>
    <row r="94" spans="1:29" ht="33">
      <c r="A94" s="8">
        <f t="shared" si="3"/>
        <v>93</v>
      </c>
      <c r="B94" s="5" t="s">
        <v>739</v>
      </c>
      <c r="C94" s="5"/>
      <c r="D94" s="20" t="s">
        <v>1173</v>
      </c>
      <c r="E94" s="14" t="s">
        <v>942</v>
      </c>
      <c r="F94" s="14" t="s">
        <v>1174</v>
      </c>
      <c r="G94" s="14" t="s">
        <v>1175</v>
      </c>
      <c r="H94" s="19" t="s">
        <v>1176</v>
      </c>
      <c r="I94" s="4">
        <v>196261.12100000001</v>
      </c>
      <c r="J94" s="4">
        <v>2570462.5</v>
      </c>
      <c r="K94" s="4">
        <v>195432</v>
      </c>
      <c r="L94" s="4">
        <v>2570668</v>
      </c>
      <c r="M94" s="5">
        <v>97</v>
      </c>
      <c r="N94" s="5" t="s">
        <v>1177</v>
      </c>
      <c r="O94" s="13">
        <v>39647.791666666664</v>
      </c>
      <c r="P94" s="15" t="s">
        <v>1178</v>
      </c>
      <c r="Q94" s="4"/>
      <c r="R94" s="16" t="s">
        <v>1179</v>
      </c>
      <c r="S94" s="16" t="s">
        <v>1180</v>
      </c>
      <c r="T94" s="5">
        <v>48</v>
      </c>
      <c r="U94" s="5">
        <v>261</v>
      </c>
      <c r="V94" s="16">
        <v>500</v>
      </c>
      <c r="W94" s="8">
        <f t="shared" si="2"/>
        <v>0</v>
      </c>
      <c r="Y94" s="8"/>
      <c r="Z94" s="8"/>
      <c r="AC94" s="8" t="str">
        <f>IF(COUNTIFS(作業區!$W$2:$W$2000, T94, 作業區!$X$2:$X$2000, U94)&gt;0, "已存在", "未擴充")</f>
        <v>已存在</v>
      </c>
    </row>
    <row r="95" spans="1:29" ht="33">
      <c r="A95" s="8">
        <f t="shared" si="3"/>
        <v>94</v>
      </c>
      <c r="B95" s="5" t="s">
        <v>739</v>
      </c>
      <c r="C95" s="5"/>
      <c r="D95" s="4" t="s">
        <v>1181</v>
      </c>
      <c r="E95" s="14" t="s">
        <v>942</v>
      </c>
      <c r="F95" s="14" t="s">
        <v>1174</v>
      </c>
      <c r="G95" s="14" t="s">
        <v>1175</v>
      </c>
      <c r="H95" s="5" t="s">
        <v>1182</v>
      </c>
      <c r="I95" s="4">
        <v>196930.11799999999</v>
      </c>
      <c r="J95" s="4">
        <v>2571655.4950000001</v>
      </c>
      <c r="K95" s="4">
        <v>196101</v>
      </c>
      <c r="L95" s="4">
        <v>2571861</v>
      </c>
      <c r="M95" s="5">
        <v>97</v>
      </c>
      <c r="N95" s="5" t="s">
        <v>1177</v>
      </c>
      <c r="O95" s="13">
        <v>39647.791666666664</v>
      </c>
      <c r="P95" s="15" t="s">
        <v>1183</v>
      </c>
      <c r="Q95" s="4"/>
      <c r="R95" s="16" t="s">
        <v>1184</v>
      </c>
      <c r="S95" s="16" t="s">
        <v>1180</v>
      </c>
      <c r="T95" s="5">
        <v>48</v>
      </c>
      <c r="U95" s="5">
        <v>261</v>
      </c>
      <c r="V95" s="16">
        <v>500</v>
      </c>
      <c r="W95" s="8">
        <f t="shared" si="2"/>
        <v>0</v>
      </c>
      <c r="Y95" s="8"/>
      <c r="Z95" s="8"/>
      <c r="AC95" s="8" t="str">
        <f>IF(COUNTIFS(作業區!$W$2:$W$2000, T95, 作業區!$X$2:$X$2000, U95)&gt;0, "已存在", "未擴充")</f>
        <v>已存在</v>
      </c>
    </row>
    <row r="96" spans="1:29" ht="33">
      <c r="A96" s="8">
        <f t="shared" si="3"/>
        <v>95</v>
      </c>
      <c r="B96" s="5" t="s">
        <v>739</v>
      </c>
      <c r="C96" s="5"/>
      <c r="D96" s="4" t="s">
        <v>1185</v>
      </c>
      <c r="E96" s="14" t="s">
        <v>942</v>
      </c>
      <c r="F96" s="14" t="s">
        <v>1186</v>
      </c>
      <c r="G96" s="14" t="s">
        <v>1187</v>
      </c>
      <c r="H96" s="5" t="s">
        <v>1188</v>
      </c>
      <c r="I96" s="4">
        <v>204502.08900000001</v>
      </c>
      <c r="J96" s="4">
        <v>2563706.5299999998</v>
      </c>
      <c r="K96" s="4">
        <v>203673</v>
      </c>
      <c r="L96" s="4">
        <v>2563912</v>
      </c>
      <c r="M96" s="5">
        <v>97</v>
      </c>
      <c r="N96" s="5" t="s">
        <v>1189</v>
      </c>
      <c r="O96" s="13">
        <v>39647</v>
      </c>
      <c r="P96" s="15" t="s">
        <v>1190</v>
      </c>
      <c r="Q96" s="4"/>
      <c r="R96" s="16" t="s">
        <v>1191</v>
      </c>
      <c r="S96" s="16" t="s">
        <v>1192</v>
      </c>
      <c r="T96" s="5">
        <v>91.5</v>
      </c>
      <c r="U96" s="5">
        <v>734.1</v>
      </c>
      <c r="V96" s="16">
        <v>550</v>
      </c>
      <c r="W96" s="8">
        <f t="shared" si="2"/>
        <v>0</v>
      </c>
      <c r="Y96" s="8"/>
      <c r="Z96" s="8"/>
      <c r="AC96" s="8" t="str">
        <f>IF(COUNTIFS(作業區!$W$2:$W$2000, T96, 作業區!$X$2:$X$2000, U96)&gt;0, "已存在", "未擴充")</f>
        <v>已存在</v>
      </c>
    </row>
    <row r="97" spans="1:29" ht="33">
      <c r="A97" s="8">
        <f t="shared" si="3"/>
        <v>96</v>
      </c>
      <c r="B97" s="5" t="s">
        <v>739</v>
      </c>
      <c r="C97" s="5"/>
      <c r="D97" s="4" t="s">
        <v>1193</v>
      </c>
      <c r="E97" s="14" t="s">
        <v>942</v>
      </c>
      <c r="F97" s="14" t="s">
        <v>1186</v>
      </c>
      <c r="G97" s="21" t="s">
        <v>1194</v>
      </c>
      <c r="H97" s="5" t="s">
        <v>1195</v>
      </c>
      <c r="I97" s="4">
        <v>201448.10200000001</v>
      </c>
      <c r="J97" s="4">
        <v>2558650.5499999998</v>
      </c>
      <c r="K97" s="4">
        <v>200619</v>
      </c>
      <c r="L97" s="4">
        <v>2558856</v>
      </c>
      <c r="M97" s="5">
        <v>97</v>
      </c>
      <c r="N97" s="5" t="s">
        <v>1189</v>
      </c>
      <c r="O97" s="13">
        <v>39646.833333333336</v>
      </c>
      <c r="P97" s="15" t="s">
        <v>1196</v>
      </c>
      <c r="Q97" s="4"/>
      <c r="R97" s="16" t="s">
        <v>1197</v>
      </c>
      <c r="S97" s="16" t="s">
        <v>1192</v>
      </c>
      <c r="T97" s="5">
        <v>93</v>
      </c>
      <c r="U97" s="5">
        <v>374.9</v>
      </c>
      <c r="V97" s="16" t="s">
        <v>857</v>
      </c>
      <c r="W97" s="8">
        <f t="shared" si="2"/>
        <v>0</v>
      </c>
      <c r="Y97" s="8"/>
      <c r="Z97" s="8"/>
      <c r="AC97" s="8" t="str">
        <f>IF(COUNTIFS(作業區!$W$2:$W$2000, T97, 作業區!$X$2:$X$2000, U97)&gt;0, "已存在", "未擴充")</f>
        <v>已存在</v>
      </c>
    </row>
    <row r="98" spans="1:29" hidden="1">
      <c r="A98" s="8">
        <f t="shared" si="3"/>
        <v>97</v>
      </c>
      <c r="B98" s="5" t="s">
        <v>739</v>
      </c>
      <c r="C98" s="5"/>
      <c r="D98" s="4" t="s">
        <v>1198</v>
      </c>
      <c r="E98" s="14" t="s">
        <v>785</v>
      </c>
      <c r="F98" s="14" t="s">
        <v>1199</v>
      </c>
      <c r="G98" s="14" t="s">
        <v>1200</v>
      </c>
      <c r="H98" s="19" t="s">
        <v>1201</v>
      </c>
      <c r="I98" s="4">
        <v>248619.905</v>
      </c>
      <c r="J98" s="4">
        <v>2645429.2110000001</v>
      </c>
      <c r="K98" s="4">
        <v>247791</v>
      </c>
      <c r="L98" s="4">
        <v>2645635</v>
      </c>
      <c r="M98" s="5">
        <v>97</v>
      </c>
      <c r="N98" s="5" t="s">
        <v>1177</v>
      </c>
      <c r="O98" s="13">
        <v>39647.166666666664</v>
      </c>
      <c r="P98" s="15" t="s">
        <v>1202</v>
      </c>
      <c r="Q98" s="4"/>
      <c r="R98" s="16" t="s">
        <v>463</v>
      </c>
      <c r="S98" s="16" t="s">
        <v>1203</v>
      </c>
      <c r="T98" s="5">
        <v>97</v>
      </c>
      <c r="U98" s="5">
        <v>415.8</v>
      </c>
      <c r="V98" s="16">
        <v>350</v>
      </c>
      <c r="W98" s="8">
        <f t="shared" si="2"/>
        <v>0</v>
      </c>
      <c r="Y98" s="8"/>
      <c r="Z98" s="8"/>
      <c r="AC98" s="8" t="str">
        <f>IF(COUNTIFS(作業區!$W$2:$W$2000, T98, 作業區!$X$2:$X$2000, U98)&gt;0, "已存在", "未擴充")</f>
        <v>已存在</v>
      </c>
    </row>
    <row r="99" spans="1:29" ht="33" hidden="1">
      <c r="A99" s="8">
        <f t="shared" si="3"/>
        <v>98</v>
      </c>
      <c r="B99" s="5" t="s">
        <v>739</v>
      </c>
      <c r="C99" s="5"/>
      <c r="D99" s="4" t="s">
        <v>1204</v>
      </c>
      <c r="E99" s="14" t="s">
        <v>785</v>
      </c>
      <c r="F99" s="14" t="s">
        <v>1199</v>
      </c>
      <c r="G99" s="14" t="s">
        <v>1200</v>
      </c>
      <c r="H99" s="5" t="s">
        <v>1205</v>
      </c>
      <c r="I99" s="4">
        <v>250828.89600000001</v>
      </c>
      <c r="J99" s="4">
        <v>2645283.2110000001</v>
      </c>
      <c r="K99" s="4">
        <v>250000</v>
      </c>
      <c r="L99" s="4">
        <v>2645489</v>
      </c>
      <c r="M99" s="5">
        <v>97</v>
      </c>
      <c r="N99" s="5" t="s">
        <v>1177</v>
      </c>
      <c r="O99" s="13">
        <v>39647.166666666664</v>
      </c>
      <c r="P99" s="15" t="s">
        <v>1206</v>
      </c>
      <c r="Q99" s="4"/>
      <c r="R99" s="16" t="s">
        <v>463</v>
      </c>
      <c r="S99" s="16" t="s">
        <v>1203</v>
      </c>
      <c r="T99" s="5">
        <v>97</v>
      </c>
      <c r="U99" s="5">
        <v>415.8</v>
      </c>
      <c r="V99" s="16">
        <v>350</v>
      </c>
      <c r="W99" s="8">
        <f t="shared" si="2"/>
        <v>0</v>
      </c>
      <c r="Y99" s="8"/>
      <c r="Z99" s="8"/>
      <c r="AC99" s="8" t="str">
        <f>IF(COUNTIFS(作業區!$W$2:$W$2000, T99, 作業區!$X$2:$X$2000, U99)&gt;0, "已存在", "未擴充")</f>
        <v>已存在</v>
      </c>
    </row>
    <row r="100" spans="1:29" ht="33" hidden="1">
      <c r="A100" s="8">
        <f t="shared" si="3"/>
        <v>99</v>
      </c>
      <c r="B100" s="5" t="s">
        <v>739</v>
      </c>
      <c r="C100" s="5"/>
      <c r="D100" s="4" t="s">
        <v>1207</v>
      </c>
      <c r="E100" s="14" t="s">
        <v>785</v>
      </c>
      <c r="F100" s="14" t="s">
        <v>786</v>
      </c>
      <c r="G100" s="14" t="s">
        <v>1208</v>
      </c>
      <c r="H100" s="5" t="s">
        <v>1209</v>
      </c>
      <c r="I100" s="4">
        <v>252971.88800000001</v>
      </c>
      <c r="J100" s="4">
        <v>2645176.2119999998</v>
      </c>
      <c r="K100" s="4">
        <v>252143</v>
      </c>
      <c r="L100" s="4">
        <v>2645382</v>
      </c>
      <c r="M100" s="5">
        <v>97</v>
      </c>
      <c r="N100" s="5" t="s">
        <v>1177</v>
      </c>
      <c r="O100" s="13">
        <v>39647.083333333336</v>
      </c>
      <c r="P100" s="15" t="s">
        <v>1210</v>
      </c>
      <c r="Q100" s="4"/>
      <c r="R100" s="16" t="s">
        <v>391</v>
      </c>
      <c r="S100" s="16" t="s">
        <v>1211</v>
      </c>
      <c r="T100" s="5">
        <v>40.5</v>
      </c>
      <c r="U100" s="5">
        <v>198.4</v>
      </c>
      <c r="V100" s="16">
        <v>250</v>
      </c>
      <c r="W100" s="8">
        <f t="shared" si="2"/>
        <v>0</v>
      </c>
      <c r="Y100" s="8"/>
      <c r="Z100" s="8"/>
      <c r="AC100" s="8" t="str">
        <f>IF(COUNTIFS(作業區!$W$2:$W$2000, T100, 作業區!$X$2:$X$2000, U100)&gt;0, "已存在", "未擴充")</f>
        <v>已存在</v>
      </c>
    </row>
    <row r="101" spans="1:29" ht="33" hidden="1">
      <c r="A101" s="8">
        <f t="shared" si="3"/>
        <v>100</v>
      </c>
      <c r="B101" s="5" t="s">
        <v>739</v>
      </c>
      <c r="C101" s="5"/>
      <c r="D101" s="4" t="s">
        <v>1212</v>
      </c>
      <c r="E101" s="14" t="s">
        <v>785</v>
      </c>
      <c r="F101" s="14" t="s">
        <v>1213</v>
      </c>
      <c r="G101" s="14" t="s">
        <v>1214</v>
      </c>
      <c r="H101" s="19" t="s">
        <v>1215</v>
      </c>
      <c r="I101" s="4">
        <v>244117.92199999999</v>
      </c>
      <c r="J101" s="4">
        <v>2635950.247</v>
      </c>
      <c r="K101" s="4">
        <v>243289</v>
      </c>
      <c r="L101" s="4">
        <v>2636156</v>
      </c>
      <c r="M101" s="5">
        <v>97</v>
      </c>
      <c r="N101" s="5" t="s">
        <v>1177</v>
      </c>
      <c r="O101" s="13">
        <v>39647.083333333336</v>
      </c>
      <c r="P101" s="15" t="s">
        <v>1216</v>
      </c>
      <c r="Q101" s="4"/>
      <c r="R101" s="16" t="s">
        <v>122</v>
      </c>
      <c r="S101" s="16" t="s">
        <v>1217</v>
      </c>
      <c r="T101" s="5">
        <v>109</v>
      </c>
      <c r="U101" s="5">
        <v>272.60000000000002</v>
      </c>
      <c r="V101" s="16">
        <v>250</v>
      </c>
      <c r="W101" s="8">
        <f t="shared" si="2"/>
        <v>0</v>
      </c>
      <c r="Y101" s="8"/>
      <c r="Z101" s="8"/>
      <c r="AC101" s="8" t="str">
        <f>IF(COUNTIFS(作業區!$W$2:$W$2000, T101, 作業區!$X$2:$X$2000, U101)&gt;0, "已存在", "未擴充")</f>
        <v>已存在</v>
      </c>
    </row>
    <row r="102" spans="1:29" ht="49.5" hidden="1">
      <c r="A102" s="8">
        <f t="shared" si="3"/>
        <v>101</v>
      </c>
      <c r="B102" s="24" t="s">
        <v>1218</v>
      </c>
      <c r="C102" s="5"/>
      <c r="D102" s="4" t="s">
        <v>1219</v>
      </c>
      <c r="E102" s="14" t="s">
        <v>802</v>
      </c>
      <c r="F102" s="14" t="s">
        <v>1220</v>
      </c>
      <c r="G102" s="14" t="s">
        <v>1221</v>
      </c>
      <c r="H102" s="19" t="s">
        <v>1222</v>
      </c>
      <c r="I102" s="4">
        <v>217351.03599999999</v>
      </c>
      <c r="J102" s="4">
        <v>2556058.5639999998</v>
      </c>
      <c r="K102" s="4">
        <v>216522</v>
      </c>
      <c r="L102" s="4">
        <v>2556264</v>
      </c>
      <c r="M102" s="5">
        <v>97</v>
      </c>
      <c r="N102" s="5" t="s">
        <v>1189</v>
      </c>
      <c r="O102" s="13">
        <v>39647.083333333336</v>
      </c>
      <c r="P102" s="15" t="s">
        <v>1223</v>
      </c>
      <c r="Q102" s="4"/>
      <c r="R102" s="16" t="s">
        <v>225</v>
      </c>
      <c r="S102" s="16" t="s">
        <v>1224</v>
      </c>
      <c r="T102" s="5">
        <v>34.5</v>
      </c>
      <c r="U102" s="5">
        <v>677.1</v>
      </c>
      <c r="V102" s="16">
        <v>450</v>
      </c>
      <c r="W102" s="8">
        <f t="shared" si="2"/>
        <v>0</v>
      </c>
      <c r="Y102" s="8"/>
      <c r="AC102" s="8" t="str">
        <f>IF(COUNTIFS(作業區!$W$2:$W$2000, T102, 作業區!$X$2:$X$2000, U102)&gt;0, "已存在", "未擴充")</f>
        <v>已存在</v>
      </c>
    </row>
    <row r="103" spans="1:29" ht="66" hidden="1">
      <c r="A103" s="8">
        <f t="shared" si="3"/>
        <v>102</v>
      </c>
      <c r="B103" s="5" t="s">
        <v>739</v>
      </c>
      <c r="C103" s="5"/>
      <c r="D103" s="4" t="s">
        <v>1225</v>
      </c>
      <c r="E103" s="14" t="s">
        <v>802</v>
      </c>
      <c r="F103" s="14" t="s">
        <v>1220</v>
      </c>
      <c r="G103" s="14" t="s">
        <v>1221</v>
      </c>
      <c r="H103" s="5"/>
      <c r="I103" s="4">
        <v>218572.03099999999</v>
      </c>
      <c r="J103" s="4">
        <v>2556136.5639999998</v>
      </c>
      <c r="K103" s="4">
        <v>217743</v>
      </c>
      <c r="L103" s="4">
        <v>2556342</v>
      </c>
      <c r="M103" s="5">
        <v>97</v>
      </c>
      <c r="N103" s="5" t="s">
        <v>1189</v>
      </c>
      <c r="O103" s="13">
        <v>39647.125</v>
      </c>
      <c r="P103" s="15" t="s">
        <v>1226</v>
      </c>
      <c r="Q103" s="4"/>
      <c r="R103" s="16" t="s">
        <v>225</v>
      </c>
      <c r="S103" s="16" t="s">
        <v>1224</v>
      </c>
      <c r="T103" s="5">
        <v>33</v>
      </c>
      <c r="U103" s="5">
        <v>710.1</v>
      </c>
      <c r="V103" s="16">
        <v>450</v>
      </c>
      <c r="W103" s="8">
        <f t="shared" si="2"/>
        <v>0</v>
      </c>
      <c r="Y103" s="8"/>
      <c r="AC103" s="8" t="str">
        <f>IF(COUNTIFS(作業區!$W$2:$W$2000, T103, 作業區!$X$2:$X$2000, U103)&gt;0, "已存在", "未擴充")</f>
        <v>已存在</v>
      </c>
    </row>
    <row r="104" spans="1:29" ht="66" hidden="1">
      <c r="A104" s="8">
        <f t="shared" si="3"/>
        <v>103</v>
      </c>
      <c r="B104" s="5" t="s">
        <v>739</v>
      </c>
      <c r="C104" s="5"/>
      <c r="D104" s="4" t="s">
        <v>1227</v>
      </c>
      <c r="E104" s="14" t="s">
        <v>802</v>
      </c>
      <c r="F104" s="14" t="s">
        <v>1220</v>
      </c>
      <c r="G104" s="14" t="s">
        <v>1221</v>
      </c>
      <c r="H104" s="5"/>
      <c r="I104" s="4">
        <v>219053.02900000001</v>
      </c>
      <c r="J104" s="4">
        <v>2555492.5669999998</v>
      </c>
      <c r="K104" s="4">
        <v>218224</v>
      </c>
      <c r="L104" s="4">
        <v>2555698</v>
      </c>
      <c r="M104" s="5">
        <v>97</v>
      </c>
      <c r="N104" s="5" t="s">
        <v>1189</v>
      </c>
      <c r="O104" s="13">
        <v>39647.125</v>
      </c>
      <c r="P104" s="15" t="s">
        <v>1228</v>
      </c>
      <c r="Q104" s="4"/>
      <c r="R104" s="16" t="s">
        <v>1229</v>
      </c>
      <c r="S104" s="16" t="s">
        <v>1224</v>
      </c>
      <c r="T104" s="5">
        <v>33</v>
      </c>
      <c r="U104" s="5">
        <v>710.1</v>
      </c>
      <c r="V104" s="16">
        <v>450</v>
      </c>
      <c r="W104" s="8">
        <f t="shared" si="2"/>
        <v>0</v>
      </c>
      <c r="Y104" s="8"/>
      <c r="AC104" s="8" t="str">
        <f>IF(COUNTIFS(作業區!$W$2:$W$2000, T104, 作業區!$X$2:$X$2000, U104)&gt;0, "已存在", "未擴充")</f>
        <v>已存在</v>
      </c>
    </row>
    <row r="105" spans="1:29" ht="33" hidden="1">
      <c r="A105" s="8">
        <f t="shared" si="3"/>
        <v>104</v>
      </c>
      <c r="B105" s="5" t="s">
        <v>739</v>
      </c>
      <c r="C105" s="5"/>
      <c r="D105" s="4" t="s">
        <v>1230</v>
      </c>
      <c r="E105" s="14" t="s">
        <v>802</v>
      </c>
      <c r="F105" s="14" t="s">
        <v>1231</v>
      </c>
      <c r="G105" s="14" t="s">
        <v>1232</v>
      </c>
      <c r="H105" s="5" t="s">
        <v>1233</v>
      </c>
      <c r="I105" s="4">
        <v>202968.098</v>
      </c>
      <c r="J105" s="4">
        <v>2548834.5920000002</v>
      </c>
      <c r="K105" s="4">
        <v>202139</v>
      </c>
      <c r="L105" s="4">
        <v>2549040</v>
      </c>
      <c r="M105" s="5">
        <v>97</v>
      </c>
      <c r="N105" s="5" t="s">
        <v>1189</v>
      </c>
      <c r="O105" s="13">
        <v>39646.958333333336</v>
      </c>
      <c r="P105" s="15" t="s">
        <v>1234</v>
      </c>
      <c r="Q105" s="4"/>
      <c r="R105" s="16" t="s">
        <v>263</v>
      </c>
      <c r="S105" s="16" t="s">
        <v>1235</v>
      </c>
      <c r="T105" s="5">
        <v>66</v>
      </c>
      <c r="U105" s="5">
        <v>413.9</v>
      </c>
      <c r="V105" s="16">
        <v>500</v>
      </c>
      <c r="W105" s="8">
        <f t="shared" si="2"/>
        <v>0</v>
      </c>
      <c r="Y105" s="8"/>
      <c r="Z105" s="8"/>
      <c r="AC105" s="8" t="str">
        <f>IF(COUNTIFS(作業區!$W$2:$W$2000, T105, 作業區!$X$2:$X$2000, U105)&gt;0, "已存在", "未擴充")</f>
        <v>已存在</v>
      </c>
    </row>
    <row r="106" spans="1:29" ht="66">
      <c r="A106" s="8">
        <f t="shared" si="3"/>
        <v>105</v>
      </c>
      <c r="B106" s="24" t="s">
        <v>1218</v>
      </c>
      <c r="C106" s="5"/>
      <c r="D106" s="17" t="s">
        <v>1236</v>
      </c>
      <c r="E106" s="14" t="s">
        <v>802</v>
      </c>
      <c r="F106" s="14" t="s">
        <v>803</v>
      </c>
      <c r="G106" s="14" t="s">
        <v>806</v>
      </c>
      <c r="H106" s="19" t="s">
        <v>1237</v>
      </c>
      <c r="I106" s="4">
        <v>214016.05300000001</v>
      </c>
      <c r="J106" s="4">
        <v>2542264.622</v>
      </c>
      <c r="K106" s="4">
        <v>213187</v>
      </c>
      <c r="L106" s="4">
        <v>2542470</v>
      </c>
      <c r="M106" s="5">
        <v>97</v>
      </c>
      <c r="N106" s="5" t="s">
        <v>1189</v>
      </c>
      <c r="O106" s="13">
        <v>39647.083333333336</v>
      </c>
      <c r="P106" s="15" t="s">
        <v>1238</v>
      </c>
      <c r="Q106" s="4"/>
      <c r="R106" s="16" t="s">
        <v>233</v>
      </c>
      <c r="S106" s="16" t="s">
        <v>1239</v>
      </c>
      <c r="T106" s="5">
        <v>17</v>
      </c>
      <c r="U106" s="5">
        <v>420.9</v>
      </c>
      <c r="V106" s="16">
        <v>450</v>
      </c>
      <c r="W106" s="8">
        <f t="shared" si="2"/>
        <v>0</v>
      </c>
      <c r="Y106" s="8"/>
      <c r="Z106" s="8"/>
      <c r="AC106" s="8" t="str">
        <f>IF(COUNTIFS(作業區!$W$2:$W$2000, T106, 作業區!$X$2:$X$2000, U106)&gt;0, "已存在", "未擴充")</f>
        <v>已存在</v>
      </c>
    </row>
    <row r="107" spans="1:29" ht="65.25" hidden="1">
      <c r="A107" s="8">
        <f t="shared" si="3"/>
        <v>106</v>
      </c>
      <c r="B107" s="5" t="s">
        <v>739</v>
      </c>
      <c r="C107" s="5"/>
      <c r="D107" s="4" t="s">
        <v>1240</v>
      </c>
      <c r="E107" s="14" t="s">
        <v>802</v>
      </c>
      <c r="F107" s="14" t="s">
        <v>803</v>
      </c>
      <c r="G107" s="14" t="s">
        <v>1050</v>
      </c>
      <c r="H107" s="5" t="s">
        <v>1241</v>
      </c>
      <c r="I107" s="4">
        <v>218800.03</v>
      </c>
      <c r="J107" s="4">
        <v>2556184.5639999998</v>
      </c>
      <c r="K107" s="4">
        <v>217971</v>
      </c>
      <c r="L107" s="4">
        <v>2556390</v>
      </c>
      <c r="M107" s="5">
        <v>97</v>
      </c>
      <c r="N107" s="5" t="s">
        <v>1189</v>
      </c>
      <c r="O107" s="13">
        <v>39646.958333333336</v>
      </c>
      <c r="P107" s="15" t="s">
        <v>1242</v>
      </c>
      <c r="Q107" s="4"/>
      <c r="R107" s="16" t="s">
        <v>225</v>
      </c>
      <c r="S107" s="16" t="s">
        <v>1224</v>
      </c>
      <c r="T107" s="5">
        <v>144.5</v>
      </c>
      <c r="U107" s="5">
        <v>454.2</v>
      </c>
      <c r="V107" s="16">
        <v>450</v>
      </c>
      <c r="W107" s="8">
        <f t="shared" si="2"/>
        <v>0</v>
      </c>
      <c r="Y107" s="8"/>
      <c r="Z107" s="8"/>
      <c r="AC107" s="8" t="str">
        <f>IF(COUNTIFS(作業區!$W$2:$W$2000, T107, 作業區!$X$2:$X$2000, U107)&gt;0, "已存在", "未擴充")</f>
        <v>已存在</v>
      </c>
    </row>
    <row r="108" spans="1:29" ht="33">
      <c r="A108" s="8">
        <f t="shared" si="3"/>
        <v>107</v>
      </c>
      <c r="B108" s="5" t="s">
        <v>1243</v>
      </c>
      <c r="C108" s="5"/>
      <c r="D108" s="4" t="s">
        <v>1244</v>
      </c>
      <c r="E108" s="2" t="s">
        <v>756</v>
      </c>
      <c r="F108" s="5" t="s">
        <v>1245</v>
      </c>
      <c r="G108" s="5" t="s">
        <v>1246</v>
      </c>
      <c r="H108" s="5"/>
      <c r="I108" s="4">
        <v>233928.95699999999</v>
      </c>
      <c r="J108" s="4">
        <v>2679632.0839999998</v>
      </c>
      <c r="K108" s="4">
        <v>233100</v>
      </c>
      <c r="L108" s="4">
        <v>2679838</v>
      </c>
      <c r="M108" s="5">
        <v>97</v>
      </c>
      <c r="N108" s="5" t="s">
        <v>1177</v>
      </c>
      <c r="O108" s="13">
        <v>39647.25</v>
      </c>
      <c r="P108" s="15" t="s">
        <v>1247</v>
      </c>
      <c r="Q108" s="4"/>
      <c r="R108" s="16" t="s">
        <v>1122</v>
      </c>
      <c r="S108" s="16" t="s">
        <v>1123</v>
      </c>
      <c r="T108" s="5">
        <v>86.5</v>
      </c>
      <c r="U108" s="5">
        <v>245.8</v>
      </c>
      <c r="V108" s="16">
        <v>350</v>
      </c>
      <c r="W108" s="8">
        <f t="shared" si="2"/>
        <v>0</v>
      </c>
      <c r="Y108" s="8"/>
      <c r="Z108" s="8"/>
      <c r="AC108" s="8" t="str">
        <f>IF(COUNTIFS(作業區!$W$2:$W$2000, T108, 作業區!$X$2:$X$2000, U108)&gt;0, "已存在", "未擴充")</f>
        <v>已存在</v>
      </c>
    </row>
    <row r="109" spans="1:29" ht="49.5" hidden="1">
      <c r="A109" s="8">
        <f t="shared" si="3"/>
        <v>108</v>
      </c>
      <c r="B109" s="5" t="s">
        <v>1248</v>
      </c>
      <c r="C109" s="5"/>
      <c r="D109" s="4" t="s">
        <v>1249</v>
      </c>
      <c r="E109" s="14" t="s">
        <v>942</v>
      </c>
      <c r="F109" s="21" t="s">
        <v>943</v>
      </c>
      <c r="G109" s="21" t="s">
        <v>1250</v>
      </c>
      <c r="H109" s="19" t="s">
        <v>1251</v>
      </c>
      <c r="I109" s="4">
        <v>208214.073</v>
      </c>
      <c r="J109" s="4">
        <v>2562686.5350000001</v>
      </c>
      <c r="K109" s="4">
        <v>207385</v>
      </c>
      <c r="L109" s="4">
        <v>2562892</v>
      </c>
      <c r="M109" s="5">
        <v>97</v>
      </c>
      <c r="N109" s="5" t="s">
        <v>1189</v>
      </c>
      <c r="O109" s="13">
        <v>39647</v>
      </c>
      <c r="P109" s="15" t="s">
        <v>1252</v>
      </c>
      <c r="Q109" s="4"/>
      <c r="R109" s="16" t="s">
        <v>533</v>
      </c>
      <c r="S109" s="16" t="s">
        <v>1253</v>
      </c>
      <c r="T109" s="5">
        <v>100</v>
      </c>
      <c r="U109" s="5">
        <v>564.4</v>
      </c>
      <c r="V109" s="16">
        <v>500</v>
      </c>
      <c r="W109" s="8">
        <f t="shared" si="2"/>
        <v>0</v>
      </c>
      <c r="Y109" s="8"/>
      <c r="Z109" s="8"/>
      <c r="AC109" s="8" t="str">
        <f>IF(COUNTIFS(作業區!$W$2:$W$2000, T109, 作業區!$X$2:$X$2000, U109)&gt;0, "已存在", "未擴充")</f>
        <v>已存在</v>
      </c>
    </row>
    <row r="110" spans="1:29" ht="49.5">
      <c r="A110" s="8">
        <f t="shared" si="3"/>
        <v>109</v>
      </c>
      <c r="B110" s="5" t="s">
        <v>1248</v>
      </c>
      <c r="C110" s="5"/>
      <c r="D110" s="4" t="s">
        <v>1254</v>
      </c>
      <c r="E110" s="14" t="s">
        <v>802</v>
      </c>
      <c r="F110" s="14" t="s">
        <v>1043</v>
      </c>
      <c r="G110" s="14" t="s">
        <v>1044</v>
      </c>
      <c r="H110" s="5"/>
      <c r="I110" s="4">
        <v>210442.065</v>
      </c>
      <c r="J110" s="4">
        <v>2554979.5669999998</v>
      </c>
      <c r="K110" s="4">
        <v>209613</v>
      </c>
      <c r="L110" s="4">
        <v>2555185</v>
      </c>
      <c r="M110" s="5">
        <v>97</v>
      </c>
      <c r="N110" s="5" t="s">
        <v>1189</v>
      </c>
      <c r="O110" s="13">
        <v>39646.958333333336</v>
      </c>
      <c r="P110" s="15" t="s">
        <v>1255</v>
      </c>
      <c r="Q110" s="4"/>
      <c r="R110" s="16" t="s">
        <v>559</v>
      </c>
      <c r="S110" s="16" t="s">
        <v>1256</v>
      </c>
      <c r="T110" s="5">
        <v>139</v>
      </c>
      <c r="U110" s="5">
        <v>538.9</v>
      </c>
      <c r="V110" s="16">
        <v>500</v>
      </c>
      <c r="W110" s="8">
        <f t="shared" si="2"/>
        <v>0</v>
      </c>
      <c r="Y110" s="8"/>
      <c r="Z110" s="8"/>
      <c r="AC110" s="8" t="str">
        <f>IF(COUNTIFS(作業區!$W$2:$W$2000, T110, 作業區!$X$2:$X$2000, U110)&gt;0, "已存在", "未擴充")</f>
        <v>已存在</v>
      </c>
    </row>
    <row r="111" spans="1:29">
      <c r="A111" s="8">
        <f t="shared" si="3"/>
        <v>110</v>
      </c>
      <c r="B111" s="5" t="s">
        <v>1257</v>
      </c>
      <c r="C111" s="5"/>
      <c r="D111" s="4" t="s">
        <v>1258</v>
      </c>
      <c r="E111" s="2" t="s">
        <v>756</v>
      </c>
      <c r="F111" s="5" t="s">
        <v>1259</v>
      </c>
      <c r="G111" s="5" t="s">
        <v>1260</v>
      </c>
      <c r="H111" s="5" t="s">
        <v>1261</v>
      </c>
      <c r="I111" s="4">
        <v>227778.98</v>
      </c>
      <c r="J111" s="4">
        <v>2676794.094</v>
      </c>
      <c r="K111" s="4">
        <v>226950</v>
      </c>
      <c r="L111" s="4">
        <v>2677000</v>
      </c>
      <c r="M111" s="5">
        <v>97</v>
      </c>
      <c r="N111" s="5" t="s">
        <v>1177</v>
      </c>
      <c r="O111" s="13">
        <v>39647.333333333336</v>
      </c>
      <c r="P111" s="4" t="s">
        <v>1262</v>
      </c>
      <c r="Q111" s="4"/>
      <c r="R111" s="16" t="s">
        <v>1263</v>
      </c>
      <c r="S111" s="16" t="s">
        <v>1264</v>
      </c>
      <c r="T111" s="5">
        <v>146.5</v>
      </c>
      <c r="U111" s="5">
        <v>490.7</v>
      </c>
      <c r="V111" s="16">
        <v>450</v>
      </c>
      <c r="W111" s="8">
        <f t="shared" si="2"/>
        <v>0</v>
      </c>
      <c r="Y111" s="8"/>
      <c r="Z111" s="8"/>
      <c r="AC111" s="8" t="str">
        <f>IF(COUNTIFS(作業區!$W$2:$W$2000, T111, 作業區!$X$2:$X$2000, U111)&gt;0, "已存在", "未擴充")</f>
        <v>已存在</v>
      </c>
    </row>
    <row r="112" spans="1:29">
      <c r="A112" s="8">
        <f t="shared" si="3"/>
        <v>111</v>
      </c>
      <c r="B112" s="5" t="s">
        <v>844</v>
      </c>
      <c r="C112" s="5"/>
      <c r="D112" s="4" t="s">
        <v>1265</v>
      </c>
      <c r="E112" s="5" t="s">
        <v>769</v>
      </c>
      <c r="F112" s="5" t="s">
        <v>1055</v>
      </c>
      <c r="G112" s="5" t="s">
        <v>954</v>
      </c>
      <c r="H112" s="5"/>
      <c r="I112" s="4">
        <v>230626.97200000001</v>
      </c>
      <c r="J112" s="4">
        <v>2650928.1889999998</v>
      </c>
      <c r="K112" s="4">
        <v>229798</v>
      </c>
      <c r="L112" s="4">
        <v>2651134</v>
      </c>
      <c r="M112" s="5">
        <v>97</v>
      </c>
      <c r="N112" s="5" t="s">
        <v>1177</v>
      </c>
      <c r="O112" s="13">
        <v>39647.083333333336</v>
      </c>
      <c r="P112" s="15" t="s">
        <v>1266</v>
      </c>
      <c r="Q112" s="4"/>
      <c r="R112" s="16" t="s">
        <v>1267</v>
      </c>
      <c r="S112" s="16" t="s">
        <v>1268</v>
      </c>
      <c r="T112" s="5">
        <v>97.5</v>
      </c>
      <c r="U112" s="5">
        <v>261.60000000000002</v>
      </c>
      <c r="V112" s="16" t="s">
        <v>970</v>
      </c>
      <c r="W112" s="8">
        <f t="shared" si="2"/>
        <v>0</v>
      </c>
      <c r="Y112" s="8"/>
      <c r="Z112" s="8"/>
      <c r="AC112" s="8" t="str">
        <f>IF(COUNTIFS(作業區!$W$2:$W$2000, T112, 作業區!$X$2:$X$2000, U112)&gt;0, "已存在", "未擴充")</f>
        <v>已存在</v>
      </c>
    </row>
    <row r="113" spans="1:29">
      <c r="A113" s="8">
        <f t="shared" si="3"/>
        <v>112</v>
      </c>
      <c r="B113" s="5" t="s">
        <v>844</v>
      </c>
      <c r="C113" s="5"/>
      <c r="D113" s="4" t="s">
        <v>1269</v>
      </c>
      <c r="E113" s="14" t="s">
        <v>785</v>
      </c>
      <c r="F113" s="14" t="s">
        <v>786</v>
      </c>
      <c r="G113" s="21" t="s">
        <v>853</v>
      </c>
      <c r="H113" s="5"/>
      <c r="I113" s="4">
        <v>271861.82</v>
      </c>
      <c r="J113" s="4">
        <v>2674511.102</v>
      </c>
      <c r="K113" s="4">
        <v>271033</v>
      </c>
      <c r="L113" s="4">
        <v>2674717</v>
      </c>
      <c r="M113" s="5">
        <v>97</v>
      </c>
      <c r="N113" s="5" t="s">
        <v>1177</v>
      </c>
      <c r="O113" s="13">
        <v>39647.25</v>
      </c>
      <c r="P113" s="15" t="s">
        <v>1270</v>
      </c>
      <c r="Q113" s="4"/>
      <c r="R113" s="16" t="s">
        <v>1271</v>
      </c>
      <c r="S113" s="16" t="s">
        <v>1272</v>
      </c>
      <c r="T113" s="5">
        <v>33</v>
      </c>
      <c r="U113" s="5">
        <v>158</v>
      </c>
      <c r="V113" s="16" t="s">
        <v>964</v>
      </c>
      <c r="W113" s="8">
        <f t="shared" si="2"/>
        <v>0</v>
      </c>
      <c r="Y113" s="8"/>
      <c r="Z113" s="8"/>
      <c r="AC113" s="8" t="str">
        <f>IF(COUNTIFS(作業區!$W$2:$W$2000, T113, 作業區!$X$2:$X$2000, U113)&gt;0, "已存在", "未擴充")</f>
        <v>已存在</v>
      </c>
    </row>
    <row r="114" spans="1:29" ht="49.5" hidden="1">
      <c r="A114" s="8">
        <f t="shared" si="3"/>
        <v>113</v>
      </c>
      <c r="B114" s="5" t="s">
        <v>739</v>
      </c>
      <c r="C114" s="5"/>
      <c r="D114" s="17" t="s">
        <v>1273</v>
      </c>
      <c r="E114" s="14" t="s">
        <v>802</v>
      </c>
      <c r="F114" s="14" t="s">
        <v>803</v>
      </c>
      <c r="G114" s="21" t="s">
        <v>1050</v>
      </c>
      <c r="H114" s="5" t="s">
        <v>1274</v>
      </c>
      <c r="I114" s="4">
        <v>217329.03599999999</v>
      </c>
      <c r="J114" s="4">
        <v>2555465.5669999998</v>
      </c>
      <c r="K114" s="4">
        <v>216500</v>
      </c>
      <c r="L114" s="4">
        <v>2555671</v>
      </c>
      <c r="M114" s="5">
        <v>97</v>
      </c>
      <c r="N114" s="5" t="s">
        <v>1189</v>
      </c>
      <c r="O114" s="13">
        <v>39647.125</v>
      </c>
      <c r="P114" s="15" t="s">
        <v>1275</v>
      </c>
      <c r="Q114" s="4"/>
      <c r="R114" s="16" t="s">
        <v>225</v>
      </c>
      <c r="S114" s="16" t="s">
        <v>1224</v>
      </c>
      <c r="T114" s="5">
        <v>33</v>
      </c>
      <c r="U114" s="5">
        <v>710.1</v>
      </c>
      <c r="V114" s="16">
        <v>450</v>
      </c>
      <c r="W114" s="8">
        <f t="shared" si="2"/>
        <v>0</v>
      </c>
      <c r="Y114" s="8"/>
      <c r="Z114" s="8"/>
      <c r="AC114" s="8" t="str">
        <f>IF(COUNTIFS(作業區!$W$2:$W$2000, T114, 作業區!$X$2:$X$2000, U114)&gt;0, "已存在", "未擴充")</f>
        <v>已存在</v>
      </c>
    </row>
    <row r="115" spans="1:29">
      <c r="A115" s="8">
        <f t="shared" si="3"/>
        <v>114</v>
      </c>
      <c r="B115" s="5" t="s">
        <v>844</v>
      </c>
      <c r="C115" s="5"/>
      <c r="D115" s="4" t="s">
        <v>1276</v>
      </c>
      <c r="E115" s="21" t="s">
        <v>1061</v>
      </c>
      <c r="F115" s="5" t="s">
        <v>1068</v>
      </c>
      <c r="G115" s="5" t="s">
        <v>1277</v>
      </c>
      <c r="H115" s="5"/>
      <c r="I115" s="4">
        <v>206123.07699999999</v>
      </c>
      <c r="J115" s="4">
        <v>2585551.44</v>
      </c>
      <c r="K115" s="4">
        <v>205294</v>
      </c>
      <c r="L115" s="4">
        <v>2585757</v>
      </c>
      <c r="M115" s="5">
        <v>97</v>
      </c>
      <c r="N115" s="5" t="s">
        <v>1177</v>
      </c>
      <c r="O115" s="13">
        <v>39647.083333333336</v>
      </c>
      <c r="P115" s="15" t="s">
        <v>1278</v>
      </c>
      <c r="Q115" s="4"/>
      <c r="R115" s="16" t="s">
        <v>1071</v>
      </c>
      <c r="S115" s="16" t="s">
        <v>1072</v>
      </c>
      <c r="T115" s="5">
        <v>102</v>
      </c>
      <c r="U115" s="5">
        <v>396.4</v>
      </c>
      <c r="V115" s="16" t="s">
        <v>857</v>
      </c>
      <c r="W115" s="8">
        <f t="shared" si="2"/>
        <v>0</v>
      </c>
      <c r="Y115" s="8"/>
      <c r="Z115" s="8"/>
      <c r="AC115" s="8" t="str">
        <f>IF(COUNTIFS(作業區!$W$2:$W$2000, T115, 作業區!$X$2:$X$2000, U115)&gt;0, "已存在", "未擴充")</f>
        <v>已存在</v>
      </c>
    </row>
    <row r="116" spans="1:29" ht="33">
      <c r="A116" s="8">
        <f t="shared" si="3"/>
        <v>115</v>
      </c>
      <c r="B116" s="5" t="s">
        <v>739</v>
      </c>
      <c r="C116" s="5"/>
      <c r="D116" s="4" t="s">
        <v>1279</v>
      </c>
      <c r="E116" s="14" t="s">
        <v>942</v>
      </c>
      <c r="F116" s="21" t="s">
        <v>1186</v>
      </c>
      <c r="G116" s="21" t="s">
        <v>1280</v>
      </c>
      <c r="H116" s="18" t="s">
        <v>1281</v>
      </c>
      <c r="I116" s="4">
        <v>196029.12299999999</v>
      </c>
      <c r="J116" s="4">
        <v>2566869.5150000001</v>
      </c>
      <c r="K116" s="4">
        <v>195200</v>
      </c>
      <c r="L116" s="4">
        <v>2567075</v>
      </c>
      <c r="M116" s="5">
        <v>97</v>
      </c>
      <c r="N116" s="5" t="s">
        <v>1189</v>
      </c>
      <c r="O116" s="13">
        <v>39646.708333333336</v>
      </c>
      <c r="P116" s="15" t="s">
        <v>1282</v>
      </c>
      <c r="Q116" s="4"/>
      <c r="R116" s="16" t="s">
        <v>1191</v>
      </c>
      <c r="S116" s="16" t="s">
        <v>1192</v>
      </c>
      <c r="T116" s="5">
        <v>63.5</v>
      </c>
      <c r="U116" s="5">
        <v>181.8</v>
      </c>
      <c r="V116" s="16">
        <v>550</v>
      </c>
      <c r="W116" s="8">
        <f t="shared" si="2"/>
        <v>0</v>
      </c>
      <c r="Y116" s="8"/>
      <c r="Z116" s="8"/>
      <c r="AC116" s="8" t="str">
        <f>IF(COUNTIFS(作業區!$W$2:$W$2000, T116, 作業區!$X$2:$X$2000, U116)&gt;0, "已存在", "未擴充")</f>
        <v>已存在</v>
      </c>
    </row>
    <row r="117" spans="1:29" ht="33" hidden="1">
      <c r="A117" s="8">
        <f t="shared" si="3"/>
        <v>116</v>
      </c>
      <c r="B117" s="5" t="s">
        <v>739</v>
      </c>
      <c r="C117" s="5"/>
      <c r="D117" s="4" t="s">
        <v>1283</v>
      </c>
      <c r="E117" s="14" t="s">
        <v>942</v>
      </c>
      <c r="F117" s="21" t="s">
        <v>943</v>
      </c>
      <c r="G117" s="21" t="s">
        <v>1284</v>
      </c>
      <c r="H117" s="5" t="s">
        <v>1285</v>
      </c>
      <c r="I117" s="4">
        <v>202389.1</v>
      </c>
      <c r="J117" s="4">
        <v>2552491.5759999999</v>
      </c>
      <c r="K117" s="4">
        <v>201560</v>
      </c>
      <c r="L117" s="4">
        <v>2552697</v>
      </c>
      <c r="M117" s="5">
        <v>97</v>
      </c>
      <c r="N117" s="5" t="s">
        <v>1189</v>
      </c>
      <c r="O117" s="13">
        <v>39646.875</v>
      </c>
      <c r="P117" s="15" t="s">
        <v>1286</v>
      </c>
      <c r="Q117" s="4"/>
      <c r="R117" s="16" t="s">
        <v>218</v>
      </c>
      <c r="S117" s="16" t="s">
        <v>1287</v>
      </c>
      <c r="T117" s="5">
        <v>125.5</v>
      </c>
      <c r="U117" s="5">
        <v>545.5</v>
      </c>
      <c r="V117" s="16">
        <v>500</v>
      </c>
      <c r="W117" s="8">
        <f t="shared" si="2"/>
        <v>0</v>
      </c>
      <c r="Y117" s="8"/>
      <c r="Z117" s="8"/>
      <c r="AC117" s="8" t="str">
        <f>IF(COUNTIFS(作業區!$W$2:$W$2000, T117, 作業區!$X$2:$X$2000, U117)&gt;0, "已存在", "未擴充")</f>
        <v>已存在</v>
      </c>
    </row>
    <row r="118" spans="1:29" ht="33">
      <c r="A118" s="8">
        <f t="shared" si="3"/>
        <v>117</v>
      </c>
      <c r="B118" s="5" t="s">
        <v>1288</v>
      </c>
      <c r="C118" s="5"/>
      <c r="D118" s="4" t="s">
        <v>1289</v>
      </c>
      <c r="E118" s="14" t="s">
        <v>785</v>
      </c>
      <c r="F118" s="5" t="s">
        <v>1290</v>
      </c>
      <c r="G118" s="5" t="s">
        <v>1291</v>
      </c>
      <c r="H118" s="5" t="s">
        <v>1292</v>
      </c>
      <c r="I118" s="4">
        <v>243108.92600000001</v>
      </c>
      <c r="J118" s="4">
        <v>2638063.2390000001</v>
      </c>
      <c r="K118" s="4">
        <v>242280</v>
      </c>
      <c r="L118" s="4">
        <v>2638269</v>
      </c>
      <c r="M118" s="5">
        <v>97</v>
      </c>
      <c r="N118" s="5" t="s">
        <v>1177</v>
      </c>
      <c r="O118" s="13">
        <v>39647.125</v>
      </c>
      <c r="P118" s="15" t="s">
        <v>1293</v>
      </c>
      <c r="Q118" s="4"/>
      <c r="R118" s="16" t="s">
        <v>1294</v>
      </c>
      <c r="S118" s="16" t="s">
        <v>1295</v>
      </c>
      <c r="T118" s="5">
        <v>83.5</v>
      </c>
      <c r="U118" s="5">
        <v>360.4</v>
      </c>
      <c r="V118" s="16">
        <v>350</v>
      </c>
      <c r="W118" s="8">
        <f t="shared" si="2"/>
        <v>0</v>
      </c>
      <c r="Y118" s="8"/>
      <c r="Z118" s="8"/>
      <c r="AC118" s="8" t="str">
        <f>IF(COUNTIFS(作業區!$W$2:$W$2000, T118, 作業區!$X$2:$X$2000, U118)&gt;0, "已存在", "未擴充")</f>
        <v>已存在</v>
      </c>
    </row>
    <row r="119" spans="1:29" ht="33">
      <c r="A119" s="8">
        <f t="shared" si="3"/>
        <v>118</v>
      </c>
      <c r="B119" s="5" t="s">
        <v>1288</v>
      </c>
      <c r="C119" s="5"/>
      <c r="D119" s="4" t="s">
        <v>1296</v>
      </c>
      <c r="E119" s="14" t="s">
        <v>785</v>
      </c>
      <c r="F119" s="5" t="s">
        <v>831</v>
      </c>
      <c r="G119" s="5" t="s">
        <v>1297</v>
      </c>
      <c r="H119" s="5" t="s">
        <v>1298</v>
      </c>
      <c r="I119" s="4">
        <v>242414.92800000001</v>
      </c>
      <c r="J119" s="4">
        <v>2633079.2579999999</v>
      </c>
      <c r="K119" s="4">
        <v>241586</v>
      </c>
      <c r="L119" s="4">
        <v>2633285</v>
      </c>
      <c r="M119" s="5">
        <v>97</v>
      </c>
      <c r="N119" s="5" t="s">
        <v>1177</v>
      </c>
      <c r="O119" s="13">
        <v>39647.166666666664</v>
      </c>
      <c r="P119" s="15" t="s">
        <v>1299</v>
      </c>
      <c r="Q119" s="4"/>
      <c r="R119" s="16" t="s">
        <v>105</v>
      </c>
      <c r="S119" s="16" t="s">
        <v>1300</v>
      </c>
      <c r="T119" s="5">
        <v>46</v>
      </c>
      <c r="U119" s="5">
        <v>276.8</v>
      </c>
      <c r="V119" s="16">
        <v>250</v>
      </c>
      <c r="W119" s="8">
        <f t="shared" si="2"/>
        <v>0</v>
      </c>
      <c r="Y119" s="8"/>
      <c r="Z119" s="8"/>
      <c r="AC119" s="8" t="str">
        <f>IF(COUNTIFS(作業區!$W$2:$W$2000, T119, 作業區!$X$2:$X$2000, U119)&gt;0, "已存在", "未擴充")</f>
        <v>已存在</v>
      </c>
    </row>
    <row r="120" spans="1:29" ht="49.5">
      <c r="A120" s="8">
        <f t="shared" si="3"/>
        <v>119</v>
      </c>
      <c r="B120" s="5" t="s">
        <v>739</v>
      </c>
      <c r="C120" s="5"/>
      <c r="D120" s="4" t="s">
        <v>1301</v>
      </c>
      <c r="E120" s="21" t="s">
        <v>802</v>
      </c>
      <c r="F120" s="21" t="s">
        <v>1302</v>
      </c>
      <c r="G120" s="21" t="s">
        <v>1303</v>
      </c>
      <c r="H120" s="5" t="s">
        <v>1304</v>
      </c>
      <c r="I120" s="4">
        <v>219023.027</v>
      </c>
      <c r="J120" s="4">
        <v>2570976.5019999999</v>
      </c>
      <c r="K120" s="4">
        <v>218194</v>
      </c>
      <c r="L120" s="4">
        <v>2571182</v>
      </c>
      <c r="M120" s="5">
        <v>97</v>
      </c>
      <c r="N120" s="5" t="s">
        <v>1189</v>
      </c>
      <c r="O120" s="13">
        <v>39647.041666666664</v>
      </c>
      <c r="P120" s="15" t="s">
        <v>1305</v>
      </c>
      <c r="Q120" s="4"/>
      <c r="R120" s="16" t="s">
        <v>1306</v>
      </c>
      <c r="S120" s="16" t="s">
        <v>1307</v>
      </c>
      <c r="T120" s="5">
        <v>92.5</v>
      </c>
      <c r="U120" s="5">
        <v>443</v>
      </c>
      <c r="V120" s="16">
        <v>550</v>
      </c>
      <c r="W120" s="8">
        <f t="shared" si="2"/>
        <v>0</v>
      </c>
      <c r="Y120" s="8"/>
      <c r="Z120" s="8"/>
      <c r="AC120" s="8" t="str">
        <f>IF(COUNTIFS(作業區!$W$2:$W$2000, T120, 作業區!$X$2:$X$2000, U120)&gt;0, "已存在", "未擴充")</f>
        <v>已存在</v>
      </c>
    </row>
    <row r="121" spans="1:29" ht="49.5">
      <c r="A121" s="8">
        <f t="shared" si="3"/>
        <v>120</v>
      </c>
      <c r="B121" s="5" t="s">
        <v>1288</v>
      </c>
      <c r="C121" s="5"/>
      <c r="D121" s="4" t="s">
        <v>1308</v>
      </c>
      <c r="E121" s="14" t="s">
        <v>802</v>
      </c>
      <c r="F121" s="14" t="s">
        <v>1043</v>
      </c>
      <c r="G121" s="21" t="s">
        <v>1309</v>
      </c>
      <c r="H121" s="5" t="s">
        <v>1310</v>
      </c>
      <c r="I121" s="4">
        <v>203841.09400000001</v>
      </c>
      <c r="J121" s="4">
        <v>2550330.5860000001</v>
      </c>
      <c r="K121" s="4">
        <v>203012</v>
      </c>
      <c r="L121" s="4">
        <v>2550536</v>
      </c>
      <c r="M121" s="5">
        <v>97</v>
      </c>
      <c r="N121" s="5" t="s">
        <v>1189</v>
      </c>
      <c r="O121" s="13">
        <v>39646.916666666664</v>
      </c>
      <c r="P121" s="15" t="s">
        <v>1311</v>
      </c>
      <c r="Q121" s="4"/>
      <c r="R121" s="16" t="s">
        <v>559</v>
      </c>
      <c r="S121" s="16" t="s">
        <v>1048</v>
      </c>
      <c r="T121" s="5">
        <v>130</v>
      </c>
      <c r="U121" s="5">
        <v>382.5</v>
      </c>
      <c r="V121" s="16">
        <v>500</v>
      </c>
      <c r="W121" s="8">
        <f t="shared" si="2"/>
        <v>0</v>
      </c>
      <c r="Y121" s="8"/>
      <c r="Z121" s="8"/>
      <c r="AC121" s="8" t="str">
        <f>IF(COUNTIFS(作業區!$W$2:$W$2000, T121, 作業區!$X$2:$X$2000, U121)&gt;0, "已存在", "未擴充")</f>
        <v>已存在</v>
      </c>
    </row>
    <row r="122" spans="1:29" ht="33">
      <c r="A122" s="8">
        <f t="shared" si="3"/>
        <v>121</v>
      </c>
      <c r="B122" s="5" t="s">
        <v>1073</v>
      </c>
      <c r="C122" s="5"/>
      <c r="D122" s="4" t="s">
        <v>1312</v>
      </c>
      <c r="E122" s="14" t="s">
        <v>942</v>
      </c>
      <c r="F122" s="14" t="s">
        <v>1186</v>
      </c>
      <c r="G122" s="14" t="s">
        <v>1187</v>
      </c>
      <c r="H122" s="5" t="s">
        <v>1313</v>
      </c>
      <c r="I122" s="4">
        <v>202272.098</v>
      </c>
      <c r="J122" s="4">
        <v>2562420.5350000001</v>
      </c>
      <c r="K122" s="4">
        <v>201443</v>
      </c>
      <c r="L122" s="4">
        <v>2562626</v>
      </c>
      <c r="M122" s="5">
        <v>97</v>
      </c>
      <c r="N122" s="5" t="s">
        <v>1189</v>
      </c>
      <c r="O122" s="13">
        <v>39646.875</v>
      </c>
      <c r="P122" s="15" t="s">
        <v>1314</v>
      </c>
      <c r="Q122" s="4"/>
      <c r="R122" s="16" t="s">
        <v>1191</v>
      </c>
      <c r="S122" s="16" t="s">
        <v>1315</v>
      </c>
      <c r="T122" s="5">
        <v>86</v>
      </c>
      <c r="U122" s="5">
        <v>451.7</v>
      </c>
      <c r="V122" s="16">
        <v>450</v>
      </c>
      <c r="W122" s="8">
        <f t="shared" si="2"/>
        <v>0</v>
      </c>
      <c r="Y122" s="8"/>
      <c r="Z122" s="8"/>
      <c r="AC122" s="8" t="str">
        <f>IF(COUNTIFS(作業區!$W$2:$W$2000, T122, 作業區!$X$2:$X$2000, U122)&gt;0, "已存在", "未擴充")</f>
        <v>已存在</v>
      </c>
    </row>
    <row r="123" spans="1:29" ht="49.5">
      <c r="A123" s="8">
        <f t="shared" si="3"/>
        <v>122</v>
      </c>
      <c r="B123" s="5" t="s">
        <v>1073</v>
      </c>
      <c r="C123" s="5"/>
      <c r="D123" s="17" t="s">
        <v>1316</v>
      </c>
      <c r="E123" s="14" t="s">
        <v>802</v>
      </c>
      <c r="F123" s="21" t="s">
        <v>803</v>
      </c>
      <c r="G123" s="21" t="s">
        <v>1317</v>
      </c>
      <c r="H123" s="5" t="s">
        <v>1318</v>
      </c>
      <c r="I123" s="4">
        <v>216550.041</v>
      </c>
      <c r="J123" s="4">
        <v>2545666.608</v>
      </c>
      <c r="K123" s="4">
        <v>215721</v>
      </c>
      <c r="L123" s="4">
        <v>2545872</v>
      </c>
      <c r="M123" s="5">
        <v>97</v>
      </c>
      <c r="N123" s="5" t="s">
        <v>1189</v>
      </c>
      <c r="O123" s="13">
        <v>39648.708333333336</v>
      </c>
      <c r="P123" s="15" t="s">
        <v>1319</v>
      </c>
      <c r="Q123" s="4"/>
      <c r="R123" s="16" t="s">
        <v>225</v>
      </c>
      <c r="S123" s="16" t="s">
        <v>1053</v>
      </c>
      <c r="T123" s="5">
        <v>20</v>
      </c>
      <c r="U123" s="5">
        <v>865.4</v>
      </c>
      <c r="V123" s="16">
        <v>450</v>
      </c>
      <c r="W123" s="8">
        <f t="shared" si="2"/>
        <v>0</v>
      </c>
      <c r="Y123" s="8"/>
      <c r="Z123" s="8"/>
      <c r="AC123" s="8" t="str">
        <f>IF(COUNTIFS(作業區!$W$2:$W$2000, T123, 作業區!$X$2:$X$2000, U123)&gt;0, "已存在", "未擴充")</f>
        <v>已存在</v>
      </c>
    </row>
    <row r="124" spans="1:29">
      <c r="A124" s="8">
        <f t="shared" si="3"/>
        <v>123</v>
      </c>
      <c r="B124" s="5" t="s">
        <v>1320</v>
      </c>
      <c r="C124" s="5"/>
      <c r="D124" s="4" t="s">
        <v>1321</v>
      </c>
      <c r="E124" s="5" t="s">
        <v>769</v>
      </c>
      <c r="F124" s="5" t="s">
        <v>1322</v>
      </c>
      <c r="G124" s="5" t="s">
        <v>1323</v>
      </c>
      <c r="H124" s="5"/>
      <c r="I124" s="4">
        <v>230865.97</v>
      </c>
      <c r="J124" s="4">
        <v>2654886.1749999998</v>
      </c>
      <c r="K124" s="4">
        <v>230037</v>
      </c>
      <c r="L124" s="4">
        <v>2655092</v>
      </c>
      <c r="M124" s="5">
        <v>97</v>
      </c>
      <c r="N124" s="5" t="s">
        <v>1177</v>
      </c>
      <c r="O124" s="13">
        <v>39648.291666666664</v>
      </c>
      <c r="P124" s="15" t="s">
        <v>1324</v>
      </c>
      <c r="Q124" s="4"/>
      <c r="R124" s="16" t="s">
        <v>1058</v>
      </c>
      <c r="S124" s="16" t="s">
        <v>1325</v>
      </c>
      <c r="T124" s="5">
        <v>6</v>
      </c>
      <c r="U124" s="5">
        <v>371.3</v>
      </c>
      <c r="V124" s="16">
        <v>400</v>
      </c>
      <c r="W124" s="8">
        <f t="shared" si="2"/>
        <v>0</v>
      </c>
      <c r="Y124" s="8"/>
      <c r="Z124" s="8"/>
      <c r="AC124" s="8" t="str">
        <f>IF(COUNTIFS(作業區!$W$2:$W$2000, T124, 作業區!$X$2:$X$2000, U124)&gt;0, "已存在", "未擴充")</f>
        <v>已存在</v>
      </c>
    </row>
    <row r="125" spans="1:29">
      <c r="A125" s="8">
        <f t="shared" si="3"/>
        <v>124</v>
      </c>
      <c r="B125" s="5" t="s">
        <v>754</v>
      </c>
      <c r="C125" s="5"/>
      <c r="D125" s="4" t="s">
        <v>1326</v>
      </c>
      <c r="E125" s="2" t="s">
        <v>756</v>
      </c>
      <c r="F125" s="5" t="s">
        <v>765</v>
      </c>
      <c r="G125" s="5" t="s">
        <v>766</v>
      </c>
      <c r="H125" s="5"/>
      <c r="I125" s="4">
        <v>234284.95600000001</v>
      </c>
      <c r="J125" s="4">
        <v>2676174.0970000001</v>
      </c>
      <c r="K125" s="4">
        <v>233456</v>
      </c>
      <c r="L125" s="4">
        <v>2676380</v>
      </c>
      <c r="M125" s="5">
        <v>97</v>
      </c>
      <c r="N125" s="5" t="s">
        <v>1177</v>
      </c>
      <c r="O125" s="13">
        <v>39647.458333333336</v>
      </c>
      <c r="P125" s="4" t="s">
        <v>1327</v>
      </c>
      <c r="Q125" s="4"/>
      <c r="R125" s="16" t="s">
        <v>1328</v>
      </c>
      <c r="S125" s="16" t="s">
        <v>1329</v>
      </c>
      <c r="T125" s="5">
        <v>10.5</v>
      </c>
      <c r="U125" s="5">
        <v>383.7</v>
      </c>
      <c r="V125" s="16">
        <v>300</v>
      </c>
      <c r="W125" s="8">
        <f t="shared" si="2"/>
        <v>1</v>
      </c>
      <c r="Y125" s="8"/>
      <c r="Z125" s="8"/>
      <c r="AC125" s="8" t="str">
        <f>IF(COUNTIFS(作業區!$W$2:$W$2000, T125, 作業區!$X$2:$X$2000, U125)&gt;0, "已存在", "未擴充")</f>
        <v>已存在</v>
      </c>
    </row>
    <row r="126" spans="1:29" ht="49.5">
      <c r="A126" s="8">
        <f t="shared" si="3"/>
        <v>125</v>
      </c>
      <c r="B126" s="24" t="s">
        <v>1330</v>
      </c>
      <c r="C126" s="5"/>
      <c r="D126" s="4" t="s">
        <v>1331</v>
      </c>
      <c r="E126" s="14" t="s">
        <v>802</v>
      </c>
      <c r="F126" s="14" t="s">
        <v>1043</v>
      </c>
      <c r="G126" s="14" t="s">
        <v>1044</v>
      </c>
      <c r="H126" s="5" t="s">
        <v>1332</v>
      </c>
      <c r="I126" s="4">
        <v>211288.06299999999</v>
      </c>
      <c r="J126" s="4">
        <v>2551311.5830000001</v>
      </c>
      <c r="K126" s="4">
        <v>210459</v>
      </c>
      <c r="L126" s="4">
        <v>2551517</v>
      </c>
      <c r="M126" s="5">
        <v>97</v>
      </c>
      <c r="N126" s="5" t="s">
        <v>1189</v>
      </c>
      <c r="O126" s="13">
        <v>39646.958333333336</v>
      </c>
      <c r="P126" s="15" t="s">
        <v>1333</v>
      </c>
      <c r="Q126" s="4"/>
      <c r="R126" s="16" t="s">
        <v>559</v>
      </c>
      <c r="S126" s="16" t="s">
        <v>1048</v>
      </c>
      <c r="T126" s="5">
        <v>139</v>
      </c>
      <c r="U126" s="5">
        <v>538</v>
      </c>
      <c r="V126" s="16">
        <v>500</v>
      </c>
      <c r="W126" s="8">
        <f t="shared" si="2"/>
        <v>0</v>
      </c>
      <c r="Y126" s="8"/>
      <c r="Z126" s="8"/>
      <c r="AC126" s="8" t="str">
        <f>IF(COUNTIFS(作業區!$W$2:$W$2000, T126, 作業區!$X$2:$X$2000, U126)&gt;0, "已存在", "未擴充")</f>
        <v>已存在</v>
      </c>
    </row>
    <row r="127" spans="1:29" ht="33" hidden="1">
      <c r="A127" s="8">
        <f t="shared" si="3"/>
        <v>126</v>
      </c>
      <c r="B127" s="5" t="s">
        <v>754</v>
      </c>
      <c r="C127" s="5"/>
      <c r="D127" s="4" t="s">
        <v>1334</v>
      </c>
      <c r="E127" s="21" t="s">
        <v>802</v>
      </c>
      <c r="F127" s="21" t="s">
        <v>803</v>
      </c>
      <c r="G127" s="21" t="s">
        <v>1050</v>
      </c>
      <c r="H127" s="5"/>
      <c r="I127" s="4">
        <v>218553.03099999999</v>
      </c>
      <c r="J127" s="4">
        <v>2556004.5649999999</v>
      </c>
      <c r="K127" s="4">
        <v>217724</v>
      </c>
      <c r="L127" s="4">
        <v>2556210</v>
      </c>
      <c r="M127" s="5">
        <v>97</v>
      </c>
      <c r="N127" s="5" t="s">
        <v>1189</v>
      </c>
      <c r="O127" s="13">
        <v>39646.958333333336</v>
      </c>
      <c r="P127" s="15" t="s">
        <v>1335</v>
      </c>
      <c r="Q127" s="4"/>
      <c r="R127" s="16" t="s">
        <v>225</v>
      </c>
      <c r="S127" s="16" t="s">
        <v>1224</v>
      </c>
      <c r="T127" s="5">
        <v>144.5</v>
      </c>
      <c r="U127" s="5">
        <v>454.2</v>
      </c>
      <c r="V127" s="16">
        <v>450</v>
      </c>
      <c r="W127" s="8">
        <f t="shared" si="2"/>
        <v>0</v>
      </c>
      <c r="Y127" s="8"/>
      <c r="Z127" s="8"/>
      <c r="AC127" s="8" t="str">
        <f>IF(COUNTIFS(作業區!$W$2:$W$2000, T127, 作業區!$X$2:$X$2000, U127)&gt;0, "已存在", "未擴充")</f>
        <v>已存在</v>
      </c>
    </row>
    <row r="128" spans="1:29" ht="33" hidden="1">
      <c r="A128" s="8">
        <f t="shared" si="3"/>
        <v>127</v>
      </c>
      <c r="B128" s="5" t="s">
        <v>739</v>
      </c>
      <c r="C128" s="5"/>
      <c r="D128" s="17" t="s">
        <v>1336</v>
      </c>
      <c r="E128" s="14" t="s">
        <v>802</v>
      </c>
      <c r="F128" s="14" t="s">
        <v>803</v>
      </c>
      <c r="G128" s="14" t="s">
        <v>806</v>
      </c>
      <c r="H128" s="11" t="s">
        <v>807</v>
      </c>
      <c r="I128" s="4">
        <v>214131.05300000001</v>
      </c>
      <c r="J128" s="4">
        <v>2538223.639</v>
      </c>
      <c r="K128" s="4">
        <v>213302</v>
      </c>
      <c r="L128" s="4">
        <v>2538429</v>
      </c>
      <c r="M128" s="5">
        <v>97</v>
      </c>
      <c r="N128" s="5" t="s">
        <v>1189</v>
      </c>
      <c r="O128" s="13">
        <v>39646.958333333336</v>
      </c>
      <c r="P128" s="15" t="s">
        <v>1337</v>
      </c>
      <c r="Q128" s="4"/>
      <c r="R128" s="16" t="s">
        <v>233</v>
      </c>
      <c r="S128" s="16" t="s">
        <v>1239</v>
      </c>
      <c r="T128" s="5">
        <v>47.5</v>
      </c>
      <c r="U128" s="5">
        <v>371</v>
      </c>
      <c r="V128" s="16">
        <v>450</v>
      </c>
      <c r="W128" s="8">
        <f t="shared" si="2"/>
        <v>0</v>
      </c>
      <c r="Y128" s="8"/>
      <c r="Z128" s="8"/>
      <c r="AC128" s="8" t="str">
        <f>IF(COUNTIFS(作業區!$W$2:$W$2000, T128, 作業區!$X$2:$X$2000, U128)&gt;0, "已存在", "未擴充")</f>
        <v>已存在</v>
      </c>
    </row>
    <row r="129" spans="1:29" ht="48.75">
      <c r="A129" s="8">
        <f t="shared" si="3"/>
        <v>128</v>
      </c>
      <c r="B129" s="5" t="s">
        <v>1338</v>
      </c>
      <c r="C129" s="5"/>
      <c r="D129" s="4" t="s">
        <v>1339</v>
      </c>
      <c r="E129" s="5" t="s">
        <v>769</v>
      </c>
      <c r="F129" s="5" t="s">
        <v>1055</v>
      </c>
      <c r="G129" s="5" t="s">
        <v>1340</v>
      </c>
      <c r="H129" s="5"/>
      <c r="I129" s="4">
        <v>233830.96</v>
      </c>
      <c r="J129" s="4">
        <v>2642366.2220000001</v>
      </c>
      <c r="K129" s="4">
        <v>233002</v>
      </c>
      <c r="L129" s="4">
        <v>2642572</v>
      </c>
      <c r="M129" s="5">
        <v>97</v>
      </c>
      <c r="N129" s="5" t="s">
        <v>1177</v>
      </c>
      <c r="O129" s="13">
        <v>39647.208333333336</v>
      </c>
      <c r="P129" s="15" t="s">
        <v>1341</v>
      </c>
      <c r="Q129" s="4"/>
      <c r="R129" s="16" t="s">
        <v>1342</v>
      </c>
      <c r="S129" s="16" t="s">
        <v>1343</v>
      </c>
      <c r="T129" s="5">
        <v>30.5</v>
      </c>
      <c r="U129" s="5">
        <v>217.7</v>
      </c>
      <c r="V129" s="16">
        <v>350</v>
      </c>
      <c r="W129" s="8">
        <f t="shared" si="2"/>
        <v>0</v>
      </c>
      <c r="Y129" s="8"/>
      <c r="Z129" s="8"/>
      <c r="AC129" s="8" t="str">
        <f>IF(COUNTIFS(作業區!$W$2:$W$2000, T129, 作業區!$X$2:$X$2000, U129)&gt;0, "已存在", "未擴充")</f>
        <v>已存在</v>
      </c>
    </row>
    <row r="130" spans="1:29" ht="49.5">
      <c r="A130" s="8">
        <f t="shared" si="3"/>
        <v>129</v>
      </c>
      <c r="B130" s="5" t="s">
        <v>1338</v>
      </c>
      <c r="C130" s="5"/>
      <c r="D130" s="4" t="s">
        <v>1344</v>
      </c>
      <c r="E130" s="14" t="s">
        <v>802</v>
      </c>
      <c r="F130" s="14" t="s">
        <v>1043</v>
      </c>
      <c r="G130" s="14" t="s">
        <v>1044</v>
      </c>
      <c r="H130" s="5" t="s">
        <v>1332</v>
      </c>
      <c r="I130" s="4">
        <v>211807.06</v>
      </c>
      <c r="J130" s="4">
        <v>2552653.5780000002</v>
      </c>
      <c r="K130" s="4">
        <v>210978</v>
      </c>
      <c r="L130" s="4">
        <v>2552859</v>
      </c>
      <c r="M130" s="5">
        <v>97</v>
      </c>
      <c r="N130" s="5" t="s">
        <v>1189</v>
      </c>
      <c r="O130" s="13">
        <v>39646.916666666664</v>
      </c>
      <c r="P130" s="15" t="s">
        <v>1345</v>
      </c>
      <c r="Q130" s="4"/>
      <c r="R130" s="16" t="s">
        <v>559</v>
      </c>
      <c r="S130" s="16" t="s">
        <v>1048</v>
      </c>
      <c r="T130" s="5">
        <v>130</v>
      </c>
      <c r="U130" s="5">
        <v>382.5</v>
      </c>
      <c r="V130" s="16">
        <v>500</v>
      </c>
      <c r="W130" s="8">
        <f t="shared" ref="W130:W193" si="4">IF(IF(ISERROR(SEARCH("-",P130))=TRUE,0,1)=1,IF(H130&lt;&gt;"",0,1),0)</f>
        <v>0</v>
      </c>
      <c r="Y130" s="8"/>
      <c r="Z130" s="8"/>
      <c r="AC130" s="8" t="str">
        <f>IF(COUNTIFS(作業區!$W$2:$W$2000, T130, 作業區!$X$2:$X$2000, U130)&gt;0, "已存在", "未擴充")</f>
        <v>已存在</v>
      </c>
    </row>
    <row r="131" spans="1:29" ht="65.25">
      <c r="A131" s="8">
        <f t="shared" si="3"/>
        <v>130</v>
      </c>
      <c r="B131" s="5" t="s">
        <v>1338</v>
      </c>
      <c r="C131" s="5"/>
      <c r="D131" s="17" t="s">
        <v>1346</v>
      </c>
      <c r="E131" s="14" t="s">
        <v>802</v>
      </c>
      <c r="F131" s="14" t="s">
        <v>803</v>
      </c>
      <c r="G131" s="14" t="s">
        <v>1050</v>
      </c>
      <c r="H131" s="5"/>
      <c r="I131" s="4">
        <v>218035.03400000001</v>
      </c>
      <c r="J131" s="4">
        <v>2554602.5699999998</v>
      </c>
      <c r="K131" s="4">
        <v>217206</v>
      </c>
      <c r="L131" s="4">
        <v>2554808</v>
      </c>
      <c r="M131" s="5">
        <v>97</v>
      </c>
      <c r="N131" s="5" t="s">
        <v>1189</v>
      </c>
      <c r="O131" s="13">
        <v>39646.916666666664</v>
      </c>
      <c r="P131" s="15" t="s">
        <v>1347</v>
      </c>
      <c r="Q131" s="4"/>
      <c r="R131" s="16" t="s">
        <v>225</v>
      </c>
      <c r="S131" s="16" t="s">
        <v>1224</v>
      </c>
      <c r="T131" s="5">
        <v>109.5</v>
      </c>
      <c r="U131" s="5">
        <v>310.39999999999998</v>
      </c>
      <c r="V131" s="16">
        <v>450</v>
      </c>
      <c r="W131" s="8">
        <f t="shared" si="4"/>
        <v>1</v>
      </c>
      <c r="Y131" s="8"/>
      <c r="Z131" s="8"/>
      <c r="AC131" s="8" t="str">
        <f>IF(COUNTIFS(作業區!$W$2:$W$2000, T131, 作業區!$X$2:$X$2000, U131)&gt;0, "已存在", "未擴充")</f>
        <v>已存在</v>
      </c>
    </row>
    <row r="132" spans="1:29">
      <c r="A132" s="8">
        <f t="shared" ref="A132:A198" si="5">ROW(A132)-1</f>
        <v>131</v>
      </c>
      <c r="B132" s="5" t="s">
        <v>739</v>
      </c>
      <c r="C132" s="5"/>
      <c r="D132" s="20" t="s">
        <v>1348</v>
      </c>
      <c r="E132" s="14" t="s">
        <v>1349</v>
      </c>
      <c r="F132" s="14" t="s">
        <v>1350</v>
      </c>
      <c r="G132" s="14" t="s">
        <v>1351</v>
      </c>
      <c r="H132" s="19" t="s">
        <v>1348</v>
      </c>
      <c r="I132" s="4">
        <v>322233.663</v>
      </c>
      <c r="J132" s="4">
        <v>2744361.8509999998</v>
      </c>
      <c r="K132" s="4">
        <v>321405</v>
      </c>
      <c r="L132" s="4">
        <v>2744568</v>
      </c>
      <c r="M132" s="5">
        <v>97</v>
      </c>
      <c r="N132" s="2" t="s">
        <v>1352</v>
      </c>
      <c r="O132" s="13">
        <v>39705.083333333336</v>
      </c>
      <c r="P132" s="4" t="s">
        <v>1353</v>
      </c>
      <c r="Q132" s="4"/>
      <c r="R132" s="16" t="s">
        <v>1354</v>
      </c>
      <c r="S132" s="16" t="s">
        <v>1355</v>
      </c>
      <c r="T132" s="5">
        <v>84.5</v>
      </c>
      <c r="U132" s="5">
        <v>425</v>
      </c>
      <c r="V132" s="16">
        <v>550</v>
      </c>
      <c r="W132" s="8">
        <f t="shared" si="4"/>
        <v>0</v>
      </c>
      <c r="Y132" s="8"/>
      <c r="Z132" s="8"/>
      <c r="AC132" s="8" t="str">
        <f>IF(COUNTIFS(作業區!$W$2:$W$2000, T132, 作業區!$X$2:$X$2000, U132)&gt;0, "已存在", "未擴充")</f>
        <v>已存在</v>
      </c>
    </row>
    <row r="133" spans="1:29" hidden="1">
      <c r="A133" s="8">
        <f t="shared" si="5"/>
        <v>132</v>
      </c>
      <c r="B133" s="5" t="s">
        <v>739</v>
      </c>
      <c r="C133" s="5"/>
      <c r="D133" s="4" t="s">
        <v>1356</v>
      </c>
      <c r="E133" s="5" t="s">
        <v>769</v>
      </c>
      <c r="F133" s="5" t="s">
        <v>773</v>
      </c>
      <c r="G133" s="5" t="s">
        <v>1357</v>
      </c>
      <c r="H133" s="19" t="s">
        <v>1358</v>
      </c>
      <c r="I133" s="4">
        <v>258754.867</v>
      </c>
      <c r="J133" s="4">
        <v>2655417.173</v>
      </c>
      <c r="K133" s="4">
        <v>257926</v>
      </c>
      <c r="L133" s="4">
        <v>2655623</v>
      </c>
      <c r="M133" s="5">
        <v>97</v>
      </c>
      <c r="N133" s="2" t="s">
        <v>1352</v>
      </c>
      <c r="O133" s="13">
        <v>39706.333333333336</v>
      </c>
      <c r="P133" s="4" t="s">
        <v>1359</v>
      </c>
      <c r="Q133" s="4"/>
      <c r="R133" s="16" t="s">
        <v>85</v>
      </c>
      <c r="S133" s="16" t="s">
        <v>1360</v>
      </c>
      <c r="T133" s="5">
        <v>55.5</v>
      </c>
      <c r="U133" s="5">
        <v>917.8</v>
      </c>
      <c r="V133" s="16">
        <v>250</v>
      </c>
      <c r="W133" s="8">
        <f t="shared" si="4"/>
        <v>0</v>
      </c>
      <c r="Y133" s="8"/>
      <c r="Z133" s="8"/>
      <c r="AC133" s="8" t="str">
        <f>IF(COUNTIFS(作業區!$W$2:$W$2000, T133, 作業區!$X$2:$X$2000, U133)&gt;0, "已存在", "未擴充")</f>
        <v>已存在</v>
      </c>
    </row>
    <row r="134" spans="1:29" hidden="1">
      <c r="A134" s="8">
        <f t="shared" si="5"/>
        <v>133</v>
      </c>
      <c r="B134" s="5" t="s">
        <v>739</v>
      </c>
      <c r="C134" s="5"/>
      <c r="D134" s="4" t="s">
        <v>1361</v>
      </c>
      <c r="E134" s="5" t="s">
        <v>769</v>
      </c>
      <c r="F134" s="5" t="s">
        <v>773</v>
      </c>
      <c r="G134" s="5" t="s">
        <v>1357</v>
      </c>
      <c r="H134" s="11" t="s">
        <v>1362</v>
      </c>
      <c r="I134" s="4">
        <v>259546.864</v>
      </c>
      <c r="J134" s="4">
        <v>2655719.1719999998</v>
      </c>
      <c r="K134" s="4">
        <v>258718</v>
      </c>
      <c r="L134" s="4">
        <v>2655925</v>
      </c>
      <c r="M134" s="5">
        <v>97</v>
      </c>
      <c r="N134" s="2" t="s">
        <v>1352</v>
      </c>
      <c r="O134" s="13">
        <v>39706.208333333336</v>
      </c>
      <c r="P134" s="4" t="s">
        <v>1363</v>
      </c>
      <c r="Q134" s="4"/>
      <c r="R134" s="16" t="s">
        <v>85</v>
      </c>
      <c r="S134" s="16" t="s">
        <v>1364</v>
      </c>
      <c r="T134" s="5">
        <v>44.5</v>
      </c>
      <c r="U134" s="5">
        <v>737.4</v>
      </c>
      <c r="V134" s="16">
        <v>250</v>
      </c>
      <c r="W134" s="8">
        <f t="shared" si="4"/>
        <v>0</v>
      </c>
      <c r="Y134" s="8"/>
      <c r="Z134" s="8"/>
      <c r="AC134" s="8" t="str">
        <f>IF(COUNTIFS(作業區!$W$2:$W$2000, T134, 作業區!$X$2:$X$2000, U134)&gt;0, "已存在", "未擴充")</f>
        <v>已存在</v>
      </c>
    </row>
    <row r="135" spans="1:29" ht="82.5" hidden="1">
      <c r="A135" s="8">
        <f t="shared" si="5"/>
        <v>134</v>
      </c>
      <c r="B135" s="5" t="s">
        <v>1257</v>
      </c>
      <c r="C135" s="5"/>
      <c r="D135" s="4" t="s">
        <v>1365</v>
      </c>
      <c r="E135" s="5" t="s">
        <v>769</v>
      </c>
      <c r="F135" s="5" t="s">
        <v>859</v>
      </c>
      <c r="G135" s="5" t="s">
        <v>1366</v>
      </c>
      <c r="H135" s="5" t="s">
        <v>1367</v>
      </c>
      <c r="I135" s="4">
        <v>236684.951</v>
      </c>
      <c r="J135" s="4">
        <v>2619331.31</v>
      </c>
      <c r="K135" s="4">
        <v>235856</v>
      </c>
      <c r="L135" s="4">
        <v>2619537</v>
      </c>
      <c r="M135" s="5">
        <v>97</v>
      </c>
      <c r="N135" s="2" t="s">
        <v>1352</v>
      </c>
      <c r="O135" s="13" t="s">
        <v>1368</v>
      </c>
      <c r="P135" s="15" t="s">
        <v>1369</v>
      </c>
      <c r="Q135" s="4"/>
      <c r="R135" s="16" t="s">
        <v>103</v>
      </c>
      <c r="S135" s="16" t="s">
        <v>1370</v>
      </c>
      <c r="T135" s="5">
        <v>2.5</v>
      </c>
      <c r="U135" s="5">
        <v>552.5</v>
      </c>
      <c r="V135" s="16">
        <v>250</v>
      </c>
      <c r="W135" s="8">
        <f t="shared" si="4"/>
        <v>0</v>
      </c>
      <c r="Y135" s="8"/>
      <c r="Z135" s="8"/>
      <c r="AC135" s="8" t="str">
        <f>IF(COUNTIFS(作業區!$W$2:$W$2000, T135, 作業區!$X$2:$X$2000, U135)&gt;0, "已存在", "未擴充")</f>
        <v>已存在</v>
      </c>
    </row>
    <row r="136" spans="1:29">
      <c r="A136" s="8">
        <f t="shared" si="5"/>
        <v>135</v>
      </c>
      <c r="B136" s="5" t="s">
        <v>844</v>
      </c>
      <c r="C136" s="5"/>
      <c r="D136" s="4" t="s">
        <v>1371</v>
      </c>
      <c r="E136" s="5" t="s">
        <v>846</v>
      </c>
      <c r="F136" s="5" t="s">
        <v>1372</v>
      </c>
      <c r="G136" s="21" t="s">
        <v>1373</v>
      </c>
      <c r="H136" s="5"/>
      <c r="I136" s="4">
        <v>240613.94899999999</v>
      </c>
      <c r="J136" s="4">
        <v>2322648.264</v>
      </c>
      <c r="K136" s="4">
        <v>239785</v>
      </c>
      <c r="L136" s="4">
        <v>2117254</v>
      </c>
      <c r="M136" s="5">
        <v>97</v>
      </c>
      <c r="N136" s="2" t="s">
        <v>1352</v>
      </c>
      <c r="O136" s="13">
        <v>39706.041666666664</v>
      </c>
      <c r="P136" s="4" t="s">
        <v>1374</v>
      </c>
      <c r="Q136" s="4"/>
      <c r="R136" s="16" t="s">
        <v>1375</v>
      </c>
      <c r="S136" s="16" t="s">
        <v>867</v>
      </c>
      <c r="T136" s="5">
        <v>26</v>
      </c>
      <c r="U136" s="5">
        <v>158</v>
      </c>
      <c r="V136" s="16" t="s">
        <v>857</v>
      </c>
      <c r="W136" s="8">
        <f t="shared" si="4"/>
        <v>0</v>
      </c>
      <c r="Y136" s="8"/>
      <c r="Z136" s="8"/>
      <c r="AC136" s="8" t="str">
        <f>IF(COUNTIFS(作業區!$W$2:$W$2000, T136, 作業區!$X$2:$X$2000, U136)&gt;0, "已存在", "未擴充")</f>
        <v>已存在</v>
      </c>
    </row>
    <row r="137" spans="1:29">
      <c r="A137" s="8">
        <f t="shared" si="5"/>
        <v>136</v>
      </c>
      <c r="B137" s="5" t="s">
        <v>844</v>
      </c>
      <c r="C137" s="5"/>
      <c r="D137" s="4" t="s">
        <v>1376</v>
      </c>
      <c r="E137" s="5" t="s">
        <v>846</v>
      </c>
      <c r="F137" s="5" t="s">
        <v>1377</v>
      </c>
      <c r="G137" s="5" t="s">
        <v>1378</v>
      </c>
      <c r="H137" s="5"/>
      <c r="I137" s="4">
        <v>233547.95699999999</v>
      </c>
      <c r="J137" s="4">
        <v>2702841.0019999999</v>
      </c>
      <c r="K137" s="4">
        <v>232719</v>
      </c>
      <c r="L137" s="4">
        <v>2703047</v>
      </c>
      <c r="M137" s="5">
        <v>97</v>
      </c>
      <c r="N137" s="2" t="s">
        <v>1352</v>
      </c>
      <c r="O137" s="13">
        <v>39706.625</v>
      </c>
      <c r="P137" s="4" t="s">
        <v>1379</v>
      </c>
      <c r="Q137" s="4"/>
      <c r="R137" s="16" t="s">
        <v>1380</v>
      </c>
      <c r="S137" s="16" t="s">
        <v>1381</v>
      </c>
      <c r="T137" s="5">
        <v>1</v>
      </c>
      <c r="U137" s="5">
        <v>813.2</v>
      </c>
      <c r="V137" s="16">
        <v>450</v>
      </c>
      <c r="W137" s="8">
        <f t="shared" si="4"/>
        <v>0</v>
      </c>
      <c r="Y137" s="8"/>
      <c r="Z137" s="8"/>
      <c r="AC137" s="8" t="str">
        <f>IF(COUNTIFS(作業區!$W$2:$W$2000, T137, 作業區!$X$2:$X$2000, U137)&gt;0, "已存在", "未擴充")</f>
        <v>已存在</v>
      </c>
    </row>
    <row r="138" spans="1:29" ht="32.25">
      <c r="A138" s="8">
        <f t="shared" si="5"/>
        <v>137</v>
      </c>
      <c r="B138" s="5" t="s">
        <v>844</v>
      </c>
      <c r="C138" s="5"/>
      <c r="D138" s="4" t="s">
        <v>1382</v>
      </c>
      <c r="E138" s="5" t="s">
        <v>846</v>
      </c>
      <c r="F138" s="5" t="s">
        <v>1383</v>
      </c>
      <c r="G138" s="5" t="s">
        <v>1384</v>
      </c>
      <c r="H138" s="5"/>
      <c r="I138" s="4">
        <v>237107.94500000001</v>
      </c>
      <c r="J138" s="4">
        <v>2696691.0240000002</v>
      </c>
      <c r="K138" s="4">
        <v>236279</v>
      </c>
      <c r="L138" s="4">
        <v>2696897</v>
      </c>
      <c r="M138" s="5">
        <v>97</v>
      </c>
      <c r="N138" s="2" t="s">
        <v>1352</v>
      </c>
      <c r="O138" s="13">
        <v>39705.833333333336</v>
      </c>
      <c r="P138" s="15" t="s">
        <v>1385</v>
      </c>
      <c r="Q138" s="4"/>
      <c r="R138" s="16" t="s">
        <v>1386</v>
      </c>
      <c r="S138" s="16" t="s">
        <v>1381</v>
      </c>
      <c r="T138" s="5">
        <v>50.5</v>
      </c>
      <c r="U138" s="5">
        <v>611.29999999999995</v>
      </c>
      <c r="V138" s="16">
        <v>500</v>
      </c>
      <c r="W138" s="8">
        <f t="shared" si="4"/>
        <v>0</v>
      </c>
      <c r="Y138" s="8"/>
      <c r="Z138" s="8"/>
      <c r="AC138" s="8" t="str">
        <f>IF(COUNTIFS(作業區!$W$2:$W$2000, T138, 作業區!$X$2:$X$2000, U138)&gt;0, "已存在", "未擴充")</f>
        <v>已存在</v>
      </c>
    </row>
    <row r="139" spans="1:29" ht="33">
      <c r="A139" s="8">
        <f t="shared" si="5"/>
        <v>138</v>
      </c>
      <c r="B139" s="5" t="s">
        <v>844</v>
      </c>
      <c r="C139" s="5"/>
      <c r="D139" s="4" t="s">
        <v>1387</v>
      </c>
      <c r="E139" s="5" t="s">
        <v>740</v>
      </c>
      <c r="F139" s="5" t="s">
        <v>1388</v>
      </c>
      <c r="G139" s="5" t="s">
        <v>1389</v>
      </c>
      <c r="H139" s="5"/>
      <c r="I139" s="4">
        <v>231797.97</v>
      </c>
      <c r="J139" s="4">
        <v>2622701.2969999998</v>
      </c>
      <c r="K139" s="4">
        <v>230969</v>
      </c>
      <c r="L139" s="4">
        <v>2622907</v>
      </c>
      <c r="M139" s="5">
        <v>97</v>
      </c>
      <c r="N139" s="2" t="s">
        <v>1352</v>
      </c>
      <c r="O139" s="13">
        <v>39705.375</v>
      </c>
      <c r="P139" s="15" t="s">
        <v>1390</v>
      </c>
      <c r="Q139" s="4"/>
      <c r="R139" s="16" t="s">
        <v>1391</v>
      </c>
      <c r="S139" s="16" t="s">
        <v>1392</v>
      </c>
      <c r="T139" s="5">
        <v>52.5</v>
      </c>
      <c r="U139" s="5">
        <v>382.5</v>
      </c>
      <c r="V139" s="16">
        <v>450</v>
      </c>
      <c r="W139" s="8">
        <f t="shared" si="4"/>
        <v>0</v>
      </c>
      <c r="Y139" s="8"/>
      <c r="Z139" s="8"/>
      <c r="AC139" s="8" t="str">
        <f>IF(COUNTIFS(作業區!$W$2:$W$2000, T139, 作業區!$X$2:$X$2000, U139)&gt;0, "已存在", "未擴充")</f>
        <v>已存在</v>
      </c>
    </row>
    <row r="140" spans="1:29" ht="33">
      <c r="A140" s="8">
        <f t="shared" si="5"/>
        <v>139</v>
      </c>
      <c r="B140" s="5" t="s">
        <v>844</v>
      </c>
      <c r="C140" s="5"/>
      <c r="D140" s="12" t="s">
        <v>1393</v>
      </c>
      <c r="E140" s="5" t="s">
        <v>1061</v>
      </c>
      <c r="F140" s="5" t="s">
        <v>1062</v>
      </c>
      <c r="G140" s="11" t="s">
        <v>1087</v>
      </c>
      <c r="H140" s="5"/>
      <c r="I140" s="4">
        <v>210945.054</v>
      </c>
      <c r="J140" s="4">
        <v>2603622.3689999999</v>
      </c>
      <c r="K140" s="4">
        <v>210116</v>
      </c>
      <c r="L140" s="4">
        <v>2603828</v>
      </c>
      <c r="M140" s="5">
        <v>97</v>
      </c>
      <c r="N140" s="2" t="s">
        <v>1352</v>
      </c>
      <c r="O140" s="13">
        <v>39705.166666666664</v>
      </c>
      <c r="P140" s="15" t="s">
        <v>1394</v>
      </c>
      <c r="Q140" s="4"/>
      <c r="R140" s="16" t="s">
        <v>507</v>
      </c>
      <c r="S140" s="16" t="s">
        <v>1395</v>
      </c>
      <c r="T140" s="5">
        <v>46</v>
      </c>
      <c r="U140" s="5">
        <v>531.6</v>
      </c>
      <c r="V140" s="16" t="s">
        <v>857</v>
      </c>
      <c r="W140" s="8">
        <f t="shared" si="4"/>
        <v>0</v>
      </c>
      <c r="Y140" s="8"/>
      <c r="Z140" s="8"/>
      <c r="AC140" s="8" t="str">
        <f>IF(COUNTIFS(作業區!$W$2:$W$2000, T140, 作業區!$X$2:$X$2000, U140)&gt;0, "已存在", "未擴充")</f>
        <v>已存在</v>
      </c>
    </row>
    <row r="141" spans="1:29" ht="66">
      <c r="A141" s="8">
        <f t="shared" si="5"/>
        <v>140</v>
      </c>
      <c r="B141" s="5" t="s">
        <v>1396</v>
      </c>
      <c r="C141" s="5"/>
      <c r="D141" s="4" t="s">
        <v>1397</v>
      </c>
      <c r="E141" s="5" t="s">
        <v>1001</v>
      </c>
      <c r="F141" s="5" t="s">
        <v>1398</v>
      </c>
      <c r="G141" s="5" t="s">
        <v>1399</v>
      </c>
      <c r="H141" s="5"/>
      <c r="I141" s="4">
        <v>309527.71000000002</v>
      </c>
      <c r="J141" s="4">
        <v>2764337.79</v>
      </c>
      <c r="K141" s="4">
        <v>308699</v>
      </c>
      <c r="L141" s="4">
        <v>2764544</v>
      </c>
      <c r="M141" s="5">
        <v>97</v>
      </c>
      <c r="N141" s="2" t="s">
        <v>1352</v>
      </c>
      <c r="O141" s="13">
        <v>39719.875</v>
      </c>
      <c r="P141" s="15" t="s">
        <v>1400</v>
      </c>
      <c r="Q141" s="4"/>
      <c r="R141" s="16" t="s">
        <v>1401</v>
      </c>
      <c r="S141" s="16" t="s">
        <v>1402</v>
      </c>
      <c r="T141" s="5">
        <v>3.5</v>
      </c>
      <c r="U141" s="5">
        <v>395.6</v>
      </c>
      <c r="V141" s="16" t="s">
        <v>857</v>
      </c>
      <c r="W141" s="8">
        <f t="shared" si="4"/>
        <v>0</v>
      </c>
      <c r="Y141" s="8"/>
      <c r="Z141" s="8"/>
      <c r="AC141" s="8" t="str">
        <f>IF(COUNTIFS(作業區!$W$2:$W$2000, T141, 作業區!$X$2:$X$2000, U141)&gt;0, "已存在", "未擴充")</f>
        <v>已存在</v>
      </c>
    </row>
    <row r="142" spans="1:29" ht="33">
      <c r="A142" s="8">
        <f t="shared" si="5"/>
        <v>141</v>
      </c>
      <c r="B142" s="5" t="s">
        <v>1288</v>
      </c>
      <c r="C142" s="5"/>
      <c r="D142" s="4" t="s">
        <v>1403</v>
      </c>
      <c r="E142" s="5" t="s">
        <v>769</v>
      </c>
      <c r="F142" s="5" t="s">
        <v>859</v>
      </c>
      <c r="G142" s="5" t="s">
        <v>1404</v>
      </c>
      <c r="H142" s="11" t="s">
        <v>1405</v>
      </c>
      <c r="I142" s="4">
        <v>235017.95699999999</v>
      </c>
      <c r="J142" s="4">
        <v>2622737.2969999998</v>
      </c>
      <c r="K142" s="4">
        <v>234189</v>
      </c>
      <c r="L142" s="4">
        <v>2622943</v>
      </c>
      <c r="M142" s="5">
        <v>97</v>
      </c>
      <c r="N142" s="2" t="s">
        <v>1352</v>
      </c>
      <c r="O142" s="13">
        <v>39705.291666666664</v>
      </c>
      <c r="P142" s="15" t="s">
        <v>1406</v>
      </c>
      <c r="Q142" s="4"/>
      <c r="R142" s="16" t="s">
        <v>103</v>
      </c>
      <c r="S142" s="16" t="s">
        <v>1370</v>
      </c>
      <c r="T142" s="5">
        <v>38</v>
      </c>
      <c r="U142" s="5">
        <v>347.6</v>
      </c>
      <c r="V142" s="16">
        <v>250</v>
      </c>
      <c r="W142" s="8">
        <f t="shared" si="4"/>
        <v>0</v>
      </c>
      <c r="Y142" s="8"/>
      <c r="Z142" s="8"/>
      <c r="AC142" s="8" t="str">
        <f>IF(COUNTIFS(作業區!$W$2:$W$2000, T142, 作業區!$X$2:$X$2000, U142)&gt;0, "已存在", "未擴充")</f>
        <v>已存在</v>
      </c>
    </row>
    <row r="143" spans="1:29" ht="65.25">
      <c r="A143" s="8">
        <f t="shared" si="5"/>
        <v>142</v>
      </c>
      <c r="B143" s="5" t="s">
        <v>1073</v>
      </c>
      <c r="C143" s="5"/>
      <c r="D143" s="4" t="s">
        <v>1407</v>
      </c>
      <c r="E143" s="5" t="s">
        <v>769</v>
      </c>
      <c r="F143" s="5" t="s">
        <v>773</v>
      </c>
      <c r="G143" s="5" t="s">
        <v>1357</v>
      </c>
      <c r="H143" s="11" t="s">
        <v>1408</v>
      </c>
      <c r="I143" s="4">
        <v>258936.86600000001</v>
      </c>
      <c r="J143" s="4">
        <v>2655637.173</v>
      </c>
      <c r="K143" s="4">
        <v>258108</v>
      </c>
      <c r="L143" s="4">
        <v>2655843</v>
      </c>
      <c r="M143" s="5">
        <v>97</v>
      </c>
      <c r="N143" s="2" t="s">
        <v>1352</v>
      </c>
      <c r="O143" s="13">
        <v>39706.291666666664</v>
      </c>
      <c r="P143" s="15" t="s">
        <v>1409</v>
      </c>
      <c r="Q143" s="4"/>
      <c r="R143" s="16" t="s">
        <v>85</v>
      </c>
      <c r="S143" s="16" t="s">
        <v>1364</v>
      </c>
      <c r="T143" s="5">
        <v>71.5</v>
      </c>
      <c r="U143" s="5">
        <v>862.2</v>
      </c>
      <c r="V143" s="16">
        <v>250</v>
      </c>
      <c r="W143" s="8">
        <f t="shared" si="4"/>
        <v>0</v>
      </c>
      <c r="Y143" s="8"/>
      <c r="Z143" s="8"/>
      <c r="AC143" s="8" t="str">
        <f>IF(COUNTIFS(作業區!$W$2:$W$2000, T143, 作業區!$X$2:$X$2000, U143)&gt;0, "已存在", "未擴充")</f>
        <v>已存在</v>
      </c>
    </row>
    <row r="144" spans="1:29" ht="65.25">
      <c r="A144" s="8">
        <f t="shared" si="5"/>
        <v>143</v>
      </c>
      <c r="B144" s="5" t="s">
        <v>1073</v>
      </c>
      <c r="C144" s="5"/>
      <c r="D144" s="4" t="s">
        <v>1410</v>
      </c>
      <c r="E144" s="5" t="s">
        <v>769</v>
      </c>
      <c r="F144" s="5" t="s">
        <v>773</v>
      </c>
      <c r="G144" s="5" t="s">
        <v>1357</v>
      </c>
      <c r="H144" s="11" t="s">
        <v>1411</v>
      </c>
      <c r="I144" s="4">
        <v>260386.861</v>
      </c>
      <c r="J144" s="4">
        <v>2656346.17</v>
      </c>
      <c r="K144" s="4">
        <v>259558</v>
      </c>
      <c r="L144" s="4">
        <v>2656552</v>
      </c>
      <c r="M144" s="5">
        <v>97</v>
      </c>
      <c r="N144" s="2" t="s">
        <v>1352</v>
      </c>
      <c r="O144" s="13">
        <v>39706.5</v>
      </c>
      <c r="P144" s="15" t="s">
        <v>1412</v>
      </c>
      <c r="Q144" s="4"/>
      <c r="R144" s="16" t="s">
        <v>82</v>
      </c>
      <c r="S144" s="16" t="s">
        <v>1413</v>
      </c>
      <c r="T144" s="5">
        <v>46.5</v>
      </c>
      <c r="U144" s="5">
        <v>849.8</v>
      </c>
      <c r="V144" s="16">
        <v>250</v>
      </c>
      <c r="W144" s="8">
        <f t="shared" si="4"/>
        <v>0</v>
      </c>
      <c r="Y144" s="8"/>
      <c r="Z144" s="8"/>
      <c r="AC144" s="8" t="str">
        <f>IF(COUNTIFS(作業區!$W$2:$W$2000, T144, 作業區!$X$2:$X$2000, U144)&gt;0, "已存在", "未擴充")</f>
        <v>已存在</v>
      </c>
    </row>
    <row r="145" spans="1:29" ht="48.75">
      <c r="A145" s="8">
        <f t="shared" si="5"/>
        <v>144</v>
      </c>
      <c r="B145" s="5" t="s">
        <v>1073</v>
      </c>
      <c r="C145" s="5"/>
      <c r="D145" s="4" t="s">
        <v>1414</v>
      </c>
      <c r="E145" s="5" t="s">
        <v>769</v>
      </c>
      <c r="F145" s="5" t="s">
        <v>831</v>
      </c>
      <c r="G145" s="5" t="s">
        <v>1415</v>
      </c>
      <c r="H145" s="11" t="s">
        <v>1416</v>
      </c>
      <c r="I145" s="4">
        <v>232466.96599999999</v>
      </c>
      <c r="J145" s="4">
        <v>2633946.2540000002</v>
      </c>
      <c r="K145" s="4">
        <v>231638</v>
      </c>
      <c r="L145" s="4">
        <v>2634152</v>
      </c>
      <c r="M145" s="5">
        <v>97</v>
      </c>
      <c r="N145" s="2" t="s">
        <v>1352</v>
      </c>
      <c r="O145" s="13">
        <v>39705.458333333336</v>
      </c>
      <c r="P145" s="15" t="s">
        <v>1417</v>
      </c>
      <c r="Q145" s="4"/>
      <c r="R145" s="16" t="s">
        <v>891</v>
      </c>
      <c r="S145" s="16" t="s">
        <v>892</v>
      </c>
      <c r="T145" s="5">
        <v>50</v>
      </c>
      <c r="U145" s="5">
        <v>428.6</v>
      </c>
      <c r="V145" s="16">
        <v>250</v>
      </c>
      <c r="W145" s="8">
        <f t="shared" si="4"/>
        <v>0</v>
      </c>
      <c r="Y145" s="8"/>
      <c r="Z145" s="8"/>
      <c r="AC145" s="8" t="str">
        <f>IF(COUNTIFS(作業區!$W$2:$W$2000, T145, 作業區!$X$2:$X$2000, U145)&gt;0, "已存在", "未擴充")</f>
        <v>已存在</v>
      </c>
    </row>
    <row r="146" spans="1:29" ht="48.75">
      <c r="A146" s="8">
        <f t="shared" si="5"/>
        <v>145</v>
      </c>
      <c r="B146" s="5" t="s">
        <v>1073</v>
      </c>
      <c r="C146" s="5"/>
      <c r="D146" s="4" t="s">
        <v>1418</v>
      </c>
      <c r="E146" s="5" t="s">
        <v>846</v>
      </c>
      <c r="F146" s="5" t="s">
        <v>1377</v>
      </c>
      <c r="G146" s="5" t="s">
        <v>1419</v>
      </c>
      <c r="H146" s="11" t="s">
        <v>1420</v>
      </c>
      <c r="I146" s="4">
        <v>227351.978</v>
      </c>
      <c r="J146" s="4">
        <v>2703329</v>
      </c>
      <c r="K146" s="4">
        <v>226523</v>
      </c>
      <c r="L146" s="4">
        <v>2703535</v>
      </c>
      <c r="M146" s="5">
        <v>97</v>
      </c>
      <c r="N146" s="2" t="s">
        <v>1352</v>
      </c>
      <c r="O146" s="13">
        <v>39705.75</v>
      </c>
      <c r="P146" s="15" t="s">
        <v>1421</v>
      </c>
      <c r="Q146" s="4"/>
      <c r="R146" s="16" t="s">
        <v>1030</v>
      </c>
      <c r="S146" s="16" t="s">
        <v>1422</v>
      </c>
      <c r="T146" s="5">
        <v>30.5</v>
      </c>
      <c r="U146" s="5">
        <v>516.4</v>
      </c>
      <c r="V146" s="16">
        <v>450</v>
      </c>
      <c r="W146" s="8">
        <f t="shared" si="4"/>
        <v>0</v>
      </c>
      <c r="Y146" s="8"/>
      <c r="Z146" s="8"/>
      <c r="AC146" s="8" t="str">
        <f>IF(COUNTIFS(作業區!$W$2:$W$2000, T146, 作業區!$X$2:$X$2000, U146)&gt;0, "已存在", "未擴充")</f>
        <v>已存在</v>
      </c>
    </row>
    <row r="147" spans="1:29" ht="81.75">
      <c r="A147" s="8">
        <f t="shared" si="5"/>
        <v>146</v>
      </c>
      <c r="B147" s="5" t="s">
        <v>1423</v>
      </c>
      <c r="C147" s="5"/>
      <c r="D147" s="4" t="s">
        <v>1424</v>
      </c>
      <c r="E147" s="5" t="s">
        <v>769</v>
      </c>
      <c r="F147" s="5" t="s">
        <v>773</v>
      </c>
      <c r="G147" s="5" t="s">
        <v>1425</v>
      </c>
      <c r="H147" s="11" t="s">
        <v>1426</v>
      </c>
      <c r="I147" s="4">
        <v>269022.82900000003</v>
      </c>
      <c r="J147" s="4">
        <v>2657543.165</v>
      </c>
      <c r="K147" s="4">
        <v>268194</v>
      </c>
      <c r="L147" s="4">
        <v>2657749</v>
      </c>
      <c r="M147" s="5">
        <v>97</v>
      </c>
      <c r="N147" s="2" t="s">
        <v>1352</v>
      </c>
      <c r="O147" s="13">
        <v>39706.458333333336</v>
      </c>
      <c r="P147" s="15" t="s">
        <v>1427</v>
      </c>
      <c r="Q147" s="4"/>
      <c r="R147" s="16" t="s">
        <v>96</v>
      </c>
      <c r="S147" s="16" t="s">
        <v>1428</v>
      </c>
      <c r="T147" s="5">
        <v>47</v>
      </c>
      <c r="U147" s="5">
        <v>938.2</v>
      </c>
      <c r="V147" s="16">
        <v>250</v>
      </c>
      <c r="W147" s="8">
        <f t="shared" si="4"/>
        <v>0</v>
      </c>
      <c r="Y147" s="8"/>
      <c r="Z147" s="8"/>
      <c r="AC147" s="8" t="str">
        <f>IF(COUNTIFS(作業區!$W$2:$W$2000, T147, 作業區!$X$2:$X$2000, U147)&gt;0, "已存在", "未擴充")</f>
        <v>已存在</v>
      </c>
    </row>
    <row r="148" spans="1:29" ht="33">
      <c r="A148" s="8">
        <f t="shared" si="5"/>
        <v>147</v>
      </c>
      <c r="B148" s="5" t="s">
        <v>754</v>
      </c>
      <c r="C148" s="5"/>
      <c r="D148" s="4" t="s">
        <v>1429</v>
      </c>
      <c r="E148" s="2" t="s">
        <v>756</v>
      </c>
      <c r="F148" s="5" t="s">
        <v>1259</v>
      </c>
      <c r="G148" s="5" t="s">
        <v>1430</v>
      </c>
      <c r="H148" s="5"/>
      <c r="I148" s="4">
        <v>226711.98300000001</v>
      </c>
      <c r="J148" s="4">
        <v>2678581.0869999998</v>
      </c>
      <c r="K148" s="4">
        <v>225883</v>
      </c>
      <c r="L148" s="4">
        <v>2678787</v>
      </c>
      <c r="M148" s="5">
        <v>97</v>
      </c>
      <c r="N148" s="2" t="s">
        <v>1352</v>
      </c>
      <c r="O148" s="13">
        <v>39706.458333333336</v>
      </c>
      <c r="P148" s="15" t="s">
        <v>1431</v>
      </c>
      <c r="Q148" s="4"/>
      <c r="R148" s="16" t="s">
        <v>1263</v>
      </c>
      <c r="S148" s="16" t="s">
        <v>1264</v>
      </c>
      <c r="T148" s="5">
        <v>40</v>
      </c>
      <c r="U148" s="5">
        <v>416.9</v>
      </c>
      <c r="V148" s="16">
        <v>450</v>
      </c>
      <c r="W148" s="8">
        <f t="shared" si="4"/>
        <v>0</v>
      </c>
      <c r="Y148" s="8"/>
      <c r="Z148" s="8"/>
      <c r="AC148" s="8" t="str">
        <f>IF(COUNTIFS(作業區!$W$2:$W$2000, T148, 作業區!$X$2:$X$2000, U148)&gt;0, "已存在", "未擴充")</f>
        <v>已存在</v>
      </c>
    </row>
    <row r="149" spans="1:29" ht="33">
      <c r="A149" s="8">
        <f t="shared" si="5"/>
        <v>148</v>
      </c>
      <c r="B149" s="5" t="s">
        <v>754</v>
      </c>
      <c r="C149" s="5"/>
      <c r="D149" s="4" t="s">
        <v>1432</v>
      </c>
      <c r="E149" s="21" t="s">
        <v>895</v>
      </c>
      <c r="F149" s="5" t="s">
        <v>1433</v>
      </c>
      <c r="G149" s="5" t="s">
        <v>1434</v>
      </c>
      <c r="H149" s="5"/>
      <c r="I149" s="4">
        <v>297307.74900000001</v>
      </c>
      <c r="J149" s="4">
        <v>2763265.7960000001</v>
      </c>
      <c r="K149" s="4">
        <v>296479</v>
      </c>
      <c r="L149" s="4">
        <v>2763472</v>
      </c>
      <c r="M149" s="5">
        <v>97</v>
      </c>
      <c r="N149" s="2" t="s">
        <v>1352</v>
      </c>
      <c r="O149" s="13">
        <v>39705.8125</v>
      </c>
      <c r="P149" s="15" t="s">
        <v>1435</v>
      </c>
      <c r="Q149" s="4"/>
      <c r="R149" s="16" t="s">
        <v>905</v>
      </c>
      <c r="S149" s="16" t="s">
        <v>1436</v>
      </c>
      <c r="T149" s="5">
        <v>17</v>
      </c>
      <c r="U149" s="5">
        <v>302.8</v>
      </c>
      <c r="V149" s="16" t="s">
        <v>975</v>
      </c>
      <c r="W149" s="8">
        <f t="shared" si="4"/>
        <v>0</v>
      </c>
      <c r="Y149" s="8"/>
      <c r="Z149" s="8"/>
      <c r="AC149" s="8" t="str">
        <f>IF(COUNTIFS(作業區!$W$2:$W$2000, T149, 作業區!$X$2:$X$2000, U149)&gt;0, "已存在", "未擴充")</f>
        <v>已存在</v>
      </c>
    </row>
    <row r="150" spans="1:29" ht="33">
      <c r="A150" s="8">
        <f t="shared" si="5"/>
        <v>149</v>
      </c>
      <c r="B150" s="5" t="s">
        <v>754</v>
      </c>
      <c r="C150" s="5"/>
      <c r="D150" s="4" t="s">
        <v>1437</v>
      </c>
      <c r="E150" s="5" t="s">
        <v>769</v>
      </c>
      <c r="F150" s="5" t="s">
        <v>831</v>
      </c>
      <c r="G150" s="5" t="s">
        <v>1438</v>
      </c>
      <c r="H150" s="11" t="s">
        <v>1439</v>
      </c>
      <c r="I150" s="4">
        <v>236031.95300000001</v>
      </c>
      <c r="J150" s="4">
        <v>2625810.2850000001</v>
      </c>
      <c r="K150" s="4">
        <v>235203</v>
      </c>
      <c r="L150" s="4">
        <v>2626016</v>
      </c>
      <c r="M150" s="5">
        <v>97</v>
      </c>
      <c r="N150" s="2" t="s">
        <v>1352</v>
      </c>
      <c r="O150" s="13">
        <v>39705.416666666664</v>
      </c>
      <c r="P150" s="15" t="s">
        <v>1440</v>
      </c>
      <c r="Q150" s="4"/>
      <c r="R150" s="16" t="s">
        <v>1441</v>
      </c>
      <c r="S150" s="16" t="s">
        <v>1442</v>
      </c>
      <c r="T150" s="5">
        <v>29.5</v>
      </c>
      <c r="U150" s="5">
        <v>301.2</v>
      </c>
      <c r="V150" s="16">
        <v>250</v>
      </c>
      <c r="W150" s="8">
        <f t="shared" si="4"/>
        <v>0</v>
      </c>
      <c r="Y150" s="8"/>
      <c r="Z150" s="8"/>
      <c r="AC150" s="8" t="str">
        <f>IF(COUNTIFS(作業區!$W$2:$W$2000, T150, 作業區!$X$2:$X$2000, U150)&gt;0, "已存在", "未擴充")</f>
        <v>已存在</v>
      </c>
    </row>
    <row r="151" spans="1:29" ht="33">
      <c r="A151" s="8">
        <f t="shared" si="5"/>
        <v>150</v>
      </c>
      <c r="B151" s="5" t="s">
        <v>739</v>
      </c>
      <c r="C151" s="5"/>
      <c r="D151" s="4" t="s">
        <v>1443</v>
      </c>
      <c r="E151" s="14" t="s">
        <v>825</v>
      </c>
      <c r="F151" s="14" t="s">
        <v>1444</v>
      </c>
      <c r="G151" s="14" t="s">
        <v>1445</v>
      </c>
      <c r="H151" s="19" t="s">
        <v>1446</v>
      </c>
      <c r="I151" s="4">
        <v>288783.74800000002</v>
      </c>
      <c r="J151" s="4">
        <v>2615325.3229999999</v>
      </c>
      <c r="K151" s="4">
        <v>287955</v>
      </c>
      <c r="L151" s="4">
        <v>2615531</v>
      </c>
      <c r="M151" s="5">
        <v>97</v>
      </c>
      <c r="N151" s="2" t="s">
        <v>1447</v>
      </c>
      <c r="O151" s="13">
        <v>39657.416666666664</v>
      </c>
      <c r="P151" s="15" t="s">
        <v>1448</v>
      </c>
      <c r="Q151" s="4"/>
      <c r="R151" s="16" t="s">
        <v>670</v>
      </c>
      <c r="S151" s="16" t="s">
        <v>1449</v>
      </c>
      <c r="T151" s="5">
        <v>55</v>
      </c>
      <c r="U151" s="5">
        <v>235.6</v>
      </c>
      <c r="V151" s="16">
        <v>450</v>
      </c>
      <c r="W151" s="8">
        <f t="shared" si="4"/>
        <v>0</v>
      </c>
      <c r="Y151" s="8"/>
      <c r="Z151" s="8"/>
      <c r="AC151" s="8" t="str">
        <f>IF(COUNTIFS(作業區!$W$2:$W$2000, T151, 作業區!$X$2:$X$2000, U151)&gt;0, "已存在", "未擴充")</f>
        <v>已存在</v>
      </c>
    </row>
    <row r="152" spans="1:29">
      <c r="A152" s="8">
        <f t="shared" si="5"/>
        <v>151</v>
      </c>
      <c r="B152" s="5" t="s">
        <v>844</v>
      </c>
      <c r="C152" s="5"/>
      <c r="D152" s="4" t="s">
        <v>1265</v>
      </c>
      <c r="E152" s="5" t="s">
        <v>769</v>
      </c>
      <c r="F152" s="5" t="s">
        <v>1055</v>
      </c>
      <c r="G152" s="5" t="s">
        <v>954</v>
      </c>
      <c r="H152" s="5"/>
      <c r="I152" s="4">
        <v>230626.97200000001</v>
      </c>
      <c r="J152" s="4">
        <v>2650928.1889999998</v>
      </c>
      <c r="K152" s="4">
        <v>229798</v>
      </c>
      <c r="L152" s="4">
        <v>2651134</v>
      </c>
      <c r="M152" s="5">
        <v>97</v>
      </c>
      <c r="N152" s="2" t="s">
        <v>1447</v>
      </c>
      <c r="O152" s="13">
        <v>39657.708333333336</v>
      </c>
      <c r="P152" s="15" t="s">
        <v>1450</v>
      </c>
      <c r="Q152" s="4"/>
      <c r="R152" s="16" t="s">
        <v>1267</v>
      </c>
      <c r="S152" s="16" t="s">
        <v>1268</v>
      </c>
      <c r="T152" s="5">
        <v>34.5</v>
      </c>
      <c r="U152" s="5">
        <v>120.8</v>
      </c>
      <c r="V152" s="16" t="s">
        <v>975</v>
      </c>
      <c r="W152" s="8">
        <f t="shared" si="4"/>
        <v>0</v>
      </c>
      <c r="Y152" s="8"/>
      <c r="Z152" s="8"/>
      <c r="AC152" s="8" t="str">
        <f>IF(COUNTIFS(作業區!$W$2:$W$2000, T152, 作業區!$X$2:$X$2000, U152)&gt;0, "已存在", "未擴充")</f>
        <v>已存在</v>
      </c>
    </row>
    <row r="153" spans="1:29" ht="33">
      <c r="A153" s="8">
        <f t="shared" si="5"/>
        <v>152</v>
      </c>
      <c r="B153" s="5" t="s">
        <v>1073</v>
      </c>
      <c r="C153" s="5"/>
      <c r="D153" s="4" t="s">
        <v>1451</v>
      </c>
      <c r="E153" s="21" t="s">
        <v>985</v>
      </c>
      <c r="F153" s="21" t="s">
        <v>986</v>
      </c>
      <c r="G153" s="5" t="s">
        <v>1452</v>
      </c>
      <c r="H153" s="5" t="s">
        <v>1453</v>
      </c>
      <c r="I153" s="4">
        <v>293366.73300000001</v>
      </c>
      <c r="J153" s="4">
        <v>2627983.273</v>
      </c>
      <c r="K153" s="4">
        <v>292538</v>
      </c>
      <c r="L153" s="4">
        <v>2628189</v>
      </c>
      <c r="M153" s="5">
        <v>97</v>
      </c>
      <c r="N153" s="2" t="s">
        <v>1447</v>
      </c>
      <c r="O153" s="13">
        <v>39657.375</v>
      </c>
      <c r="P153" s="15" t="s">
        <v>1454</v>
      </c>
      <c r="Q153" s="4"/>
      <c r="R153" s="16" t="s">
        <v>288</v>
      </c>
      <c r="S153" s="16" t="s">
        <v>1455</v>
      </c>
      <c r="T153" s="5">
        <v>63.5</v>
      </c>
      <c r="U153" s="5">
        <v>396.1</v>
      </c>
      <c r="V153" s="16">
        <v>500</v>
      </c>
      <c r="W153" s="8">
        <f t="shared" si="4"/>
        <v>0</v>
      </c>
      <c r="Y153" s="8"/>
      <c r="Z153" s="8"/>
      <c r="AC153" s="8" t="str">
        <f>IF(COUNTIFS(作業區!$W$2:$W$2000, T153, 作業區!$X$2:$X$2000, U153)&gt;0, "已存在", "未擴充")</f>
        <v>已存在</v>
      </c>
    </row>
    <row r="154" spans="1:29" ht="33">
      <c r="A154" s="8">
        <f t="shared" si="5"/>
        <v>153</v>
      </c>
      <c r="B154" s="5" t="s">
        <v>844</v>
      </c>
      <c r="C154" s="5"/>
      <c r="D154" s="4" t="s">
        <v>1456</v>
      </c>
      <c r="E154" s="21" t="s">
        <v>769</v>
      </c>
      <c r="F154" s="21" t="s">
        <v>908</v>
      </c>
      <c r="G154" s="5" t="s">
        <v>1457</v>
      </c>
      <c r="H154" s="5"/>
      <c r="I154" s="4">
        <v>236583.94899999999</v>
      </c>
      <c r="J154" s="4">
        <v>2661237.1510000001</v>
      </c>
      <c r="K154" s="4">
        <v>235755</v>
      </c>
      <c r="L154" s="4">
        <v>2661443</v>
      </c>
      <c r="M154" s="5">
        <v>97</v>
      </c>
      <c r="N154" s="2" t="s">
        <v>1458</v>
      </c>
      <c r="O154" s="13">
        <v>39642.666666666664</v>
      </c>
      <c r="P154" s="15" t="s">
        <v>1459</v>
      </c>
      <c r="Q154" s="4"/>
      <c r="R154" s="16" t="s">
        <v>1160</v>
      </c>
      <c r="S154" s="16" t="s">
        <v>1161</v>
      </c>
      <c r="T154" s="5">
        <v>0</v>
      </c>
      <c r="U154" s="5">
        <v>74</v>
      </c>
      <c r="V154" s="16">
        <v>250</v>
      </c>
      <c r="W154" s="8">
        <f t="shared" si="4"/>
        <v>0</v>
      </c>
      <c r="Y154" s="8"/>
      <c r="Z154" s="8"/>
      <c r="AC154" s="8" t="str">
        <f>IF(COUNTIFS(作業區!$W$2:$W$2000, T154, 作業區!$X$2:$X$2000, U154)&gt;0, "已存在", "未擴充")</f>
        <v>已存在</v>
      </c>
    </row>
    <row r="155" spans="1:29" ht="33">
      <c r="A155" s="8">
        <f t="shared" si="5"/>
        <v>154</v>
      </c>
      <c r="B155" s="5" t="s">
        <v>1073</v>
      </c>
      <c r="C155" s="5"/>
      <c r="D155" s="4" t="s">
        <v>1460</v>
      </c>
      <c r="E155" s="21" t="s">
        <v>1461</v>
      </c>
      <c r="F155" s="21" t="s">
        <v>1462</v>
      </c>
      <c r="G155" s="5" t="s">
        <v>954</v>
      </c>
      <c r="H155" s="5"/>
      <c r="I155" s="4">
        <v>210126.05</v>
      </c>
      <c r="J155" s="4">
        <v>2643163.2149999999</v>
      </c>
      <c r="K155" s="4">
        <v>209297</v>
      </c>
      <c r="L155" s="4">
        <v>2643369</v>
      </c>
      <c r="M155" s="5">
        <v>97</v>
      </c>
      <c r="N155" s="2" t="s">
        <v>1463</v>
      </c>
      <c r="O155" s="13">
        <v>39639.708333333336</v>
      </c>
      <c r="P155" s="15" t="s">
        <v>1464</v>
      </c>
      <c r="Q155" s="4"/>
      <c r="R155" s="16" t="s">
        <v>1465</v>
      </c>
      <c r="S155" s="16" t="s">
        <v>1466</v>
      </c>
      <c r="T155" s="5">
        <v>64</v>
      </c>
      <c r="U155" s="5">
        <v>183</v>
      </c>
      <c r="V155" s="16">
        <v>500</v>
      </c>
      <c r="W155" s="8">
        <f t="shared" si="4"/>
        <v>0</v>
      </c>
      <c r="Y155" s="8"/>
      <c r="Z155" s="8"/>
      <c r="AC155" s="8" t="str">
        <f>IF(COUNTIFS(作業區!$W$2:$W$2000, T155, 作業區!$X$2:$X$2000, U155)&gt;0, "已存在", "未擴充")</f>
        <v>已存在</v>
      </c>
    </row>
    <row r="156" spans="1:29" ht="33">
      <c r="A156" s="8">
        <f t="shared" si="5"/>
        <v>155</v>
      </c>
      <c r="B156" s="5" t="s">
        <v>844</v>
      </c>
      <c r="C156" s="5"/>
      <c r="D156" s="4" t="s">
        <v>1467</v>
      </c>
      <c r="E156" s="21" t="s">
        <v>769</v>
      </c>
      <c r="F156" s="21" t="s">
        <v>953</v>
      </c>
      <c r="G156" s="5" t="s">
        <v>1468</v>
      </c>
      <c r="H156" s="5"/>
      <c r="I156" s="4">
        <v>231797.97</v>
      </c>
      <c r="J156" s="4">
        <v>2622701.2969999998</v>
      </c>
      <c r="K156" s="4">
        <v>230969</v>
      </c>
      <c r="L156" s="4">
        <v>2622907</v>
      </c>
      <c r="M156" s="5">
        <v>97</v>
      </c>
      <c r="N156" s="2" t="s">
        <v>1463</v>
      </c>
      <c r="O156" s="13">
        <v>39612.541666666664</v>
      </c>
      <c r="P156" s="15" t="s">
        <v>1469</v>
      </c>
      <c r="Q156" s="4"/>
      <c r="R156" s="16" t="s">
        <v>103</v>
      </c>
      <c r="S156" s="16" t="s">
        <v>1370</v>
      </c>
      <c r="T156" s="5">
        <v>0</v>
      </c>
      <c r="U156" s="5">
        <v>21.8</v>
      </c>
      <c r="V156" s="16" t="s">
        <v>975</v>
      </c>
      <c r="W156" s="8">
        <f t="shared" si="4"/>
        <v>0</v>
      </c>
      <c r="Y156" s="8"/>
      <c r="Z156" s="8"/>
      <c r="AC156" s="8" t="str">
        <f>IF(COUNTIFS(作業區!$W$2:$W$2000, T156, 作業區!$X$2:$X$2000, U156)&gt;0, "已存在", "未擴充")</f>
        <v>已存在</v>
      </c>
    </row>
    <row r="157" spans="1:29" ht="33">
      <c r="A157" s="8">
        <f t="shared" si="5"/>
        <v>156</v>
      </c>
      <c r="B157" s="5" t="s">
        <v>844</v>
      </c>
      <c r="C157" s="5"/>
      <c r="D157" s="4" t="s">
        <v>1470</v>
      </c>
      <c r="E157" s="21" t="s">
        <v>740</v>
      </c>
      <c r="F157" s="21" t="s">
        <v>748</v>
      </c>
      <c r="G157" s="5" t="s">
        <v>1471</v>
      </c>
      <c r="H157" s="5"/>
      <c r="I157" s="4">
        <v>259053.86900000001</v>
      </c>
      <c r="J157" s="4">
        <v>2717418.952</v>
      </c>
      <c r="K157" s="4">
        <v>258225</v>
      </c>
      <c r="L157" s="4">
        <v>2717625</v>
      </c>
      <c r="M157" s="5">
        <v>97</v>
      </c>
      <c r="N157" s="2" t="s">
        <v>1463</v>
      </c>
      <c r="O157" s="13">
        <v>39593.666666666664</v>
      </c>
      <c r="P157" s="15" t="s">
        <v>1472</v>
      </c>
      <c r="Q157" s="4"/>
      <c r="R157" s="16" t="s">
        <v>358</v>
      </c>
      <c r="S157" s="16" t="s">
        <v>1473</v>
      </c>
      <c r="T157" s="5">
        <v>37</v>
      </c>
      <c r="U157" s="5">
        <v>88.9</v>
      </c>
      <c r="V157" s="16">
        <v>250</v>
      </c>
      <c r="W157" s="8">
        <f t="shared" si="4"/>
        <v>0</v>
      </c>
      <c r="Y157" s="8"/>
      <c r="Z157" s="8"/>
      <c r="AC157" s="8" t="str">
        <f>IF(COUNTIFS(作業區!$W$2:$W$2000, T157, 作業區!$X$2:$X$2000, U157)&gt;0, "已存在", "未擴充")</f>
        <v>已存在</v>
      </c>
    </row>
    <row r="158" spans="1:29" ht="33">
      <c r="A158" s="8">
        <f t="shared" si="5"/>
        <v>157</v>
      </c>
      <c r="B158" s="5" t="s">
        <v>754</v>
      </c>
      <c r="C158" s="5"/>
      <c r="D158" s="4" t="s">
        <v>1474</v>
      </c>
      <c r="E158" s="21" t="s">
        <v>769</v>
      </c>
      <c r="F158" s="21" t="s">
        <v>859</v>
      </c>
      <c r="G158" s="5" t="s">
        <v>1475</v>
      </c>
      <c r="H158" s="5"/>
      <c r="I158" s="4">
        <v>250112.899</v>
      </c>
      <c r="J158" s="4">
        <v>2631168.2650000001</v>
      </c>
      <c r="K158" s="4">
        <v>249284</v>
      </c>
      <c r="L158" s="4">
        <v>2631374</v>
      </c>
      <c r="M158" s="5">
        <v>97</v>
      </c>
      <c r="N158" s="2" t="s">
        <v>1476</v>
      </c>
      <c r="O158" s="13" t="s">
        <v>1477</v>
      </c>
      <c r="P158" s="15" t="s">
        <v>1478</v>
      </c>
      <c r="Q158" s="4"/>
      <c r="R158" s="16" t="s">
        <v>1479</v>
      </c>
      <c r="S158" s="16" t="s">
        <v>1480</v>
      </c>
      <c r="T158" s="5" t="s">
        <v>857</v>
      </c>
      <c r="U158" s="5">
        <v>3.4</v>
      </c>
      <c r="V158" s="16">
        <v>250</v>
      </c>
      <c r="W158" s="8">
        <f t="shared" si="4"/>
        <v>0</v>
      </c>
      <c r="Y158" s="8"/>
      <c r="Z158" s="8"/>
      <c r="AC158" s="8" t="str">
        <f>IF(COUNTIFS(作業區!$W$2:$W$2000, T158, 作業區!$X$2:$X$2000, U158)&gt;0, "已存在", "未擴充")</f>
        <v>已存在</v>
      </c>
    </row>
    <row r="159" spans="1:29" ht="33">
      <c r="A159" s="8">
        <f t="shared" si="5"/>
        <v>158</v>
      </c>
      <c r="B159" s="5" t="s">
        <v>1257</v>
      </c>
      <c r="C159" s="5"/>
      <c r="D159" s="4" t="s">
        <v>1481</v>
      </c>
      <c r="E159" s="2" t="s">
        <v>1482</v>
      </c>
      <c r="F159" s="5" t="s">
        <v>1483</v>
      </c>
      <c r="G159" s="5" t="s">
        <v>1484</v>
      </c>
      <c r="H159" s="5" t="s">
        <v>1485</v>
      </c>
      <c r="I159" s="4">
        <v>313070</v>
      </c>
      <c r="J159" s="4">
        <v>2727301</v>
      </c>
      <c r="K159" s="4">
        <v>312241.266</v>
      </c>
      <c r="L159" s="4">
        <v>2727507.091</v>
      </c>
      <c r="M159" s="5">
        <v>98</v>
      </c>
      <c r="N159" s="5" t="s">
        <v>1486</v>
      </c>
      <c r="O159" s="13">
        <v>40091.75</v>
      </c>
      <c r="P159" s="15" t="s">
        <v>1487</v>
      </c>
      <c r="Q159" s="4"/>
      <c r="R159" s="16" t="s">
        <v>1488</v>
      </c>
      <c r="S159" s="16" t="s">
        <v>1489</v>
      </c>
      <c r="T159" s="5">
        <v>29</v>
      </c>
      <c r="U159" s="5">
        <v>996</v>
      </c>
      <c r="V159" s="16">
        <v>600</v>
      </c>
      <c r="W159" s="8">
        <f t="shared" si="4"/>
        <v>0</v>
      </c>
      <c r="Y159" s="8"/>
      <c r="Z159" s="8"/>
      <c r="AC159" s="8" t="str">
        <f>IF(COUNTIFS(作業區!$W$2:$W$2000, T159, 作業區!$X$2:$X$2000, U159)&gt;0, "已存在", "未擴充")</f>
        <v>已存在</v>
      </c>
    </row>
    <row r="160" spans="1:29" ht="82.5">
      <c r="A160" s="8">
        <f t="shared" si="5"/>
        <v>159</v>
      </c>
      <c r="B160" s="5" t="s">
        <v>1338</v>
      </c>
      <c r="C160" s="5"/>
      <c r="D160" s="4" t="s">
        <v>1490</v>
      </c>
      <c r="E160" s="5" t="s">
        <v>1349</v>
      </c>
      <c r="F160" s="5" t="s">
        <v>1491</v>
      </c>
      <c r="G160" s="5" t="s">
        <v>1492</v>
      </c>
      <c r="H160" s="5" t="s">
        <v>1493</v>
      </c>
      <c r="I160" s="4">
        <v>319875</v>
      </c>
      <c r="J160" s="4">
        <v>2722820</v>
      </c>
      <c r="K160" s="4">
        <v>319046.28499999997</v>
      </c>
      <c r="L160" s="4">
        <v>2723026.0780000002</v>
      </c>
      <c r="M160" s="5">
        <v>98</v>
      </c>
      <c r="N160" s="5" t="s">
        <v>1486</v>
      </c>
      <c r="O160" s="13">
        <v>40092.041666666664</v>
      </c>
      <c r="P160" s="15" t="s">
        <v>1494</v>
      </c>
      <c r="Q160" s="4"/>
      <c r="R160" s="16" t="s">
        <v>301</v>
      </c>
      <c r="S160" s="16" t="s">
        <v>1495</v>
      </c>
      <c r="T160" s="5">
        <v>61.5</v>
      </c>
      <c r="U160" s="5">
        <v>315.89999999999998</v>
      </c>
      <c r="V160" s="16">
        <v>500</v>
      </c>
      <c r="W160" s="8">
        <f t="shared" si="4"/>
        <v>0</v>
      </c>
      <c r="Y160" s="8"/>
      <c r="Z160" s="8"/>
      <c r="AC160" s="8" t="str">
        <f>IF(COUNTIFS(作業區!$W$2:$W$2000, T160, 作業區!$X$2:$X$2000, U160)&gt;0, "已存在", "未擴充")</f>
        <v>已存在</v>
      </c>
    </row>
    <row r="161" spans="1:29" ht="49.5" hidden="1">
      <c r="A161" s="8">
        <f t="shared" si="5"/>
        <v>160</v>
      </c>
      <c r="B161" s="2" t="s">
        <v>739</v>
      </c>
      <c r="C161" s="2"/>
      <c r="D161" s="4" t="s">
        <v>1496</v>
      </c>
      <c r="E161" s="5" t="s">
        <v>922</v>
      </c>
      <c r="F161" s="5" t="s">
        <v>923</v>
      </c>
      <c r="G161" s="5" t="s">
        <v>1497</v>
      </c>
      <c r="H161" s="5" t="s">
        <v>1498</v>
      </c>
      <c r="I161" s="4">
        <v>245059</v>
      </c>
      <c r="J161" s="4">
        <v>2492460</v>
      </c>
      <c r="K161" s="4">
        <v>244230.07699999999</v>
      </c>
      <c r="L161" s="4">
        <v>2492665.1570000001</v>
      </c>
      <c r="M161" s="5">
        <v>98</v>
      </c>
      <c r="N161" s="5" t="s">
        <v>1499</v>
      </c>
      <c r="O161" s="13">
        <v>40034.166666666664</v>
      </c>
      <c r="P161" s="15" t="s">
        <v>1500</v>
      </c>
      <c r="Q161" s="4"/>
      <c r="R161" s="16" t="s">
        <v>638</v>
      </c>
      <c r="S161" s="16" t="s">
        <v>1501</v>
      </c>
      <c r="T161" s="5">
        <v>12</v>
      </c>
      <c r="U161" s="5">
        <v>664.4</v>
      </c>
      <c r="V161" s="16">
        <v>550</v>
      </c>
      <c r="W161" s="8">
        <f t="shared" si="4"/>
        <v>0</v>
      </c>
      <c r="Y161" s="8"/>
      <c r="Z161" s="8"/>
      <c r="AC161" s="8" t="str">
        <f>IF(COUNTIFS(作業區!$W$2:$W$2000, T161, 作業區!$X$2:$X$2000, U161)&gt;0, "已存在", "未擴充")</f>
        <v>已存在</v>
      </c>
    </row>
    <row r="162" spans="1:29" s="26" customFormat="1" ht="33" hidden="1">
      <c r="A162" s="8">
        <f t="shared" si="5"/>
        <v>161</v>
      </c>
      <c r="B162" s="2" t="s">
        <v>739</v>
      </c>
      <c r="C162" s="2"/>
      <c r="D162" s="4" t="s">
        <v>1502</v>
      </c>
      <c r="E162" s="5" t="s">
        <v>922</v>
      </c>
      <c r="F162" s="5" t="s">
        <v>1503</v>
      </c>
      <c r="G162" s="5" t="s">
        <v>1504</v>
      </c>
      <c r="H162" s="5" t="s">
        <v>1505</v>
      </c>
      <c r="I162" s="4">
        <v>243095</v>
      </c>
      <c r="J162" s="4">
        <v>2481210</v>
      </c>
      <c r="K162" s="4">
        <v>242266.06899999999</v>
      </c>
      <c r="L162" s="4">
        <v>2481415.1060000001</v>
      </c>
      <c r="M162" s="5">
        <v>98</v>
      </c>
      <c r="N162" s="5" t="s">
        <v>1499</v>
      </c>
      <c r="O162" s="13">
        <v>40034.041666666664</v>
      </c>
      <c r="P162" s="15" t="s">
        <v>1506</v>
      </c>
      <c r="Q162" s="4"/>
      <c r="R162" s="16" t="s">
        <v>621</v>
      </c>
      <c r="S162" s="16" t="s">
        <v>1507</v>
      </c>
      <c r="T162" s="5">
        <v>47.5</v>
      </c>
      <c r="U162" s="5">
        <v>1252.9000000000001</v>
      </c>
      <c r="V162" s="16">
        <v>550</v>
      </c>
      <c r="W162" s="8">
        <f t="shared" si="4"/>
        <v>0</v>
      </c>
      <c r="X162" s="8"/>
      <c r="Y162" s="8"/>
      <c r="AC162" s="8" t="str">
        <f>IF(COUNTIFS(作業區!$W$2:$W$2000, T162, 作業區!$X$2:$X$2000, U162)&gt;0, "已存在", "未擴充")</f>
        <v>已存在</v>
      </c>
    </row>
    <row r="163" spans="1:29" ht="82.5" hidden="1">
      <c r="A163" s="8">
        <f t="shared" si="5"/>
        <v>162</v>
      </c>
      <c r="B163" s="21" t="s">
        <v>739</v>
      </c>
      <c r="C163" s="21"/>
      <c r="D163" s="4" t="s">
        <v>1508</v>
      </c>
      <c r="E163" s="5" t="s">
        <v>922</v>
      </c>
      <c r="F163" s="5" t="s">
        <v>1503</v>
      </c>
      <c r="G163" s="5" t="s">
        <v>1509</v>
      </c>
      <c r="H163" s="5" t="s">
        <v>1510</v>
      </c>
      <c r="I163" s="4">
        <v>240709</v>
      </c>
      <c r="J163" s="4">
        <v>2476524</v>
      </c>
      <c r="K163" s="4">
        <v>239880.06</v>
      </c>
      <c r="L163" s="4">
        <v>2476729.085</v>
      </c>
      <c r="M163" s="5">
        <v>98</v>
      </c>
      <c r="N163" s="5" t="s">
        <v>1499</v>
      </c>
      <c r="O163" s="13">
        <v>40033.625</v>
      </c>
      <c r="P163" s="15" t="s">
        <v>1511</v>
      </c>
      <c r="Q163" s="4"/>
      <c r="R163" s="16" t="s">
        <v>621</v>
      </c>
      <c r="S163" s="16" t="s">
        <v>1507</v>
      </c>
      <c r="T163" s="5">
        <v>20</v>
      </c>
      <c r="U163" s="5">
        <v>951</v>
      </c>
      <c r="V163" s="16">
        <v>550</v>
      </c>
      <c r="W163" s="8">
        <f t="shared" si="4"/>
        <v>0</v>
      </c>
      <c r="Y163" s="8"/>
      <c r="Z163" s="8"/>
      <c r="AC163" s="8" t="str">
        <f>IF(COUNTIFS(作業區!$W$2:$W$2000, T163, 作業區!$X$2:$X$2000, U163)&gt;0, "已存在", "未擴充")</f>
        <v>已存在</v>
      </c>
    </row>
    <row r="164" spans="1:29" ht="82.5" hidden="1">
      <c r="A164" s="8">
        <f t="shared" si="5"/>
        <v>163</v>
      </c>
      <c r="B164" s="21" t="s">
        <v>739</v>
      </c>
      <c r="C164" s="21"/>
      <c r="D164" s="4" t="s">
        <v>1508</v>
      </c>
      <c r="E164" s="5" t="s">
        <v>922</v>
      </c>
      <c r="F164" s="5" t="s">
        <v>1503</v>
      </c>
      <c r="G164" s="5" t="s">
        <v>1509</v>
      </c>
      <c r="H164" s="5" t="s">
        <v>1512</v>
      </c>
      <c r="I164" s="4">
        <v>240709</v>
      </c>
      <c r="J164" s="4">
        <v>2476524</v>
      </c>
      <c r="K164" s="4">
        <v>239880.06</v>
      </c>
      <c r="L164" s="4">
        <v>2476729.085</v>
      </c>
      <c r="M164" s="5">
        <v>98</v>
      </c>
      <c r="N164" s="5" t="s">
        <v>1499</v>
      </c>
      <c r="O164" s="13">
        <v>40033.625</v>
      </c>
      <c r="P164" s="15" t="s">
        <v>1511</v>
      </c>
      <c r="Q164" s="4"/>
      <c r="R164" s="16" t="s">
        <v>621</v>
      </c>
      <c r="S164" s="16" t="s">
        <v>1507</v>
      </c>
      <c r="T164" s="5">
        <v>20</v>
      </c>
      <c r="U164" s="5">
        <v>951</v>
      </c>
      <c r="V164" s="16">
        <v>550</v>
      </c>
      <c r="W164" s="8">
        <f t="shared" si="4"/>
        <v>0</v>
      </c>
      <c r="Y164" s="8"/>
      <c r="Z164" s="8"/>
      <c r="AC164" s="8" t="str">
        <f>IF(COUNTIFS(作業區!$W$2:$W$2000, T164, 作業區!$X$2:$X$2000, U164)&gt;0, "已存在", "未擴充")</f>
        <v>已存在</v>
      </c>
    </row>
    <row r="165" spans="1:29" ht="49.5">
      <c r="A165" s="8">
        <f t="shared" si="5"/>
        <v>164</v>
      </c>
      <c r="B165" s="5" t="s">
        <v>739</v>
      </c>
      <c r="C165" s="5"/>
      <c r="D165" s="4" t="s">
        <v>1513</v>
      </c>
      <c r="E165" s="5" t="s">
        <v>942</v>
      </c>
      <c r="F165" s="5" t="s">
        <v>943</v>
      </c>
      <c r="G165" s="5" t="s">
        <v>1284</v>
      </c>
      <c r="H165" s="5" t="s">
        <v>1285</v>
      </c>
      <c r="I165" s="4">
        <v>201599</v>
      </c>
      <c r="J165" s="4">
        <v>2552697</v>
      </c>
      <c r="K165" s="4">
        <v>200769.92300000001</v>
      </c>
      <c r="L165" s="4">
        <v>2552902.426</v>
      </c>
      <c r="M165" s="5">
        <v>98</v>
      </c>
      <c r="N165" s="5" t="s">
        <v>1499</v>
      </c>
      <c r="O165" s="13">
        <v>40033.708333333336</v>
      </c>
      <c r="P165" s="15" t="s">
        <v>1514</v>
      </c>
      <c r="Q165" s="4"/>
      <c r="R165" s="16" t="s">
        <v>218</v>
      </c>
      <c r="S165" s="16" t="s">
        <v>1287</v>
      </c>
      <c r="T165" s="5">
        <v>89</v>
      </c>
      <c r="U165" s="5">
        <v>653.6</v>
      </c>
      <c r="V165" s="16">
        <v>450</v>
      </c>
      <c r="W165" s="8">
        <f t="shared" si="4"/>
        <v>0</v>
      </c>
      <c r="Y165" s="8"/>
      <c r="Z165" s="8"/>
      <c r="AC165" s="8" t="str">
        <f>IF(COUNTIFS(作業區!$W$2:$W$2000, T165, 作業區!$X$2:$X$2000, U165)&gt;0, "已存在", "未擴充")</f>
        <v>已存在</v>
      </c>
    </row>
    <row r="166" spans="1:29" ht="49.5">
      <c r="A166" s="8">
        <f t="shared" si="5"/>
        <v>165</v>
      </c>
      <c r="B166" s="5" t="s">
        <v>739</v>
      </c>
      <c r="C166" s="5"/>
      <c r="D166" s="15" t="s">
        <v>1515</v>
      </c>
      <c r="E166" s="5" t="s">
        <v>785</v>
      </c>
      <c r="F166" s="5" t="s">
        <v>831</v>
      </c>
      <c r="G166" s="5" t="s">
        <v>810</v>
      </c>
      <c r="H166" s="5" t="s">
        <v>1516</v>
      </c>
      <c r="I166" s="4">
        <v>233115</v>
      </c>
      <c r="J166" s="4">
        <v>2633038</v>
      </c>
      <c r="K166" s="4">
        <v>232286.04399999999</v>
      </c>
      <c r="L166" s="4">
        <v>2633243.7439999999</v>
      </c>
      <c r="M166" s="5">
        <v>98</v>
      </c>
      <c r="N166" s="5" t="s">
        <v>1499</v>
      </c>
      <c r="O166" s="13">
        <v>40033.708333333336</v>
      </c>
      <c r="P166" s="15" t="s">
        <v>1517</v>
      </c>
      <c r="Q166" s="4"/>
      <c r="R166" s="16" t="s">
        <v>122</v>
      </c>
      <c r="S166" s="16" t="s">
        <v>1217</v>
      </c>
      <c r="T166" s="5">
        <v>9</v>
      </c>
      <c r="U166" s="5">
        <v>45.8</v>
      </c>
      <c r="V166" s="16">
        <v>250</v>
      </c>
      <c r="W166" s="8">
        <f t="shared" si="4"/>
        <v>0</v>
      </c>
      <c r="Y166" s="8"/>
      <c r="Z166" s="8"/>
      <c r="AC166" s="8" t="str">
        <f>IF(COUNTIFS(作業區!$W$2:$W$2000, T166, 作業區!$X$2:$X$2000, U166)&gt;0, "已存在", "未擴充")</f>
        <v>已存在</v>
      </c>
    </row>
    <row r="167" spans="1:29" ht="33" hidden="1">
      <c r="A167" s="8">
        <f t="shared" si="5"/>
        <v>166</v>
      </c>
      <c r="B167" s="2" t="s">
        <v>739</v>
      </c>
      <c r="C167" s="2"/>
      <c r="D167" s="15" t="s">
        <v>1518</v>
      </c>
      <c r="E167" s="5" t="s">
        <v>790</v>
      </c>
      <c r="F167" s="5" t="s">
        <v>931</v>
      </c>
      <c r="G167" s="5" t="s">
        <v>1519</v>
      </c>
      <c r="H167" s="5" t="s">
        <v>1520</v>
      </c>
      <c r="I167" s="4">
        <v>213351</v>
      </c>
      <c r="J167" s="4">
        <v>2518962</v>
      </c>
      <c r="K167" s="4">
        <v>212521.95800000001</v>
      </c>
      <c r="L167" s="4">
        <v>2519167.2779999999</v>
      </c>
      <c r="M167" s="5">
        <v>98</v>
      </c>
      <c r="N167" s="5" t="s">
        <v>1499</v>
      </c>
      <c r="O167" s="13">
        <v>40033.541666666664</v>
      </c>
      <c r="P167" s="15" t="s">
        <v>1521</v>
      </c>
      <c r="Q167" s="4"/>
      <c r="R167" s="16" t="s">
        <v>603</v>
      </c>
      <c r="S167" s="16" t="s">
        <v>1522</v>
      </c>
      <c r="T167" s="5">
        <v>71</v>
      </c>
      <c r="U167" s="5">
        <v>1532</v>
      </c>
      <c r="V167" s="16">
        <v>550</v>
      </c>
      <c r="W167" s="8">
        <f t="shared" si="4"/>
        <v>0</v>
      </c>
      <c r="Y167" s="8"/>
      <c r="Z167" s="8"/>
      <c r="AC167" s="8" t="str">
        <f>IF(COUNTIFS(作業區!$W$2:$W$2000, T167, 作業區!$X$2:$X$2000, U167)&gt;0, "已存在", "未擴充")</f>
        <v>已存在</v>
      </c>
    </row>
    <row r="168" spans="1:29">
      <c r="A168" s="8">
        <f t="shared" si="5"/>
        <v>167</v>
      </c>
      <c r="B168" s="2" t="s">
        <v>739</v>
      </c>
      <c r="C168" s="2"/>
      <c r="D168" s="4" t="s">
        <v>1523</v>
      </c>
      <c r="E168" s="5" t="s">
        <v>790</v>
      </c>
      <c r="F168" s="5" t="s">
        <v>1524</v>
      </c>
      <c r="G168" s="5" t="s">
        <v>1525</v>
      </c>
      <c r="H168" s="5"/>
      <c r="I168" s="4">
        <v>215347</v>
      </c>
      <c r="J168" s="4">
        <v>2495590</v>
      </c>
      <c r="K168" s="4">
        <v>214517.96100000001</v>
      </c>
      <c r="L168" s="4">
        <v>2495795.1740000001</v>
      </c>
      <c r="M168" s="5">
        <v>98</v>
      </c>
      <c r="N168" s="5" t="s">
        <v>1499</v>
      </c>
      <c r="O168" s="13">
        <v>40033.833333333336</v>
      </c>
      <c r="P168" s="15" t="s">
        <v>1526</v>
      </c>
      <c r="Q168" s="4"/>
      <c r="R168" s="16" t="s">
        <v>1527</v>
      </c>
      <c r="S168" s="16" t="s">
        <v>1528</v>
      </c>
      <c r="T168" s="5">
        <v>8.5</v>
      </c>
      <c r="U168" s="5">
        <v>930.7</v>
      </c>
      <c r="V168" s="16">
        <v>600</v>
      </c>
      <c r="W168" s="8">
        <f t="shared" si="4"/>
        <v>0</v>
      </c>
      <c r="Y168" s="8"/>
      <c r="Z168" s="8"/>
      <c r="AC168" s="8" t="str">
        <f>IF(COUNTIFS(作業區!$W$2:$W$2000, T168, 作業區!$X$2:$X$2000, U168)&gt;0, "已存在", "未擴充")</f>
        <v>已存在</v>
      </c>
    </row>
    <row r="169" spans="1:29" ht="33" hidden="1">
      <c r="A169" s="8">
        <f t="shared" si="5"/>
        <v>168</v>
      </c>
      <c r="B169" s="2" t="s">
        <v>739</v>
      </c>
      <c r="C169" s="2"/>
      <c r="D169" s="4" t="s">
        <v>1529</v>
      </c>
      <c r="E169" s="5" t="s">
        <v>802</v>
      </c>
      <c r="F169" s="5" t="s">
        <v>1302</v>
      </c>
      <c r="G169" s="5" t="s">
        <v>1303</v>
      </c>
      <c r="H169" s="5" t="s">
        <v>1530</v>
      </c>
      <c r="I169" s="4">
        <v>219053</v>
      </c>
      <c r="J169" s="4">
        <v>2571064</v>
      </c>
      <c r="K169" s="4">
        <v>218223.989</v>
      </c>
      <c r="L169" s="4">
        <v>2571269.4989999998</v>
      </c>
      <c r="M169" s="5">
        <v>98</v>
      </c>
      <c r="N169" s="5" t="s">
        <v>1499</v>
      </c>
      <c r="O169" s="13">
        <v>40033.666666666664</v>
      </c>
      <c r="P169" s="15" t="s">
        <v>1531</v>
      </c>
      <c r="Q169" s="4"/>
      <c r="R169" s="16" t="s">
        <v>579</v>
      </c>
      <c r="S169" s="16" t="s">
        <v>1532</v>
      </c>
      <c r="T169" s="5">
        <v>89</v>
      </c>
      <c r="U169" s="5">
        <v>712.6</v>
      </c>
      <c r="V169" s="16">
        <v>500</v>
      </c>
      <c r="W169" s="8">
        <f t="shared" si="4"/>
        <v>0</v>
      </c>
      <c r="Y169" s="8"/>
      <c r="Z169" s="8"/>
      <c r="AC169" s="8" t="str">
        <f>IF(COUNTIFS(作業區!$W$2:$W$2000, T169, 作業區!$X$2:$X$2000, U169)&gt;0, "已存在", "未擴充")</f>
        <v>已存在</v>
      </c>
    </row>
    <row r="170" spans="1:29" ht="33" hidden="1">
      <c r="A170" s="8">
        <f t="shared" si="5"/>
        <v>169</v>
      </c>
      <c r="B170" s="2" t="s">
        <v>739</v>
      </c>
      <c r="C170" s="2"/>
      <c r="D170" s="4" t="s">
        <v>1533</v>
      </c>
      <c r="E170" s="5" t="s">
        <v>802</v>
      </c>
      <c r="F170" s="5" t="s">
        <v>1302</v>
      </c>
      <c r="G170" s="5" t="s">
        <v>1303</v>
      </c>
      <c r="H170" s="5" t="s">
        <v>1534</v>
      </c>
      <c r="I170" s="4">
        <v>219088</v>
      </c>
      <c r="J170" s="4">
        <v>2570763</v>
      </c>
      <c r="K170" s="4">
        <v>218258.989</v>
      </c>
      <c r="L170" s="4">
        <v>2570968.4980000001</v>
      </c>
      <c r="M170" s="5">
        <v>98</v>
      </c>
      <c r="N170" s="5" t="s">
        <v>1499</v>
      </c>
      <c r="O170" s="13">
        <v>40033.666666666664</v>
      </c>
      <c r="P170" s="15" t="s">
        <v>1535</v>
      </c>
      <c r="Q170" s="4"/>
      <c r="R170" s="16" t="s">
        <v>1536</v>
      </c>
      <c r="S170" s="16" t="s">
        <v>1532</v>
      </c>
      <c r="T170" s="5">
        <v>89</v>
      </c>
      <c r="U170" s="5">
        <v>712.6</v>
      </c>
      <c r="V170" s="16">
        <v>500</v>
      </c>
      <c r="W170" s="8">
        <f t="shared" si="4"/>
        <v>0</v>
      </c>
      <c r="Y170" s="8"/>
      <c r="Z170" s="8"/>
      <c r="AC170" s="8" t="str">
        <f>IF(COUNTIFS(作業區!$W$2:$W$2000, T170, 作業區!$X$2:$X$2000, U170)&gt;0, "已存在", "未擴充")</f>
        <v>已存在</v>
      </c>
    </row>
    <row r="171" spans="1:29" ht="33" hidden="1">
      <c r="A171" s="8">
        <f t="shared" si="5"/>
        <v>170</v>
      </c>
      <c r="B171" s="2" t="s">
        <v>739</v>
      </c>
      <c r="C171" s="2"/>
      <c r="D171" s="4" t="s">
        <v>1537</v>
      </c>
      <c r="E171" s="5" t="s">
        <v>802</v>
      </c>
      <c r="F171" s="5" t="s">
        <v>1043</v>
      </c>
      <c r="G171" s="5" t="s">
        <v>1044</v>
      </c>
      <c r="H171" s="5" t="s">
        <v>1538</v>
      </c>
      <c r="I171" s="4">
        <v>210455</v>
      </c>
      <c r="J171" s="4">
        <v>2554959</v>
      </c>
      <c r="K171" s="4">
        <v>209625.95499999999</v>
      </c>
      <c r="L171" s="4">
        <v>2555164.4330000002</v>
      </c>
      <c r="M171" s="5">
        <v>98</v>
      </c>
      <c r="N171" s="5" t="s">
        <v>1499</v>
      </c>
      <c r="O171" s="13">
        <v>40033.833333333336</v>
      </c>
      <c r="P171" s="15" t="s">
        <v>1539</v>
      </c>
      <c r="Q171" s="4"/>
      <c r="R171" s="16" t="s">
        <v>559</v>
      </c>
      <c r="S171" s="16" t="s">
        <v>1048</v>
      </c>
      <c r="T171" s="5">
        <v>42.5</v>
      </c>
      <c r="U171" s="5">
        <v>1257.0999999999999</v>
      </c>
      <c r="V171" s="16">
        <v>450</v>
      </c>
      <c r="W171" s="8">
        <f t="shared" si="4"/>
        <v>0</v>
      </c>
      <c r="Y171" s="8"/>
      <c r="Z171" s="8"/>
      <c r="AC171" s="8" t="str">
        <f>IF(COUNTIFS(作業區!$W$2:$W$2000, T171, 作業區!$X$2:$X$2000, U171)&gt;0, "已存在", "未擴充")</f>
        <v>已存在</v>
      </c>
    </row>
    <row r="172" spans="1:29" hidden="1">
      <c r="A172" s="8">
        <f t="shared" si="5"/>
        <v>171</v>
      </c>
      <c r="B172" s="2" t="s">
        <v>739</v>
      </c>
      <c r="C172" s="2"/>
      <c r="D172" s="4" t="s">
        <v>1540</v>
      </c>
      <c r="E172" s="5" t="s">
        <v>802</v>
      </c>
      <c r="F172" s="5" t="s">
        <v>1231</v>
      </c>
      <c r="G172" s="5" t="s">
        <v>1541</v>
      </c>
      <c r="H172" s="5" t="s">
        <v>1542</v>
      </c>
      <c r="I172" s="4">
        <v>206646</v>
      </c>
      <c r="J172" s="4">
        <v>2545692</v>
      </c>
      <c r="K172" s="4">
        <v>205816.93900000001</v>
      </c>
      <c r="L172" s="4">
        <v>2545897.395</v>
      </c>
      <c r="M172" s="5">
        <v>98</v>
      </c>
      <c r="N172" s="5" t="s">
        <v>1499</v>
      </c>
      <c r="O172" s="13">
        <v>40034.208333333336</v>
      </c>
      <c r="P172" s="15" t="s">
        <v>1543</v>
      </c>
      <c r="Q172" s="4"/>
      <c r="R172" s="16" t="s">
        <v>263</v>
      </c>
      <c r="S172" s="16" t="s">
        <v>1235</v>
      </c>
      <c r="T172" s="5">
        <v>37</v>
      </c>
      <c r="U172" s="5">
        <v>1030.8</v>
      </c>
      <c r="V172" s="16">
        <v>450</v>
      </c>
      <c r="W172" s="8">
        <f t="shared" si="4"/>
        <v>0</v>
      </c>
      <c r="Y172" s="8"/>
      <c r="Z172" s="8"/>
      <c r="AC172" s="8" t="str">
        <f>IF(COUNTIFS(作業區!$W$2:$W$2000, T172, 作業區!$X$2:$X$2000, U172)&gt;0, "已存在", "未擴充")</f>
        <v>已存在</v>
      </c>
    </row>
    <row r="173" spans="1:29" ht="33" hidden="1">
      <c r="A173" s="8">
        <f t="shared" si="5"/>
        <v>172</v>
      </c>
      <c r="B173" s="2" t="s">
        <v>739</v>
      </c>
      <c r="C173" s="2"/>
      <c r="D173" s="4" t="s">
        <v>1544</v>
      </c>
      <c r="E173" s="5" t="s">
        <v>802</v>
      </c>
      <c r="F173" s="5" t="s">
        <v>803</v>
      </c>
      <c r="G173" s="5" t="s">
        <v>804</v>
      </c>
      <c r="H173" s="5" t="s">
        <v>838</v>
      </c>
      <c r="I173" s="4">
        <v>214010</v>
      </c>
      <c r="J173" s="4">
        <v>2533640</v>
      </c>
      <c r="K173" s="4">
        <v>213180.96400000001</v>
      </c>
      <c r="L173" s="4">
        <v>2533845.3420000002</v>
      </c>
      <c r="M173" s="5">
        <v>98</v>
      </c>
      <c r="N173" s="5" t="s">
        <v>1499</v>
      </c>
      <c r="O173" s="13">
        <v>40033.208333333336</v>
      </c>
      <c r="P173" s="15" t="s">
        <v>1545</v>
      </c>
      <c r="Q173" s="4"/>
      <c r="R173" s="16" t="s">
        <v>233</v>
      </c>
      <c r="S173" s="16" t="s">
        <v>1239</v>
      </c>
      <c r="T173" s="5">
        <v>32.5</v>
      </c>
      <c r="U173" s="5">
        <v>534.5</v>
      </c>
      <c r="V173" s="16">
        <v>400</v>
      </c>
      <c r="W173" s="8">
        <f t="shared" si="4"/>
        <v>0</v>
      </c>
      <c r="Y173" s="8"/>
      <c r="Z173" s="8"/>
      <c r="AC173" s="8" t="str">
        <f>IF(COUNTIFS(作業區!$W$2:$W$2000, T173, 作業區!$X$2:$X$2000, U173)&gt;0, "已存在", "未擴充")</f>
        <v>已存在</v>
      </c>
    </row>
    <row r="174" spans="1:29" ht="33" hidden="1">
      <c r="A174" s="8">
        <f t="shared" si="5"/>
        <v>173</v>
      </c>
      <c r="B174" s="2" t="s">
        <v>739</v>
      </c>
      <c r="C174" s="2"/>
      <c r="D174" s="4" t="s">
        <v>1544</v>
      </c>
      <c r="E174" s="5" t="s">
        <v>802</v>
      </c>
      <c r="F174" s="5" t="s">
        <v>803</v>
      </c>
      <c r="G174" s="5" t="s">
        <v>804</v>
      </c>
      <c r="H174" s="5" t="s">
        <v>842</v>
      </c>
      <c r="I174" s="4">
        <v>214010</v>
      </c>
      <c r="J174" s="4">
        <v>2533640</v>
      </c>
      <c r="K174" s="4">
        <v>213180.96400000001</v>
      </c>
      <c r="L174" s="4">
        <v>2533845.3420000002</v>
      </c>
      <c r="M174" s="5">
        <v>98</v>
      </c>
      <c r="N174" s="5" t="s">
        <v>1499</v>
      </c>
      <c r="O174" s="13">
        <v>40033.208333333336</v>
      </c>
      <c r="P174" s="15" t="s">
        <v>1545</v>
      </c>
      <c r="Q174" s="4"/>
      <c r="R174" s="16" t="s">
        <v>233</v>
      </c>
      <c r="S174" s="16" t="s">
        <v>1239</v>
      </c>
      <c r="T174" s="5">
        <v>32.5</v>
      </c>
      <c r="U174" s="5">
        <v>534.5</v>
      </c>
      <c r="V174" s="16">
        <v>400</v>
      </c>
      <c r="W174" s="8">
        <f t="shared" si="4"/>
        <v>0</v>
      </c>
      <c r="Y174" s="8"/>
      <c r="Z174" s="8"/>
      <c r="AC174" s="8" t="str">
        <f>IF(COUNTIFS(作業區!$W$2:$W$2000, T174, 作業區!$X$2:$X$2000, U174)&gt;0, "已存在", "未擴充")</f>
        <v>已存在</v>
      </c>
    </row>
    <row r="175" spans="1:29" ht="33" hidden="1">
      <c r="A175" s="8">
        <f t="shared" si="5"/>
        <v>174</v>
      </c>
      <c r="B175" s="2" t="s">
        <v>920</v>
      </c>
      <c r="C175" s="2"/>
      <c r="D175" s="4" t="s">
        <v>1546</v>
      </c>
      <c r="E175" s="5" t="s">
        <v>802</v>
      </c>
      <c r="F175" s="5" t="s">
        <v>803</v>
      </c>
      <c r="G175" s="5" t="s">
        <v>808</v>
      </c>
      <c r="H175" s="5" t="s">
        <v>1547</v>
      </c>
      <c r="I175" s="4">
        <v>215812</v>
      </c>
      <c r="J175" s="4">
        <v>2547379</v>
      </c>
      <c r="K175" s="4">
        <v>214982.973</v>
      </c>
      <c r="L175" s="4">
        <v>2547584.4</v>
      </c>
      <c r="M175" s="5">
        <v>98</v>
      </c>
      <c r="N175" s="5" t="s">
        <v>1499</v>
      </c>
      <c r="O175" s="13">
        <v>40034.25</v>
      </c>
      <c r="P175" s="15" t="s">
        <v>1548</v>
      </c>
      <c r="Q175" s="4"/>
      <c r="R175" s="16" t="s">
        <v>225</v>
      </c>
      <c r="S175" s="16" t="s">
        <v>1224</v>
      </c>
      <c r="T175" s="5">
        <v>35.5</v>
      </c>
      <c r="U175" s="5">
        <v>1585.6</v>
      </c>
      <c r="V175" s="16">
        <v>400</v>
      </c>
      <c r="W175" s="8">
        <f t="shared" si="4"/>
        <v>0</v>
      </c>
      <c r="Y175" s="8"/>
      <c r="Z175" s="8"/>
      <c r="AC175" s="8" t="str">
        <f>IF(COUNTIFS(作業區!$W$2:$W$2000, T175, 作業區!$X$2:$X$2000, U175)&gt;0, "已存在", "未擴充")</f>
        <v>已存在</v>
      </c>
    </row>
    <row r="176" spans="1:29" ht="49.5" hidden="1">
      <c r="A176" s="8">
        <f t="shared" si="5"/>
        <v>175</v>
      </c>
      <c r="B176" s="2" t="s">
        <v>739</v>
      </c>
      <c r="C176" s="2"/>
      <c r="D176" s="4" t="s">
        <v>1549</v>
      </c>
      <c r="E176" s="5" t="s">
        <v>802</v>
      </c>
      <c r="F176" s="5" t="s">
        <v>803</v>
      </c>
      <c r="G176" s="5" t="s">
        <v>1050</v>
      </c>
      <c r="H176" s="5" t="s">
        <v>1274</v>
      </c>
      <c r="I176" s="4">
        <v>217318</v>
      </c>
      <c r="J176" s="4">
        <v>2555478</v>
      </c>
      <c r="K176" s="4">
        <v>216488.98</v>
      </c>
      <c r="L176" s="4">
        <v>2555683.4339999999</v>
      </c>
      <c r="M176" s="5">
        <v>98</v>
      </c>
      <c r="N176" s="5" t="s">
        <v>1499</v>
      </c>
      <c r="O176" s="13">
        <v>40032.875</v>
      </c>
      <c r="P176" s="15" t="s">
        <v>1550</v>
      </c>
      <c r="Q176" s="4"/>
      <c r="R176" s="16" t="s">
        <v>225</v>
      </c>
      <c r="S176" s="16" t="s">
        <v>1224</v>
      </c>
      <c r="T176" s="5">
        <v>18.5</v>
      </c>
      <c r="U176" s="5">
        <v>308.89999999999998</v>
      </c>
      <c r="V176" s="16">
        <v>400</v>
      </c>
      <c r="W176" s="8">
        <f t="shared" si="4"/>
        <v>0</v>
      </c>
      <c r="Y176" s="8"/>
      <c r="Z176" s="8"/>
      <c r="AC176" s="8" t="str">
        <f>IF(COUNTIFS(作業區!$W$2:$W$2000, T176, 作業區!$X$2:$X$2000, U176)&gt;0, "已存在", "未擴充")</f>
        <v>已存在</v>
      </c>
    </row>
    <row r="177" spans="1:29" ht="49.5" hidden="1">
      <c r="A177" s="8">
        <f t="shared" si="5"/>
        <v>176</v>
      </c>
      <c r="B177" s="2" t="s">
        <v>739</v>
      </c>
      <c r="C177" s="2"/>
      <c r="D177" s="4" t="s">
        <v>1551</v>
      </c>
      <c r="E177" s="5" t="s">
        <v>802</v>
      </c>
      <c r="F177" s="5" t="s">
        <v>1220</v>
      </c>
      <c r="G177" s="5" t="s">
        <v>1221</v>
      </c>
      <c r="H177" s="5" t="s">
        <v>1552</v>
      </c>
      <c r="I177" s="4">
        <v>218240</v>
      </c>
      <c r="J177" s="4">
        <v>2555745</v>
      </c>
      <c r="K177" s="4">
        <v>217410.98300000001</v>
      </c>
      <c r="L177" s="4">
        <v>2555950.4350000001</v>
      </c>
      <c r="M177" s="5">
        <v>98</v>
      </c>
      <c r="N177" s="5" t="s">
        <v>1499</v>
      </c>
      <c r="O177" s="13">
        <v>40033.708333333336</v>
      </c>
      <c r="P177" s="15" t="s">
        <v>1553</v>
      </c>
      <c r="Q177" s="4"/>
      <c r="R177" s="16" t="s">
        <v>595</v>
      </c>
      <c r="S177" s="16" t="s">
        <v>1554</v>
      </c>
      <c r="T177" s="5">
        <v>86.5</v>
      </c>
      <c r="U177" s="5">
        <v>732.6</v>
      </c>
      <c r="V177" s="16">
        <v>450</v>
      </c>
      <c r="W177" s="8">
        <f t="shared" si="4"/>
        <v>0</v>
      </c>
      <c r="Y177" s="8"/>
      <c r="AC177" s="8" t="str">
        <f>IF(COUNTIFS(作業區!$W$2:$W$2000, T177, 作業區!$X$2:$X$2000, U177)&gt;0, "已存在", "未擴充")</f>
        <v>已存在</v>
      </c>
    </row>
    <row r="178" spans="1:29" ht="33" hidden="1">
      <c r="A178" s="8">
        <f t="shared" si="5"/>
        <v>177</v>
      </c>
      <c r="B178" s="2" t="s">
        <v>739</v>
      </c>
      <c r="C178" s="2"/>
      <c r="D178" s="15" t="s">
        <v>1555</v>
      </c>
      <c r="E178" s="5" t="s">
        <v>1061</v>
      </c>
      <c r="F178" s="5" t="s">
        <v>1556</v>
      </c>
      <c r="G178" s="5" t="s">
        <v>1557</v>
      </c>
      <c r="H178" s="5"/>
      <c r="I178" s="4">
        <v>223475</v>
      </c>
      <c r="J178" s="4">
        <v>2602972</v>
      </c>
      <c r="K178" s="4">
        <v>222646.00899999999</v>
      </c>
      <c r="L178" s="4">
        <v>2603177.6269999999</v>
      </c>
      <c r="M178" s="5">
        <v>98</v>
      </c>
      <c r="N178" s="5" t="s">
        <v>1499</v>
      </c>
      <c r="O178" s="13">
        <v>40034.25</v>
      </c>
      <c r="P178" s="15" t="s">
        <v>1558</v>
      </c>
      <c r="Q178" s="4"/>
      <c r="R178" s="16" t="s">
        <v>206</v>
      </c>
      <c r="S178" s="16" t="s">
        <v>1559</v>
      </c>
      <c r="T178" s="5">
        <v>24</v>
      </c>
      <c r="U178" s="5">
        <v>1347.7</v>
      </c>
      <c r="V178" s="16">
        <v>300</v>
      </c>
      <c r="W178" s="8">
        <f t="shared" si="4"/>
        <v>0</v>
      </c>
      <c r="Y178" s="8"/>
      <c r="Z178" s="8"/>
      <c r="AC178" s="8" t="str">
        <f>IF(COUNTIFS(作業區!$W$2:$W$2000, T178, 作業區!$X$2:$X$2000, U178)&gt;0, "已存在", "未擴充")</f>
        <v>已存在</v>
      </c>
    </row>
    <row r="179" spans="1:29" ht="49.5" hidden="1">
      <c r="A179" s="8">
        <f t="shared" si="5"/>
        <v>178</v>
      </c>
      <c r="B179" s="2" t="s">
        <v>739</v>
      </c>
      <c r="C179" s="2"/>
      <c r="D179" s="4" t="s">
        <v>1560</v>
      </c>
      <c r="E179" s="5" t="s">
        <v>1061</v>
      </c>
      <c r="F179" s="5" t="s">
        <v>1556</v>
      </c>
      <c r="G179" s="5" t="s">
        <v>1557</v>
      </c>
      <c r="H179" s="5"/>
      <c r="I179" s="4">
        <v>224230</v>
      </c>
      <c r="J179" s="4">
        <v>2601583</v>
      </c>
      <c r="K179" s="4">
        <v>223401.011</v>
      </c>
      <c r="L179" s="4">
        <v>2601788.622</v>
      </c>
      <c r="M179" s="5">
        <v>98</v>
      </c>
      <c r="N179" s="5" t="s">
        <v>1499</v>
      </c>
      <c r="O179" s="13">
        <v>40034.25</v>
      </c>
      <c r="P179" s="15" t="s">
        <v>1561</v>
      </c>
      <c r="Q179" s="4"/>
      <c r="R179" s="16" t="s">
        <v>206</v>
      </c>
      <c r="S179" s="16" t="s">
        <v>1559</v>
      </c>
      <c r="T179" s="5">
        <v>24</v>
      </c>
      <c r="U179" s="5">
        <v>1347.7</v>
      </c>
      <c r="V179" s="16">
        <v>300</v>
      </c>
      <c r="W179" s="8">
        <f t="shared" si="4"/>
        <v>0</v>
      </c>
      <c r="Y179" s="8"/>
      <c r="Z179" s="8"/>
      <c r="AC179" s="8" t="str">
        <f>IF(COUNTIFS(作業區!$W$2:$W$2000, T179, 作業區!$X$2:$X$2000, U179)&gt;0, "已存在", "未擴充")</f>
        <v>已存在</v>
      </c>
    </row>
    <row r="180" spans="1:29" ht="33">
      <c r="A180" s="8">
        <f t="shared" si="5"/>
        <v>179</v>
      </c>
      <c r="B180" s="2" t="s">
        <v>739</v>
      </c>
      <c r="C180" s="2"/>
      <c r="D180" s="4" t="s">
        <v>1562</v>
      </c>
      <c r="E180" s="5" t="s">
        <v>1061</v>
      </c>
      <c r="F180" s="5" t="s">
        <v>1068</v>
      </c>
      <c r="G180" s="5" t="s">
        <v>1277</v>
      </c>
      <c r="H180" s="5" t="s">
        <v>1563</v>
      </c>
      <c r="I180" s="4">
        <v>205377</v>
      </c>
      <c r="J180" s="4">
        <v>2585681</v>
      </c>
      <c r="K180" s="4">
        <v>204547.94399999999</v>
      </c>
      <c r="L180" s="4">
        <v>2585886.5610000002</v>
      </c>
      <c r="M180" s="5">
        <v>98</v>
      </c>
      <c r="N180" s="5" t="s">
        <v>1499</v>
      </c>
      <c r="O180" s="13">
        <v>40034.125</v>
      </c>
      <c r="P180" s="15" t="s">
        <v>1564</v>
      </c>
      <c r="Q180" s="4"/>
      <c r="R180" s="16" t="s">
        <v>1071</v>
      </c>
      <c r="S180" s="16" t="s">
        <v>1072</v>
      </c>
      <c r="T180" s="5">
        <v>60</v>
      </c>
      <c r="U180" s="5">
        <v>1498.6</v>
      </c>
      <c r="V180" s="16">
        <v>450</v>
      </c>
      <c r="W180" s="8">
        <f t="shared" si="4"/>
        <v>0</v>
      </c>
      <c r="Y180" s="8"/>
      <c r="Z180" s="8"/>
      <c r="AC180" s="8" t="str">
        <f>IF(COUNTIFS(作業區!$W$2:$W$2000, T180, 作業區!$X$2:$X$2000, U180)&gt;0, "已存在", "未擴充")</f>
        <v>已存在</v>
      </c>
    </row>
    <row r="181" spans="1:29" ht="49.5" hidden="1">
      <c r="A181" s="8">
        <f t="shared" si="5"/>
        <v>180</v>
      </c>
      <c r="B181" s="5" t="s">
        <v>920</v>
      </c>
      <c r="C181" s="5"/>
      <c r="D181" s="4" t="s">
        <v>1565</v>
      </c>
      <c r="E181" s="5" t="s">
        <v>785</v>
      </c>
      <c r="F181" s="5" t="s">
        <v>1213</v>
      </c>
      <c r="G181" s="5" t="s">
        <v>1566</v>
      </c>
      <c r="H181" s="5" t="s">
        <v>1567</v>
      </c>
      <c r="I181" s="4">
        <v>238682</v>
      </c>
      <c r="J181" s="4">
        <v>2614084</v>
      </c>
      <c r="K181" s="4">
        <v>237853.06</v>
      </c>
      <c r="L181" s="4">
        <v>2614289.67</v>
      </c>
      <c r="M181" s="5">
        <v>98</v>
      </c>
      <c r="N181" s="5" t="s">
        <v>1499</v>
      </c>
      <c r="O181" s="13">
        <v>40034.083333333336</v>
      </c>
      <c r="P181" s="15" t="s">
        <v>1568</v>
      </c>
      <c r="Q181" s="4"/>
      <c r="R181" s="16" t="s">
        <v>135</v>
      </c>
      <c r="S181" s="16" t="s">
        <v>1569</v>
      </c>
      <c r="T181" s="5">
        <v>51.5</v>
      </c>
      <c r="U181" s="5">
        <v>695.1</v>
      </c>
      <c r="V181" s="16">
        <v>250</v>
      </c>
      <c r="W181" s="8">
        <f t="shared" si="4"/>
        <v>0</v>
      </c>
      <c r="Y181" s="8"/>
      <c r="Z181" s="8"/>
      <c r="AC181" s="8" t="str">
        <f>IF(COUNTIFS(作業區!$W$2:$W$2000, T181, 作業區!$X$2:$X$2000, U181)&gt;0, "已存在", "未擴充")</f>
        <v>已存在</v>
      </c>
    </row>
    <row r="182" spans="1:29" ht="33">
      <c r="A182" s="8">
        <f t="shared" si="5"/>
        <v>181</v>
      </c>
      <c r="B182" s="5" t="s">
        <v>920</v>
      </c>
      <c r="C182" s="5"/>
      <c r="D182" s="17" t="s">
        <v>1570</v>
      </c>
      <c r="E182" s="5" t="s">
        <v>785</v>
      </c>
      <c r="F182" s="5" t="s">
        <v>1213</v>
      </c>
      <c r="G182" s="5" t="s">
        <v>1571</v>
      </c>
      <c r="H182" s="5"/>
      <c r="I182" s="4">
        <v>236923</v>
      </c>
      <c r="J182" s="4">
        <v>2607262</v>
      </c>
      <c r="K182" s="4">
        <v>236094.054</v>
      </c>
      <c r="L182" s="4">
        <v>2607467.6430000002</v>
      </c>
      <c r="M182" s="5">
        <v>98</v>
      </c>
      <c r="N182" s="5" t="s">
        <v>1499</v>
      </c>
      <c r="O182" s="13">
        <v>40033.75</v>
      </c>
      <c r="P182" s="15" t="s">
        <v>1572</v>
      </c>
      <c r="Q182" s="4"/>
      <c r="R182" s="16" t="s">
        <v>147</v>
      </c>
      <c r="S182" s="16" t="s">
        <v>1573</v>
      </c>
      <c r="T182" s="5">
        <v>38.5</v>
      </c>
      <c r="U182" s="5">
        <v>677.5</v>
      </c>
      <c r="V182" s="16">
        <v>250</v>
      </c>
      <c r="W182" s="8">
        <f t="shared" si="4"/>
        <v>0</v>
      </c>
      <c r="Y182" s="8"/>
      <c r="Z182" s="8"/>
      <c r="AC182" s="8" t="str">
        <f>IF(COUNTIFS(作業區!$W$2:$W$2000, T182, 作業區!$X$2:$X$2000, U182)&gt;0, "已存在", "未擴充")</f>
        <v>已存在</v>
      </c>
    </row>
    <row r="183" spans="1:29" ht="66" hidden="1">
      <c r="A183" s="8">
        <f t="shared" si="5"/>
        <v>182</v>
      </c>
      <c r="B183" s="5" t="s">
        <v>920</v>
      </c>
      <c r="C183" s="5"/>
      <c r="D183" s="4" t="s">
        <v>1574</v>
      </c>
      <c r="E183" s="5" t="s">
        <v>785</v>
      </c>
      <c r="F183" s="5" t="s">
        <v>1213</v>
      </c>
      <c r="G183" s="5" t="s">
        <v>1571</v>
      </c>
      <c r="H183" s="5" t="s">
        <v>1575</v>
      </c>
      <c r="I183" s="4">
        <v>235152</v>
      </c>
      <c r="J183" s="4">
        <v>2602755</v>
      </c>
      <c r="K183" s="4">
        <v>234323.04800000001</v>
      </c>
      <c r="L183" s="4">
        <v>2602960.625</v>
      </c>
      <c r="M183" s="5">
        <v>98</v>
      </c>
      <c r="N183" s="5" t="s">
        <v>1499</v>
      </c>
      <c r="O183" s="13">
        <v>40033.625</v>
      </c>
      <c r="P183" s="15" t="s">
        <v>1576</v>
      </c>
      <c r="Q183" s="4"/>
      <c r="R183" s="16" t="s">
        <v>147</v>
      </c>
      <c r="S183" s="16" t="s">
        <v>1573</v>
      </c>
      <c r="T183" s="5">
        <v>34</v>
      </c>
      <c r="U183" s="5">
        <v>576.1</v>
      </c>
      <c r="V183" s="16">
        <v>250</v>
      </c>
      <c r="W183" s="8">
        <f t="shared" si="4"/>
        <v>0</v>
      </c>
      <c r="Y183" s="8"/>
      <c r="Z183" s="8"/>
      <c r="AC183" s="8" t="str">
        <f>IF(COUNTIFS(作業區!$W$2:$W$2000, T183, 作業區!$X$2:$X$2000, U183)&gt;0, "已存在", "未擴充")</f>
        <v>已存在</v>
      </c>
    </row>
    <row r="184" spans="1:29" ht="33" hidden="1">
      <c r="A184" s="8">
        <f t="shared" si="5"/>
        <v>183</v>
      </c>
      <c r="B184" s="5" t="s">
        <v>920</v>
      </c>
      <c r="C184" s="5"/>
      <c r="D184" s="4" t="s">
        <v>1577</v>
      </c>
      <c r="E184" s="5" t="s">
        <v>785</v>
      </c>
      <c r="F184" s="5" t="s">
        <v>1213</v>
      </c>
      <c r="G184" s="5" t="s">
        <v>1571</v>
      </c>
      <c r="H184" s="5" t="s">
        <v>1578</v>
      </c>
      <c r="I184" s="4">
        <v>236309</v>
      </c>
      <c r="J184" s="4">
        <v>2604535</v>
      </c>
      <c r="K184" s="4">
        <v>235480.052</v>
      </c>
      <c r="L184" s="4">
        <v>2604740.6320000002</v>
      </c>
      <c r="M184" s="5">
        <v>98</v>
      </c>
      <c r="N184" s="5" t="s">
        <v>1499</v>
      </c>
      <c r="O184" s="13">
        <v>40033.875</v>
      </c>
      <c r="P184" s="15" t="s">
        <v>1579</v>
      </c>
      <c r="Q184" s="4"/>
      <c r="R184" s="16" t="s">
        <v>147</v>
      </c>
      <c r="S184" s="16" t="s">
        <v>1573</v>
      </c>
      <c r="T184" s="5">
        <v>38</v>
      </c>
      <c r="U184" s="5">
        <v>786.9</v>
      </c>
      <c r="V184" s="16">
        <v>250</v>
      </c>
      <c r="W184" s="8">
        <f t="shared" si="4"/>
        <v>0</v>
      </c>
      <c r="Y184" s="8"/>
      <c r="Z184" s="8"/>
      <c r="AC184" s="8" t="str">
        <f>IF(COUNTIFS(作業區!$W$2:$W$2000, T184, 作業區!$X$2:$X$2000, U184)&gt;0, "已存在", "未擴充")</f>
        <v>已存在</v>
      </c>
    </row>
    <row r="185" spans="1:29" ht="66" hidden="1">
      <c r="A185" s="8">
        <f t="shared" si="5"/>
        <v>184</v>
      </c>
      <c r="B185" s="5" t="s">
        <v>920</v>
      </c>
      <c r="C185" s="5"/>
      <c r="D185" s="4" t="s">
        <v>1580</v>
      </c>
      <c r="E185" s="5" t="s">
        <v>869</v>
      </c>
      <c r="F185" s="5" t="s">
        <v>1581</v>
      </c>
      <c r="G185" s="5" t="s">
        <v>1582</v>
      </c>
      <c r="H185" s="2" t="s">
        <v>1583</v>
      </c>
      <c r="I185" s="4">
        <v>219261</v>
      </c>
      <c r="J185" s="4">
        <v>2610336</v>
      </c>
      <c r="K185" s="4">
        <v>218431.99600000001</v>
      </c>
      <c r="L185" s="4">
        <v>2610541.6570000001</v>
      </c>
      <c r="M185" s="5">
        <v>98</v>
      </c>
      <c r="N185" s="5" t="s">
        <v>1499</v>
      </c>
      <c r="O185" s="13">
        <v>40033.916666666664</v>
      </c>
      <c r="P185" s="15" t="s">
        <v>1584</v>
      </c>
      <c r="Q185" s="4"/>
      <c r="R185" s="16" t="s">
        <v>198</v>
      </c>
      <c r="S185" s="16" t="s">
        <v>1585</v>
      </c>
      <c r="T185" s="5">
        <v>33</v>
      </c>
      <c r="U185" s="5">
        <v>1051.0999999999999</v>
      </c>
      <c r="V185" s="16">
        <v>400</v>
      </c>
      <c r="W185" s="8">
        <f t="shared" si="4"/>
        <v>0</v>
      </c>
      <c r="Y185" s="8"/>
      <c r="Z185" s="8"/>
      <c r="AC185" s="8" t="str">
        <f>IF(COUNTIFS(作業區!$W$2:$W$2000, T185, 作業區!$X$2:$X$2000, U185)&gt;0, "已存在", "未擴充")</f>
        <v>已存在</v>
      </c>
    </row>
    <row r="186" spans="1:29" ht="33" hidden="1">
      <c r="A186" s="8">
        <f t="shared" si="5"/>
        <v>185</v>
      </c>
      <c r="B186" s="5" t="s">
        <v>920</v>
      </c>
      <c r="C186" s="5"/>
      <c r="D186" s="4" t="s">
        <v>1586</v>
      </c>
      <c r="E186" s="5" t="s">
        <v>1061</v>
      </c>
      <c r="F186" s="5" t="s">
        <v>1587</v>
      </c>
      <c r="G186" s="5" t="s">
        <v>1588</v>
      </c>
      <c r="H186" s="5" t="s">
        <v>1589</v>
      </c>
      <c r="I186" s="4">
        <v>217230</v>
      </c>
      <c r="J186" s="4">
        <v>2603946</v>
      </c>
      <c r="K186" s="4">
        <v>216400.98800000001</v>
      </c>
      <c r="L186" s="4">
        <v>2604151.6320000002</v>
      </c>
      <c r="M186" s="5">
        <v>98</v>
      </c>
      <c r="N186" s="5" t="s">
        <v>1499</v>
      </c>
      <c r="O186" s="13">
        <v>40033.916666666664</v>
      </c>
      <c r="P186" s="15" t="s">
        <v>1590</v>
      </c>
      <c r="Q186" s="4"/>
      <c r="R186" s="16" t="s">
        <v>211</v>
      </c>
      <c r="S186" s="16" t="s">
        <v>1591</v>
      </c>
      <c r="T186" s="5">
        <v>38</v>
      </c>
      <c r="U186" s="5">
        <v>923.4</v>
      </c>
      <c r="V186" s="16">
        <v>400</v>
      </c>
      <c r="W186" s="8">
        <f t="shared" si="4"/>
        <v>0</v>
      </c>
      <c r="Y186" s="8"/>
      <c r="Z186" s="8"/>
      <c r="AC186" s="8" t="str">
        <f>IF(COUNTIFS(作業區!$W$2:$W$2000, T186, 作業區!$X$2:$X$2000, U186)&gt;0, "已存在", "未擴充")</f>
        <v>已存在</v>
      </c>
    </row>
    <row r="187" spans="1:29" ht="66" hidden="1">
      <c r="A187" s="8">
        <f t="shared" si="5"/>
        <v>186</v>
      </c>
      <c r="B187" s="5" t="s">
        <v>920</v>
      </c>
      <c r="C187" s="5"/>
      <c r="D187" s="4" t="s">
        <v>1592</v>
      </c>
      <c r="E187" s="5" t="s">
        <v>1061</v>
      </c>
      <c r="F187" s="5" t="s">
        <v>1587</v>
      </c>
      <c r="G187" s="5" t="s">
        <v>1593</v>
      </c>
      <c r="H187" s="5" t="s">
        <v>1594</v>
      </c>
      <c r="I187" s="4">
        <v>221915</v>
      </c>
      <c r="J187" s="4">
        <v>2603490</v>
      </c>
      <c r="K187" s="4">
        <v>221086.00399999999</v>
      </c>
      <c r="L187" s="4">
        <v>2603695.63</v>
      </c>
      <c r="M187" s="5">
        <v>98</v>
      </c>
      <c r="N187" s="5" t="s">
        <v>1499</v>
      </c>
      <c r="O187" s="13">
        <v>40033.833333333336</v>
      </c>
      <c r="P187" s="15" t="s">
        <v>1595</v>
      </c>
      <c r="Q187" s="4"/>
      <c r="R187" s="16" t="s">
        <v>1596</v>
      </c>
      <c r="S187" s="16" t="s">
        <v>1591</v>
      </c>
      <c r="T187" s="5">
        <v>44</v>
      </c>
      <c r="U187" s="5">
        <v>855.9</v>
      </c>
      <c r="V187" s="16">
        <v>400</v>
      </c>
      <c r="W187" s="8">
        <f t="shared" si="4"/>
        <v>0</v>
      </c>
      <c r="Y187" s="8"/>
      <c r="Z187" s="8"/>
      <c r="AC187" s="8" t="str">
        <f>IF(COUNTIFS(作業區!$W$2:$W$2000, T187, 作業區!$X$2:$X$2000, U187)&gt;0, "已存在", "未擴充")</f>
        <v>已存在</v>
      </c>
    </row>
    <row r="188" spans="1:29" ht="66" hidden="1">
      <c r="A188" s="8">
        <f t="shared" si="5"/>
        <v>187</v>
      </c>
      <c r="B188" s="5" t="s">
        <v>920</v>
      </c>
      <c r="C188" s="5"/>
      <c r="D188" s="4" t="s">
        <v>1597</v>
      </c>
      <c r="E188" s="5" t="s">
        <v>1061</v>
      </c>
      <c r="F188" s="5" t="s">
        <v>1587</v>
      </c>
      <c r="G188" s="5" t="s">
        <v>1593</v>
      </c>
      <c r="H188" s="5" t="s">
        <v>1598</v>
      </c>
      <c r="I188" s="4">
        <v>221981</v>
      </c>
      <c r="J188" s="4">
        <v>2605881</v>
      </c>
      <c r="K188" s="4">
        <v>221152.00399999999</v>
      </c>
      <c r="L188" s="4">
        <v>2606086.639</v>
      </c>
      <c r="M188" s="5">
        <v>98</v>
      </c>
      <c r="N188" s="5" t="s">
        <v>1499</v>
      </c>
      <c r="O188" s="13">
        <v>40033.875</v>
      </c>
      <c r="P188" s="15" t="s">
        <v>1599</v>
      </c>
      <c r="Q188" s="4"/>
      <c r="R188" s="16" t="s">
        <v>1596</v>
      </c>
      <c r="S188" s="16" t="s">
        <v>1591</v>
      </c>
      <c r="T188" s="5">
        <v>37</v>
      </c>
      <c r="U188" s="5">
        <v>887.9</v>
      </c>
      <c r="V188" s="16">
        <v>400</v>
      </c>
      <c r="W188" s="8">
        <f t="shared" si="4"/>
        <v>0</v>
      </c>
      <c r="Y188" s="8"/>
      <c r="Z188" s="8"/>
      <c r="AC188" s="8" t="str">
        <f>IF(COUNTIFS(作業區!$W$2:$W$2000, T188, 作業區!$X$2:$X$2000, U188)&gt;0, "已存在", "未擴充")</f>
        <v>已存在</v>
      </c>
    </row>
    <row r="189" spans="1:29" ht="66" hidden="1">
      <c r="A189" s="8">
        <f t="shared" si="5"/>
        <v>188</v>
      </c>
      <c r="B189" s="5" t="s">
        <v>920</v>
      </c>
      <c r="C189" s="5"/>
      <c r="D189" s="4" t="s">
        <v>1597</v>
      </c>
      <c r="E189" s="5" t="s">
        <v>1061</v>
      </c>
      <c r="F189" s="5" t="s">
        <v>1587</v>
      </c>
      <c r="G189" s="5" t="s">
        <v>1593</v>
      </c>
      <c r="H189" s="5" t="s">
        <v>1600</v>
      </c>
      <c r="I189" s="4">
        <v>221981</v>
      </c>
      <c r="J189" s="4">
        <v>2605881</v>
      </c>
      <c r="K189" s="4">
        <v>221152.00399999999</v>
      </c>
      <c r="L189" s="4">
        <v>2606086.639</v>
      </c>
      <c r="M189" s="5">
        <v>98</v>
      </c>
      <c r="N189" s="5" t="s">
        <v>1499</v>
      </c>
      <c r="O189" s="13">
        <v>40033.875</v>
      </c>
      <c r="P189" s="15" t="s">
        <v>1599</v>
      </c>
      <c r="Q189" s="4"/>
      <c r="R189" s="16" t="s">
        <v>1596</v>
      </c>
      <c r="S189" s="16" t="s">
        <v>1591</v>
      </c>
      <c r="T189" s="5">
        <v>37</v>
      </c>
      <c r="U189" s="5">
        <v>887.9</v>
      </c>
      <c r="V189" s="16">
        <v>400</v>
      </c>
      <c r="W189" s="8">
        <f t="shared" si="4"/>
        <v>0</v>
      </c>
      <c r="Y189" s="8"/>
      <c r="Z189" s="8"/>
      <c r="AC189" s="8" t="str">
        <f>IF(COUNTIFS(作業區!$W$2:$W$2000, T189, 作業區!$X$2:$X$2000, U189)&gt;0, "已存在", "未擴充")</f>
        <v>已存在</v>
      </c>
    </row>
    <row r="190" spans="1:29" ht="49.5" hidden="1">
      <c r="A190" s="8">
        <f t="shared" si="5"/>
        <v>189</v>
      </c>
      <c r="B190" s="5" t="s">
        <v>920</v>
      </c>
      <c r="C190" s="5"/>
      <c r="D190" s="4" t="s">
        <v>1601</v>
      </c>
      <c r="E190" s="5" t="s">
        <v>1061</v>
      </c>
      <c r="F190" s="5" t="s">
        <v>1587</v>
      </c>
      <c r="G190" s="5" t="s">
        <v>1593</v>
      </c>
      <c r="H190" s="5" t="s">
        <v>1602</v>
      </c>
      <c r="I190" s="4">
        <v>221733</v>
      </c>
      <c r="J190" s="4">
        <v>2607119</v>
      </c>
      <c r="K190" s="4">
        <v>220904.00399999999</v>
      </c>
      <c r="L190" s="4">
        <v>2607324.6439999999</v>
      </c>
      <c r="M190" s="5">
        <v>98</v>
      </c>
      <c r="N190" s="5" t="s">
        <v>1499</v>
      </c>
      <c r="O190" s="13">
        <v>40033.833333333336</v>
      </c>
      <c r="P190" s="15" t="s">
        <v>1603</v>
      </c>
      <c r="Q190" s="4"/>
      <c r="R190" s="16" t="s">
        <v>211</v>
      </c>
      <c r="S190" s="16" t="s">
        <v>1591</v>
      </c>
      <c r="T190" s="5">
        <v>44</v>
      </c>
      <c r="U190" s="5">
        <v>855.9</v>
      </c>
      <c r="V190" s="16">
        <v>400</v>
      </c>
      <c r="W190" s="8">
        <f t="shared" si="4"/>
        <v>0</v>
      </c>
      <c r="Y190" s="8"/>
      <c r="Z190" s="8"/>
      <c r="AC190" s="8" t="str">
        <f>IF(COUNTIFS(作業區!$W$2:$W$2000, T190, 作業區!$X$2:$X$2000, U190)&gt;0, "已存在", "未擴充")</f>
        <v>已存在</v>
      </c>
    </row>
    <row r="191" spans="1:29" ht="49.5" hidden="1">
      <c r="A191" s="8">
        <f t="shared" si="5"/>
        <v>190</v>
      </c>
      <c r="B191" s="5" t="s">
        <v>920</v>
      </c>
      <c r="C191" s="5"/>
      <c r="D191" s="4" t="s">
        <v>1604</v>
      </c>
      <c r="E191" s="5" t="s">
        <v>1061</v>
      </c>
      <c r="F191" s="5" t="s">
        <v>1605</v>
      </c>
      <c r="G191" s="5" t="s">
        <v>1606</v>
      </c>
      <c r="H191" s="5" t="s">
        <v>1607</v>
      </c>
      <c r="I191" s="4">
        <v>211034</v>
      </c>
      <c r="J191" s="4">
        <v>2569398</v>
      </c>
      <c r="K191" s="4">
        <v>210204.96</v>
      </c>
      <c r="L191" s="4">
        <v>2569603.4929999998</v>
      </c>
      <c r="M191" s="5">
        <v>98</v>
      </c>
      <c r="N191" s="5" t="s">
        <v>1499</v>
      </c>
      <c r="O191" s="13">
        <v>40033.125</v>
      </c>
      <c r="P191" s="15" t="s">
        <v>1608</v>
      </c>
      <c r="Q191" s="4"/>
      <c r="R191" s="16" t="s">
        <v>502</v>
      </c>
      <c r="S191" s="16" t="s">
        <v>1609</v>
      </c>
      <c r="T191" s="5">
        <v>33</v>
      </c>
      <c r="U191" s="5">
        <v>701.3</v>
      </c>
      <c r="V191" s="16" t="s">
        <v>975</v>
      </c>
      <c r="W191" s="8">
        <f t="shared" si="4"/>
        <v>0</v>
      </c>
      <c r="Y191" s="8"/>
      <c r="Z191" s="8"/>
      <c r="AC191" s="8" t="str">
        <f>IF(COUNTIFS(作業區!$W$2:$W$2000, T191, 作業區!$X$2:$X$2000, U191)&gt;0, "已存在", "未擴充")</f>
        <v>已存在</v>
      </c>
    </row>
    <row r="192" spans="1:29" ht="49.5" hidden="1">
      <c r="A192" s="8">
        <f t="shared" si="5"/>
        <v>191</v>
      </c>
      <c r="B192" s="5" t="s">
        <v>920</v>
      </c>
      <c r="C192" s="5"/>
      <c r="D192" s="4" t="s">
        <v>1610</v>
      </c>
      <c r="E192" s="5" t="s">
        <v>1061</v>
      </c>
      <c r="F192" s="5" t="s">
        <v>1556</v>
      </c>
      <c r="G192" s="5" t="s">
        <v>1557</v>
      </c>
      <c r="H192" s="5" t="s">
        <v>1611</v>
      </c>
      <c r="I192" s="4">
        <v>222815</v>
      </c>
      <c r="J192" s="4">
        <v>2603039</v>
      </c>
      <c r="K192" s="4">
        <v>221986.00700000001</v>
      </c>
      <c r="L192" s="4">
        <v>2603244.628</v>
      </c>
      <c r="M192" s="5">
        <v>98</v>
      </c>
      <c r="N192" s="5" t="s">
        <v>1499</v>
      </c>
      <c r="O192" s="13">
        <v>40034.125</v>
      </c>
      <c r="P192" s="15" t="s">
        <v>1612</v>
      </c>
      <c r="Q192" s="4"/>
      <c r="R192" s="16" t="s">
        <v>1613</v>
      </c>
      <c r="S192" s="16" t="s">
        <v>1559</v>
      </c>
      <c r="T192" s="5">
        <v>52</v>
      </c>
      <c r="U192" s="5">
        <v>1283.7</v>
      </c>
      <c r="V192" s="16">
        <v>300</v>
      </c>
      <c r="W192" s="8">
        <f t="shared" si="4"/>
        <v>0</v>
      </c>
      <c r="Y192" s="8"/>
      <c r="Z192" s="8"/>
      <c r="AC192" s="8" t="str">
        <f>IF(COUNTIFS(作業區!$W$2:$W$2000, T192, 作業區!$X$2:$X$2000, U192)&gt;0, "已存在", "未擴充")</f>
        <v>已存在</v>
      </c>
    </row>
    <row r="193" spans="1:29" ht="49.5" hidden="1">
      <c r="A193" s="8">
        <f t="shared" si="5"/>
        <v>192</v>
      </c>
      <c r="B193" s="5" t="s">
        <v>920</v>
      </c>
      <c r="C193" s="5"/>
      <c r="D193" s="4" t="s">
        <v>1614</v>
      </c>
      <c r="E193" s="5" t="s">
        <v>1061</v>
      </c>
      <c r="F193" s="5" t="s">
        <v>1556</v>
      </c>
      <c r="G193" s="2" t="s">
        <v>1615</v>
      </c>
      <c r="H193" s="5" t="s">
        <v>1616</v>
      </c>
      <c r="I193" s="4">
        <v>216196</v>
      </c>
      <c r="J193" s="4">
        <v>2586733</v>
      </c>
      <c r="K193" s="4">
        <v>215366.98199999999</v>
      </c>
      <c r="L193" s="4">
        <v>2586938.5630000001</v>
      </c>
      <c r="M193" s="5">
        <v>98</v>
      </c>
      <c r="N193" s="5" t="s">
        <v>1499</v>
      </c>
      <c r="O193" s="13">
        <v>40033.083333333336</v>
      </c>
      <c r="P193" s="15" t="s">
        <v>1617</v>
      </c>
      <c r="Q193" s="4"/>
      <c r="R193" s="16" t="s">
        <v>520</v>
      </c>
      <c r="S193" s="16" t="s">
        <v>1618</v>
      </c>
      <c r="T193" s="5">
        <v>36</v>
      </c>
      <c r="U193" s="5">
        <v>589.79999999999995</v>
      </c>
      <c r="V193" s="16">
        <v>300</v>
      </c>
      <c r="W193" s="8">
        <f t="shared" si="4"/>
        <v>0</v>
      </c>
      <c r="Y193" s="8"/>
      <c r="Z193" s="8"/>
      <c r="AC193" s="8" t="str">
        <f>IF(COUNTIFS(作業區!$W$2:$W$2000, T193, 作業區!$X$2:$X$2000, U193)&gt;0, "已存在", "未擴充")</f>
        <v>已存在</v>
      </c>
    </row>
    <row r="194" spans="1:29" ht="33" hidden="1">
      <c r="A194" s="8">
        <f t="shared" si="5"/>
        <v>193</v>
      </c>
      <c r="B194" s="5" t="s">
        <v>920</v>
      </c>
      <c r="C194" s="5"/>
      <c r="D194" s="4" t="s">
        <v>1619</v>
      </c>
      <c r="E194" s="5" t="s">
        <v>1061</v>
      </c>
      <c r="F194" s="5" t="s">
        <v>1556</v>
      </c>
      <c r="G194" s="2" t="s">
        <v>1620</v>
      </c>
      <c r="H194" s="5" t="s">
        <v>1621</v>
      </c>
      <c r="I194" s="4">
        <v>216297</v>
      </c>
      <c r="J194" s="4">
        <v>2578851</v>
      </c>
      <c r="K194" s="4">
        <v>215467.981</v>
      </c>
      <c r="L194" s="4">
        <v>2579056.531</v>
      </c>
      <c r="M194" s="5">
        <v>98</v>
      </c>
      <c r="N194" s="5" t="s">
        <v>1499</v>
      </c>
      <c r="O194" s="13">
        <v>40033.708333333336</v>
      </c>
      <c r="P194" s="15" t="s">
        <v>1622</v>
      </c>
      <c r="Q194" s="4"/>
      <c r="R194" s="16" t="s">
        <v>520</v>
      </c>
      <c r="S194" s="16" t="s">
        <v>1618</v>
      </c>
      <c r="T194" s="5">
        <v>59.5</v>
      </c>
      <c r="U194" s="5">
        <v>1062.3</v>
      </c>
      <c r="V194" s="16" t="s">
        <v>857</v>
      </c>
      <c r="W194" s="8">
        <f t="shared" ref="W194:W257" si="6">IF(IF(ISERROR(SEARCH("-",P194))=TRUE,0,1)=1,IF(H194&lt;&gt;"",0,1),0)</f>
        <v>0</v>
      </c>
      <c r="Y194" s="8"/>
      <c r="Z194" s="8"/>
      <c r="AC194" s="8" t="str">
        <f>IF(COUNTIFS(作業區!$W$2:$W$2000, T194, 作業區!$X$2:$X$2000, U194)&gt;0, "已存在", "未擴充")</f>
        <v>已存在</v>
      </c>
    </row>
    <row r="195" spans="1:29" ht="33" hidden="1">
      <c r="A195" s="8">
        <f t="shared" si="5"/>
        <v>194</v>
      </c>
      <c r="B195" s="5" t="s">
        <v>920</v>
      </c>
      <c r="C195" s="5"/>
      <c r="D195" s="4" t="s">
        <v>1623</v>
      </c>
      <c r="E195" s="5" t="s">
        <v>802</v>
      </c>
      <c r="F195" s="5" t="s">
        <v>1043</v>
      </c>
      <c r="G195" s="5" t="s">
        <v>1044</v>
      </c>
      <c r="H195" s="5" t="s">
        <v>1624</v>
      </c>
      <c r="I195" s="4">
        <v>210209</v>
      </c>
      <c r="J195" s="4">
        <v>2552665</v>
      </c>
      <c r="K195" s="4">
        <v>209379.954</v>
      </c>
      <c r="L195" s="4">
        <v>2552870.4240000001</v>
      </c>
      <c r="M195" s="5">
        <v>98</v>
      </c>
      <c r="N195" s="5" t="s">
        <v>1499</v>
      </c>
      <c r="O195" s="13">
        <v>40033.875</v>
      </c>
      <c r="P195" s="15" t="s">
        <v>1625</v>
      </c>
      <c r="Q195" s="4"/>
      <c r="R195" s="16" t="s">
        <v>559</v>
      </c>
      <c r="S195" s="16" t="s">
        <v>1048</v>
      </c>
      <c r="T195" s="5">
        <v>67.5</v>
      </c>
      <c r="U195" s="5">
        <v>1395.51</v>
      </c>
      <c r="V195" s="16">
        <v>450</v>
      </c>
      <c r="W195" s="8">
        <f t="shared" si="6"/>
        <v>0</v>
      </c>
      <c r="Y195" s="8"/>
      <c r="Z195" s="8"/>
      <c r="AC195" s="8" t="str">
        <f>IF(COUNTIFS(作業區!$W$2:$W$2000, T195, 作業區!$X$2:$X$2000, U195)&gt;0, "已存在", "未擴充")</f>
        <v>已存在</v>
      </c>
    </row>
    <row r="196" spans="1:29" ht="82.5" hidden="1">
      <c r="A196" s="8">
        <f t="shared" si="5"/>
        <v>195</v>
      </c>
      <c r="B196" s="5" t="s">
        <v>920</v>
      </c>
      <c r="C196" s="5"/>
      <c r="D196" s="4" t="s">
        <v>1626</v>
      </c>
      <c r="E196" s="5" t="s">
        <v>802</v>
      </c>
      <c r="F196" s="5" t="s">
        <v>803</v>
      </c>
      <c r="G196" s="5" t="s">
        <v>1050</v>
      </c>
      <c r="H196" s="5" t="s">
        <v>1274</v>
      </c>
      <c r="I196" s="4">
        <v>217520</v>
      </c>
      <c r="J196" s="4">
        <v>2555428</v>
      </c>
      <c r="K196" s="4">
        <v>216690.981</v>
      </c>
      <c r="L196" s="4">
        <v>2555633.4339999999</v>
      </c>
      <c r="M196" s="5">
        <v>98</v>
      </c>
      <c r="N196" s="5" t="s">
        <v>1499</v>
      </c>
      <c r="O196" s="13">
        <v>40032.875</v>
      </c>
      <c r="P196" s="15" t="s">
        <v>1627</v>
      </c>
      <c r="Q196" s="4"/>
      <c r="R196" s="16" t="s">
        <v>225</v>
      </c>
      <c r="S196" s="16" t="s">
        <v>1224</v>
      </c>
      <c r="T196" s="5">
        <v>18.5</v>
      </c>
      <c r="U196" s="5">
        <v>308.89999999999998</v>
      </c>
      <c r="V196" s="16">
        <v>400</v>
      </c>
      <c r="W196" s="8">
        <f t="shared" si="6"/>
        <v>0</v>
      </c>
      <c r="Y196" s="8"/>
      <c r="Z196" s="8"/>
      <c r="AC196" s="8" t="str">
        <f>IF(COUNTIFS(作業區!$W$2:$W$2000, T196, 作業區!$X$2:$X$2000, U196)&gt;0, "已存在", "未擴充")</f>
        <v>已存在</v>
      </c>
    </row>
    <row r="197" spans="1:29" ht="49.5" hidden="1">
      <c r="A197" s="8">
        <f t="shared" si="5"/>
        <v>196</v>
      </c>
      <c r="B197" s="5" t="s">
        <v>920</v>
      </c>
      <c r="C197" s="5"/>
      <c r="D197" s="4" t="s">
        <v>1628</v>
      </c>
      <c r="E197" s="5" t="s">
        <v>802</v>
      </c>
      <c r="F197" s="5" t="s">
        <v>1220</v>
      </c>
      <c r="G197" s="5" t="s">
        <v>1629</v>
      </c>
      <c r="H197" s="5" t="s">
        <v>1630</v>
      </c>
      <c r="I197" s="4">
        <v>231588</v>
      </c>
      <c r="J197" s="4">
        <v>2572274</v>
      </c>
      <c r="K197" s="4">
        <v>230759.033</v>
      </c>
      <c r="L197" s="4">
        <v>2572479.5019999999</v>
      </c>
      <c r="M197" s="5">
        <v>98</v>
      </c>
      <c r="N197" s="5" t="s">
        <v>1499</v>
      </c>
      <c r="O197" s="13">
        <v>40033.666666666664</v>
      </c>
      <c r="P197" s="15" t="s">
        <v>1631</v>
      </c>
      <c r="Q197" s="4"/>
      <c r="R197" s="16" t="s">
        <v>595</v>
      </c>
      <c r="S197" s="16" t="s">
        <v>1554</v>
      </c>
      <c r="T197" s="5">
        <v>74</v>
      </c>
      <c r="U197" s="5">
        <v>647.4</v>
      </c>
      <c r="V197" s="16">
        <v>450</v>
      </c>
      <c r="W197" s="8">
        <f t="shared" si="6"/>
        <v>0</v>
      </c>
      <c r="Y197" s="8"/>
      <c r="AC197" s="8" t="str">
        <f>IF(COUNTIFS(作業區!$W$2:$W$2000, T197, 作業區!$X$2:$X$2000, U197)&gt;0, "已存在", "未擴充")</f>
        <v>已存在</v>
      </c>
    </row>
    <row r="198" spans="1:29" ht="49.5" hidden="1">
      <c r="A198" s="8">
        <f t="shared" si="5"/>
        <v>197</v>
      </c>
      <c r="B198" s="2" t="s">
        <v>1632</v>
      </c>
      <c r="C198" s="2"/>
      <c r="D198" s="4" t="s">
        <v>1633</v>
      </c>
      <c r="E198" s="5" t="s">
        <v>802</v>
      </c>
      <c r="F198" s="5" t="s">
        <v>803</v>
      </c>
      <c r="G198" s="5" t="s">
        <v>808</v>
      </c>
      <c r="H198" s="5" t="s">
        <v>809</v>
      </c>
      <c r="I198" s="4">
        <v>218120</v>
      </c>
      <c r="J198" s="4">
        <v>2552950</v>
      </c>
      <c r="K198" s="4">
        <v>217290.98199999999</v>
      </c>
      <c r="L198" s="4">
        <v>2553155.423</v>
      </c>
      <c r="M198" s="5">
        <v>98</v>
      </c>
      <c r="N198" s="5" t="s">
        <v>1499</v>
      </c>
      <c r="O198" s="13">
        <v>40033.833333333336</v>
      </c>
      <c r="P198" s="15" t="s">
        <v>1634</v>
      </c>
      <c r="Q198" s="4"/>
      <c r="R198" s="16" t="s">
        <v>225</v>
      </c>
      <c r="S198" s="16" t="s">
        <v>1224</v>
      </c>
      <c r="T198" s="5">
        <v>56</v>
      </c>
      <c r="U198" s="5">
        <v>1271.5999999999999</v>
      </c>
      <c r="V198" s="16">
        <v>400</v>
      </c>
      <c r="W198" s="8">
        <f t="shared" si="6"/>
        <v>0</v>
      </c>
      <c r="Y198" s="8"/>
      <c r="Z198" s="8"/>
      <c r="AC198" s="8" t="str">
        <f>IF(COUNTIFS(作業區!$W$2:$W$2000, T198, 作業區!$X$2:$X$2000, U198)&gt;0, "已存在", "未擴充")</f>
        <v>已存在</v>
      </c>
    </row>
    <row r="199" spans="1:29" ht="49.5" hidden="1">
      <c r="A199" s="8">
        <f t="shared" ref="A199:A262" si="7">ROW(A199)-1</f>
        <v>198</v>
      </c>
      <c r="B199" s="5" t="s">
        <v>1248</v>
      </c>
      <c r="C199" s="5"/>
      <c r="D199" s="4" t="s">
        <v>1635</v>
      </c>
      <c r="E199" s="5" t="s">
        <v>785</v>
      </c>
      <c r="F199" s="5" t="s">
        <v>1213</v>
      </c>
      <c r="G199" s="5" t="s">
        <v>1636</v>
      </c>
      <c r="H199" s="5" t="s">
        <v>1637</v>
      </c>
      <c r="I199" s="4">
        <v>236875</v>
      </c>
      <c r="J199" s="4">
        <v>2607220</v>
      </c>
      <c r="K199" s="4">
        <v>236046.054</v>
      </c>
      <c r="L199" s="4">
        <v>2607425.6430000002</v>
      </c>
      <c r="M199" s="5">
        <v>98</v>
      </c>
      <c r="N199" s="5" t="s">
        <v>1499</v>
      </c>
      <c r="O199" s="13">
        <v>40034.083333333336</v>
      </c>
      <c r="P199" s="15" t="s">
        <v>1638</v>
      </c>
      <c r="Q199" s="4"/>
      <c r="R199" s="16" t="s">
        <v>147</v>
      </c>
      <c r="S199" s="16" t="s">
        <v>1573</v>
      </c>
      <c r="T199" s="5">
        <v>89</v>
      </c>
      <c r="U199" s="5">
        <v>1087.9000000000001</v>
      </c>
      <c r="V199" s="16">
        <v>250</v>
      </c>
      <c r="W199" s="8">
        <f t="shared" si="6"/>
        <v>0</v>
      </c>
      <c r="Y199" s="8"/>
      <c r="Z199" s="8"/>
      <c r="AC199" s="8" t="str">
        <f>IF(COUNTIFS(作業區!$W$2:$W$2000, T199, 作業區!$X$2:$X$2000, U199)&gt;0, "已存在", "未擴充")</f>
        <v>已存在</v>
      </c>
    </row>
    <row r="200" spans="1:29" ht="49.5" hidden="1">
      <c r="A200" s="8">
        <f t="shared" si="7"/>
        <v>199</v>
      </c>
      <c r="B200" s="2" t="s">
        <v>1248</v>
      </c>
      <c r="C200" s="2"/>
      <c r="D200" s="4" t="s">
        <v>1639</v>
      </c>
      <c r="E200" s="5" t="s">
        <v>802</v>
      </c>
      <c r="F200" s="5" t="s">
        <v>803</v>
      </c>
      <c r="G200" s="5" t="s">
        <v>806</v>
      </c>
      <c r="H200" s="19" t="s">
        <v>1237</v>
      </c>
      <c r="I200" s="4">
        <v>214000</v>
      </c>
      <c r="J200" s="4">
        <v>2542255</v>
      </c>
      <c r="K200" s="4">
        <v>213170.965</v>
      </c>
      <c r="L200" s="4">
        <v>2542460.3790000002</v>
      </c>
      <c r="M200" s="5">
        <v>98</v>
      </c>
      <c r="N200" s="5" t="s">
        <v>1499</v>
      </c>
      <c r="O200" s="13">
        <v>40033.833333333336</v>
      </c>
      <c r="P200" s="15" t="s">
        <v>1640</v>
      </c>
      <c r="Q200" s="4"/>
      <c r="R200" s="16" t="s">
        <v>225</v>
      </c>
      <c r="S200" s="16" t="s">
        <v>1224</v>
      </c>
      <c r="T200" s="5">
        <v>56</v>
      </c>
      <c r="U200" s="5">
        <v>1271.5999999999999</v>
      </c>
      <c r="V200" s="16">
        <v>400</v>
      </c>
      <c r="W200" s="8">
        <f t="shared" si="6"/>
        <v>0</v>
      </c>
      <c r="Y200" s="8"/>
      <c r="Z200" s="8"/>
      <c r="AC200" s="8" t="str">
        <f>IF(COUNTIFS(作業區!$W$2:$W$2000, T200, 作業區!$X$2:$X$2000, U200)&gt;0, "已存在", "未擴充")</f>
        <v>已存在</v>
      </c>
    </row>
    <row r="201" spans="1:29" ht="33">
      <c r="A201" s="8">
        <f t="shared" si="7"/>
        <v>200</v>
      </c>
      <c r="B201" s="2" t="s">
        <v>1641</v>
      </c>
      <c r="C201" s="2"/>
      <c r="D201" s="4" t="s">
        <v>1642</v>
      </c>
      <c r="E201" s="5" t="s">
        <v>1061</v>
      </c>
      <c r="F201" s="5" t="s">
        <v>1556</v>
      </c>
      <c r="G201" s="5" t="s">
        <v>1643</v>
      </c>
      <c r="H201" s="5"/>
      <c r="I201" s="4">
        <v>221514</v>
      </c>
      <c r="J201" s="4">
        <v>2588790</v>
      </c>
      <c r="K201" s="4">
        <v>220685</v>
      </c>
      <c r="L201" s="4">
        <v>2588995.571</v>
      </c>
      <c r="M201" s="5">
        <v>98</v>
      </c>
      <c r="N201" s="5" t="s">
        <v>1499</v>
      </c>
      <c r="O201" s="13">
        <v>40034.041666666664</v>
      </c>
      <c r="P201" s="15" t="s">
        <v>1644</v>
      </c>
      <c r="Q201" s="4"/>
      <c r="R201" s="16" t="s">
        <v>520</v>
      </c>
      <c r="S201" s="16" t="s">
        <v>1618</v>
      </c>
      <c r="T201" s="5">
        <v>71.5</v>
      </c>
      <c r="U201" s="5">
        <v>1484.5</v>
      </c>
      <c r="V201" s="16">
        <v>300</v>
      </c>
      <c r="W201" s="8">
        <f t="shared" si="6"/>
        <v>0</v>
      </c>
      <c r="Y201" s="8"/>
      <c r="Z201" s="8"/>
      <c r="AC201" s="8" t="str">
        <f>IF(COUNTIFS(作業區!$W$2:$W$2000, T201, 作業區!$X$2:$X$2000, U201)&gt;0, "已存在", "未擴充")</f>
        <v>已存在</v>
      </c>
    </row>
    <row r="202" spans="1:29" ht="49.5" hidden="1">
      <c r="A202" s="8">
        <f t="shared" si="7"/>
        <v>201</v>
      </c>
      <c r="B202" s="5" t="s">
        <v>1248</v>
      </c>
      <c r="C202" s="5"/>
      <c r="D202" s="4" t="s">
        <v>1645</v>
      </c>
      <c r="E202" s="5" t="s">
        <v>802</v>
      </c>
      <c r="F202" s="5" t="s">
        <v>1043</v>
      </c>
      <c r="G202" s="5" t="s">
        <v>1250</v>
      </c>
      <c r="H202" s="5" t="s">
        <v>1646</v>
      </c>
      <c r="I202" s="4">
        <v>209757</v>
      </c>
      <c r="J202" s="4">
        <v>2556474</v>
      </c>
      <c r="K202" s="4">
        <v>208927.95300000001</v>
      </c>
      <c r="L202" s="4">
        <v>2556679.44</v>
      </c>
      <c r="M202" s="5">
        <v>98</v>
      </c>
      <c r="N202" s="5" t="s">
        <v>1499</v>
      </c>
      <c r="O202" s="13">
        <v>40033.833333333336</v>
      </c>
      <c r="P202" s="15" t="s">
        <v>1647</v>
      </c>
      <c r="Q202" s="4"/>
      <c r="R202" s="16" t="s">
        <v>559</v>
      </c>
      <c r="S202" s="16" t="s">
        <v>1048</v>
      </c>
      <c r="T202" s="5">
        <v>42.5</v>
      </c>
      <c r="U202" s="5">
        <v>1328</v>
      </c>
      <c r="V202" s="16">
        <v>450</v>
      </c>
      <c r="W202" s="8">
        <f t="shared" si="6"/>
        <v>0</v>
      </c>
      <c r="Y202" s="8"/>
      <c r="Z202" s="8"/>
      <c r="AC202" s="8" t="str">
        <f>IF(COUNTIFS(作業區!$W$2:$W$2000, T202, 作業區!$X$2:$X$2000, U202)&gt;0, "已存在", "未擴充")</f>
        <v>已存在</v>
      </c>
    </row>
    <row r="203" spans="1:29" hidden="1">
      <c r="A203" s="8">
        <f t="shared" si="7"/>
        <v>202</v>
      </c>
      <c r="B203" s="2" t="s">
        <v>1257</v>
      </c>
      <c r="C203" s="2"/>
      <c r="D203" s="4" t="s">
        <v>1648</v>
      </c>
      <c r="E203" s="5" t="s">
        <v>802</v>
      </c>
      <c r="F203" s="5" t="s">
        <v>1302</v>
      </c>
      <c r="G203" s="5" t="s">
        <v>1649</v>
      </c>
      <c r="H203" s="5" t="s">
        <v>1650</v>
      </c>
      <c r="I203" s="4">
        <v>218648</v>
      </c>
      <c r="J203" s="4">
        <v>2568618</v>
      </c>
      <c r="K203" s="4">
        <v>217818.98699999999</v>
      </c>
      <c r="L203" s="4">
        <v>2568823.4890000001</v>
      </c>
      <c r="M203" s="5">
        <v>98</v>
      </c>
      <c r="N203" s="5" t="s">
        <v>1499</v>
      </c>
      <c r="O203" s="13">
        <v>40034.708333333336</v>
      </c>
      <c r="P203" s="15" t="s">
        <v>1651</v>
      </c>
      <c r="Q203" s="4"/>
      <c r="R203" s="16" t="s">
        <v>579</v>
      </c>
      <c r="S203" s="16" t="s">
        <v>1532</v>
      </c>
      <c r="T203" s="5">
        <v>9.5</v>
      </c>
      <c r="U203" s="5">
        <v>1409.9</v>
      </c>
      <c r="V203" s="16">
        <v>500</v>
      </c>
      <c r="W203" s="8">
        <f t="shared" si="6"/>
        <v>0</v>
      </c>
      <c r="Y203" s="8"/>
      <c r="Z203" s="8"/>
      <c r="AC203" s="8" t="str">
        <f>IF(COUNTIFS(作業區!$W$2:$W$2000, T203, 作業區!$X$2:$X$2000, U203)&gt;0, "已存在", "未擴充")</f>
        <v>已存在</v>
      </c>
    </row>
    <row r="204" spans="1:29" ht="49.5" hidden="1">
      <c r="A204" s="8">
        <f t="shared" si="7"/>
        <v>203</v>
      </c>
      <c r="B204" s="2" t="s">
        <v>1257</v>
      </c>
      <c r="C204" s="2"/>
      <c r="D204" s="4" t="s">
        <v>1652</v>
      </c>
      <c r="E204" s="5" t="s">
        <v>802</v>
      </c>
      <c r="F204" s="5" t="s">
        <v>803</v>
      </c>
      <c r="G204" s="5" t="s">
        <v>808</v>
      </c>
      <c r="H204" s="5" t="s">
        <v>1653</v>
      </c>
      <c r="I204" s="4">
        <v>217292</v>
      </c>
      <c r="J204" s="4">
        <v>2551284</v>
      </c>
      <c r="K204" s="4">
        <v>216462.97899999999</v>
      </c>
      <c r="L204" s="4">
        <v>2551489.4169999999</v>
      </c>
      <c r="M204" s="5">
        <v>98</v>
      </c>
      <c r="N204" s="5" t="s">
        <v>1499</v>
      </c>
      <c r="O204" s="13">
        <v>40033.875</v>
      </c>
      <c r="P204" s="15" t="s">
        <v>1654</v>
      </c>
      <c r="Q204" s="4"/>
      <c r="R204" s="16" t="s">
        <v>225</v>
      </c>
      <c r="S204" s="16" t="s">
        <v>1224</v>
      </c>
      <c r="T204" s="5">
        <v>63.5</v>
      </c>
      <c r="U204" s="5">
        <v>1330.7</v>
      </c>
      <c r="V204" s="16">
        <v>400</v>
      </c>
      <c r="W204" s="8">
        <f t="shared" si="6"/>
        <v>0</v>
      </c>
      <c r="Y204" s="8"/>
      <c r="Z204" s="8"/>
      <c r="AC204" s="8" t="str">
        <f>IF(COUNTIFS(作業區!$W$2:$W$2000, T204, 作業區!$X$2:$X$2000, U204)&gt;0, "已存在", "未擴充")</f>
        <v>已存在</v>
      </c>
    </row>
    <row r="205" spans="1:29" ht="49.5" hidden="1">
      <c r="A205" s="8">
        <f t="shared" si="7"/>
        <v>204</v>
      </c>
      <c r="B205" s="2" t="s">
        <v>1257</v>
      </c>
      <c r="C205" s="2"/>
      <c r="D205" s="4" t="s">
        <v>1655</v>
      </c>
      <c r="E205" s="5" t="s">
        <v>802</v>
      </c>
      <c r="F205" s="5" t="s">
        <v>803</v>
      </c>
      <c r="G205" s="5" t="s">
        <v>1050</v>
      </c>
      <c r="H205" s="5" t="s">
        <v>1656</v>
      </c>
      <c r="I205" s="4">
        <v>217200</v>
      </c>
      <c r="J205" s="4">
        <v>2554780</v>
      </c>
      <c r="K205" s="4">
        <v>216370.97899999999</v>
      </c>
      <c r="L205" s="4">
        <v>2554985.4309999999</v>
      </c>
      <c r="M205" s="5">
        <v>98</v>
      </c>
      <c r="N205" s="5" t="s">
        <v>1499</v>
      </c>
      <c r="O205" s="13">
        <v>40033.708333333336</v>
      </c>
      <c r="P205" s="15" t="s">
        <v>1657</v>
      </c>
      <c r="Q205" s="4"/>
      <c r="R205" s="16" t="s">
        <v>225</v>
      </c>
      <c r="S205" s="16" t="s">
        <v>1224</v>
      </c>
      <c r="T205" s="5">
        <v>71</v>
      </c>
      <c r="U205" s="5">
        <v>1046.0999999999999</v>
      </c>
      <c r="V205" s="16">
        <v>400</v>
      </c>
      <c r="W205" s="8">
        <f t="shared" si="6"/>
        <v>0</v>
      </c>
      <c r="Y205" s="8"/>
      <c r="Z205" s="8"/>
      <c r="AC205" s="8" t="str">
        <f>IF(COUNTIFS(作業區!$W$2:$W$2000, T205, 作業區!$X$2:$X$2000, U205)&gt;0, "已存在", "未擴充")</f>
        <v>已存在</v>
      </c>
    </row>
    <row r="206" spans="1:29" ht="33" hidden="1">
      <c r="A206" s="8">
        <f t="shared" si="7"/>
        <v>205</v>
      </c>
      <c r="B206" s="2" t="s">
        <v>1257</v>
      </c>
      <c r="C206" s="2"/>
      <c r="D206" s="4" t="s">
        <v>1658</v>
      </c>
      <c r="E206" s="5" t="s">
        <v>802</v>
      </c>
      <c r="F206" s="5" t="s">
        <v>803</v>
      </c>
      <c r="G206" s="5" t="s">
        <v>808</v>
      </c>
      <c r="H206" s="5" t="s">
        <v>1659</v>
      </c>
      <c r="I206" s="4">
        <v>217010</v>
      </c>
      <c r="J206" s="4">
        <v>2550443</v>
      </c>
      <c r="K206" s="4">
        <v>216180.978</v>
      </c>
      <c r="L206" s="4">
        <v>2550648.4130000002</v>
      </c>
      <c r="M206" s="5">
        <v>98</v>
      </c>
      <c r="N206" s="5" t="s">
        <v>1499</v>
      </c>
      <c r="O206" s="13">
        <v>40033.875</v>
      </c>
      <c r="P206" s="15" t="s">
        <v>1660</v>
      </c>
      <c r="Q206" s="4"/>
      <c r="R206" s="16" t="s">
        <v>1661</v>
      </c>
      <c r="S206" s="16" t="s">
        <v>1224</v>
      </c>
      <c r="T206" s="5">
        <v>63.5</v>
      </c>
      <c r="U206" s="5">
        <v>1330.7</v>
      </c>
      <c r="V206" s="16">
        <v>400</v>
      </c>
      <c r="W206" s="8">
        <f t="shared" si="6"/>
        <v>0</v>
      </c>
      <c r="Y206" s="8"/>
      <c r="Z206" s="8"/>
      <c r="AC206" s="8" t="str">
        <f>IF(COUNTIFS(作業區!$W$2:$W$2000, T206, 作業區!$X$2:$X$2000, U206)&gt;0, "已存在", "未擴充")</f>
        <v>已存在</v>
      </c>
    </row>
    <row r="207" spans="1:29" ht="33">
      <c r="A207" s="8">
        <f t="shared" si="7"/>
        <v>206</v>
      </c>
      <c r="B207" s="2" t="s">
        <v>844</v>
      </c>
      <c r="C207" s="2"/>
      <c r="D207" s="4" t="s">
        <v>1662</v>
      </c>
      <c r="E207" s="5" t="s">
        <v>790</v>
      </c>
      <c r="F207" s="5" t="s">
        <v>1663</v>
      </c>
      <c r="G207" s="5" t="s">
        <v>1664</v>
      </c>
      <c r="H207" s="5"/>
      <c r="I207" s="4">
        <v>234180</v>
      </c>
      <c r="J207" s="4">
        <v>2446910</v>
      </c>
      <c r="K207" s="4">
        <v>233351.03099999999</v>
      </c>
      <c r="L207" s="4">
        <v>2447114.9470000002</v>
      </c>
      <c r="M207" s="5">
        <v>98</v>
      </c>
      <c r="N207" s="5" t="s">
        <v>1499</v>
      </c>
      <c r="O207" s="13">
        <v>40033.208333333336</v>
      </c>
      <c r="P207" s="15" t="s">
        <v>1665</v>
      </c>
      <c r="Q207" s="4"/>
      <c r="R207" s="16" t="s">
        <v>1666</v>
      </c>
      <c r="S207" s="16" t="s">
        <v>1667</v>
      </c>
      <c r="T207" s="5">
        <v>2.5</v>
      </c>
      <c r="U207" s="5">
        <v>315.10000000000002</v>
      </c>
      <c r="V207" s="16" t="s">
        <v>1668</v>
      </c>
      <c r="W207" s="8">
        <f t="shared" si="6"/>
        <v>0</v>
      </c>
      <c r="Y207" s="8"/>
      <c r="Z207" s="8"/>
      <c r="AC207" s="8" t="str">
        <f>IF(COUNTIFS(作業區!$W$2:$W$2000, T207, 作業區!$X$2:$X$2000, U207)&gt;0, "已存在", "未擴充")</f>
        <v>已存在</v>
      </c>
    </row>
    <row r="208" spans="1:29" ht="33">
      <c r="A208" s="8">
        <f t="shared" si="7"/>
        <v>207</v>
      </c>
      <c r="B208" s="2" t="s">
        <v>844</v>
      </c>
      <c r="C208" s="2"/>
      <c r="D208" s="4" t="s">
        <v>1669</v>
      </c>
      <c r="E208" s="5" t="s">
        <v>1061</v>
      </c>
      <c r="F208" s="5" t="s">
        <v>1587</v>
      </c>
      <c r="G208" s="5" t="s">
        <v>1670</v>
      </c>
      <c r="H208" s="5" t="s">
        <v>1671</v>
      </c>
      <c r="I208" s="4">
        <v>220029</v>
      </c>
      <c r="J208" s="4">
        <v>2603481</v>
      </c>
      <c r="K208" s="4">
        <v>219199.997</v>
      </c>
      <c r="L208" s="4">
        <v>2603686.63</v>
      </c>
      <c r="M208" s="5">
        <v>98</v>
      </c>
      <c r="N208" s="5" t="s">
        <v>1499</v>
      </c>
      <c r="O208" s="13">
        <v>40033.958333333336</v>
      </c>
      <c r="P208" s="15" t="s">
        <v>1672</v>
      </c>
      <c r="Q208" s="4"/>
      <c r="R208" s="16" t="s">
        <v>211</v>
      </c>
      <c r="S208" s="16" t="s">
        <v>1591</v>
      </c>
      <c r="T208" s="5">
        <v>51.5</v>
      </c>
      <c r="U208" s="5">
        <v>972.5</v>
      </c>
      <c r="V208" s="16">
        <v>400</v>
      </c>
      <c r="W208" s="8">
        <f t="shared" si="6"/>
        <v>0</v>
      </c>
      <c r="Y208" s="8"/>
      <c r="Z208" s="8"/>
      <c r="AC208" s="8" t="str">
        <f>IF(COUNTIFS(作業區!$W$2:$W$2000, T208, 作業區!$X$2:$X$2000, U208)&gt;0, "已存在", "未擴充")</f>
        <v>已存在</v>
      </c>
    </row>
    <row r="209" spans="1:29" ht="49.5">
      <c r="A209" s="8">
        <f t="shared" si="7"/>
        <v>208</v>
      </c>
      <c r="B209" s="5" t="s">
        <v>881</v>
      </c>
      <c r="C209" s="5"/>
      <c r="D209" s="4" t="s">
        <v>1673</v>
      </c>
      <c r="E209" s="5" t="s">
        <v>1061</v>
      </c>
      <c r="F209" s="5" t="s">
        <v>1587</v>
      </c>
      <c r="G209" s="5" t="s">
        <v>1588</v>
      </c>
      <c r="H209" s="5"/>
      <c r="I209" s="4">
        <v>216875</v>
      </c>
      <c r="J209" s="4">
        <v>2604193</v>
      </c>
      <c r="K209" s="4">
        <v>216045.98699999999</v>
      </c>
      <c r="L209" s="4">
        <v>2604398.6329999999</v>
      </c>
      <c r="M209" s="5">
        <v>98</v>
      </c>
      <c r="N209" s="5" t="s">
        <v>1499</v>
      </c>
      <c r="O209" s="13">
        <v>40032.958333333336</v>
      </c>
      <c r="P209" s="15" t="s">
        <v>1674</v>
      </c>
      <c r="Q209" s="4"/>
      <c r="R209" s="16" t="s">
        <v>211</v>
      </c>
      <c r="S209" s="16" t="s">
        <v>1591</v>
      </c>
      <c r="T209" s="5">
        <v>14</v>
      </c>
      <c r="U209" s="5">
        <v>457.5</v>
      </c>
      <c r="V209" s="16">
        <v>400</v>
      </c>
      <c r="W209" s="8">
        <f t="shared" si="6"/>
        <v>1</v>
      </c>
      <c r="Y209" s="8"/>
      <c r="Z209" s="8"/>
      <c r="AC209" s="8" t="str">
        <f>IF(COUNTIFS(作業區!$W$2:$W$2000, T209, 作業區!$X$2:$X$2000, U209)&gt;0, "已存在", "未擴充")</f>
        <v>已存在</v>
      </c>
    </row>
    <row r="210" spans="1:29" ht="49.5">
      <c r="A210" s="8">
        <f t="shared" si="7"/>
        <v>209</v>
      </c>
      <c r="B210" s="5" t="s">
        <v>881</v>
      </c>
      <c r="C210" s="5"/>
      <c r="D210" s="4" t="s">
        <v>1675</v>
      </c>
      <c r="E210" s="5" t="s">
        <v>1061</v>
      </c>
      <c r="F210" s="5" t="s">
        <v>1587</v>
      </c>
      <c r="G210" s="5" t="s">
        <v>1588</v>
      </c>
      <c r="H210" s="5"/>
      <c r="I210" s="4">
        <v>215131</v>
      </c>
      <c r="J210" s="4">
        <v>2603363</v>
      </c>
      <c r="K210" s="4">
        <v>214301.981</v>
      </c>
      <c r="L210" s="4">
        <v>2603568.63</v>
      </c>
      <c r="M210" s="5">
        <v>98</v>
      </c>
      <c r="N210" s="5" t="s">
        <v>1499</v>
      </c>
      <c r="O210" s="13">
        <v>40033.041666666664</v>
      </c>
      <c r="P210" s="15" t="s">
        <v>1676</v>
      </c>
      <c r="Q210" s="4"/>
      <c r="R210" s="16" t="s">
        <v>211</v>
      </c>
      <c r="S210" s="16" t="s">
        <v>1591</v>
      </c>
      <c r="T210" s="5">
        <v>2.5</v>
      </c>
      <c r="U210" s="5">
        <v>455.6</v>
      </c>
      <c r="V210" s="16">
        <v>400</v>
      </c>
      <c r="W210" s="8">
        <f t="shared" si="6"/>
        <v>0</v>
      </c>
      <c r="Y210" s="8"/>
      <c r="Z210" s="8"/>
      <c r="AC210" s="8" t="str">
        <f>IF(COUNTIFS(作業區!$W$2:$W$2000, T210, 作業區!$X$2:$X$2000, U210)&gt;0, "已存在", "未擴充")</f>
        <v>已存在</v>
      </c>
    </row>
    <row r="211" spans="1:29" ht="49.5">
      <c r="A211" s="8">
        <f t="shared" si="7"/>
        <v>210</v>
      </c>
      <c r="B211" s="5" t="s">
        <v>881</v>
      </c>
      <c r="C211" s="5"/>
      <c r="D211" s="4" t="s">
        <v>1677</v>
      </c>
      <c r="E211" s="5" t="s">
        <v>922</v>
      </c>
      <c r="F211" s="5" t="s">
        <v>1503</v>
      </c>
      <c r="G211" s="5" t="s">
        <v>1678</v>
      </c>
      <c r="H211" s="5" t="s">
        <v>1679</v>
      </c>
      <c r="I211" s="4">
        <v>243543</v>
      </c>
      <c r="J211" s="4">
        <v>2482229</v>
      </c>
      <c r="K211" s="4">
        <v>242714.071</v>
      </c>
      <c r="L211" s="4">
        <v>2482434.111</v>
      </c>
      <c r="M211" s="5">
        <v>98</v>
      </c>
      <c r="N211" s="5" t="s">
        <v>1499</v>
      </c>
      <c r="O211" s="13">
        <v>40034.083333333336</v>
      </c>
      <c r="P211" s="15" t="s">
        <v>1680</v>
      </c>
      <c r="Q211" s="4"/>
      <c r="R211" s="16" t="s">
        <v>621</v>
      </c>
      <c r="S211" s="16" t="s">
        <v>1507</v>
      </c>
      <c r="T211" s="5">
        <v>52</v>
      </c>
      <c r="U211" s="5">
        <v>1300.7</v>
      </c>
      <c r="V211" s="16">
        <v>550</v>
      </c>
      <c r="W211" s="8">
        <f t="shared" si="6"/>
        <v>0</v>
      </c>
      <c r="Y211" s="8"/>
      <c r="Z211" s="8"/>
      <c r="AC211" s="8" t="str">
        <f>IF(COUNTIFS(作業區!$W$2:$W$2000, T211, 作業區!$X$2:$X$2000, U211)&gt;0, "已存在", "未擴充")</f>
        <v>已存在</v>
      </c>
    </row>
    <row r="212" spans="1:29" ht="66">
      <c r="A212" s="8">
        <f t="shared" si="7"/>
        <v>211</v>
      </c>
      <c r="B212" s="5" t="s">
        <v>1681</v>
      </c>
      <c r="C212" s="5"/>
      <c r="D212" s="4" t="s">
        <v>1682</v>
      </c>
      <c r="E212" s="5" t="s">
        <v>790</v>
      </c>
      <c r="F212" s="5" t="s">
        <v>1683</v>
      </c>
      <c r="G212" s="5" t="s">
        <v>1684</v>
      </c>
      <c r="H212" s="5"/>
      <c r="I212" s="4">
        <v>233025</v>
      </c>
      <c r="J212" s="4">
        <v>2444775</v>
      </c>
      <c r="K212" s="4">
        <v>232196.02600000001</v>
      </c>
      <c r="L212" s="4">
        <v>2444979.9369999999</v>
      </c>
      <c r="M212" s="5">
        <v>98</v>
      </c>
      <c r="N212" s="5" t="s">
        <v>1499</v>
      </c>
      <c r="O212" s="13">
        <v>40033.208333333336</v>
      </c>
      <c r="P212" s="15" t="s">
        <v>1685</v>
      </c>
      <c r="Q212" s="4"/>
      <c r="R212" s="16" t="s">
        <v>615</v>
      </c>
      <c r="S212" s="16" t="s">
        <v>1686</v>
      </c>
      <c r="T212" s="5">
        <v>15.5</v>
      </c>
      <c r="U212" s="5">
        <v>691</v>
      </c>
      <c r="V212" s="16">
        <v>600</v>
      </c>
      <c r="W212" s="8">
        <f t="shared" si="6"/>
        <v>0</v>
      </c>
      <c r="Y212" s="8"/>
      <c r="Z212" s="8"/>
      <c r="AC212" s="8" t="str">
        <f>IF(COUNTIFS(作業區!$W$2:$W$2000, T212, 作業區!$X$2:$X$2000, U212)&gt;0, "已存在", "未擴充")</f>
        <v>已存在</v>
      </c>
    </row>
    <row r="213" spans="1:29" ht="49.5">
      <c r="A213" s="8">
        <f t="shared" si="7"/>
        <v>212</v>
      </c>
      <c r="B213" s="5" t="s">
        <v>1687</v>
      </c>
      <c r="C213" s="5"/>
      <c r="D213" s="4" t="s">
        <v>1688</v>
      </c>
      <c r="E213" s="5" t="s">
        <v>790</v>
      </c>
      <c r="F213" s="5" t="s">
        <v>937</v>
      </c>
      <c r="G213" s="5" t="s">
        <v>938</v>
      </c>
      <c r="H213" s="5"/>
      <c r="I213" s="4">
        <v>217859</v>
      </c>
      <c r="J213" s="4">
        <v>2508448</v>
      </c>
      <c r="K213" s="4">
        <v>217029.97399999999</v>
      </c>
      <c r="L213" s="4">
        <v>2508653.2310000001</v>
      </c>
      <c r="M213" s="5">
        <v>98</v>
      </c>
      <c r="N213" s="5" t="s">
        <v>1499</v>
      </c>
      <c r="O213" s="13">
        <v>40033.333333333336</v>
      </c>
      <c r="P213" s="15" t="s">
        <v>1689</v>
      </c>
      <c r="Q213" s="4"/>
      <c r="R213" s="16" t="s">
        <v>1690</v>
      </c>
      <c r="S213" s="16" t="s">
        <v>1691</v>
      </c>
      <c r="T213" s="5">
        <v>39.5</v>
      </c>
      <c r="U213" s="5">
        <v>412.9</v>
      </c>
      <c r="V213" s="16">
        <v>550</v>
      </c>
      <c r="W213" s="8">
        <f t="shared" si="6"/>
        <v>0</v>
      </c>
      <c r="Y213" s="8"/>
      <c r="Z213" s="8"/>
      <c r="AC213" s="8" t="str">
        <f>IF(COUNTIFS(作業區!$W$2:$W$2000, T213, 作業區!$X$2:$X$2000, U213)&gt;0, "已存在", "未擴充")</f>
        <v>已存在</v>
      </c>
    </row>
    <row r="214" spans="1:29" ht="49.5">
      <c r="A214" s="8">
        <f t="shared" si="7"/>
        <v>213</v>
      </c>
      <c r="B214" s="2" t="s">
        <v>1396</v>
      </c>
      <c r="C214" s="2"/>
      <c r="D214" s="4" t="s">
        <v>1692</v>
      </c>
      <c r="E214" s="5" t="s">
        <v>790</v>
      </c>
      <c r="F214" s="5" t="s">
        <v>972</v>
      </c>
      <c r="G214" s="5" t="s">
        <v>1693</v>
      </c>
      <c r="H214" s="5"/>
      <c r="I214" s="4">
        <v>224234</v>
      </c>
      <c r="J214" s="4">
        <v>2515715</v>
      </c>
      <c r="K214" s="4">
        <v>223404.99900000001</v>
      </c>
      <c r="L214" s="4">
        <v>2515920.2620000001</v>
      </c>
      <c r="M214" s="5">
        <v>98</v>
      </c>
      <c r="N214" s="5" t="s">
        <v>1499</v>
      </c>
      <c r="O214" s="13">
        <v>40033.625</v>
      </c>
      <c r="P214" s="15" t="s">
        <v>1694</v>
      </c>
      <c r="Q214" s="4"/>
      <c r="R214" s="16" t="s">
        <v>1695</v>
      </c>
      <c r="S214" s="16" t="s">
        <v>1696</v>
      </c>
      <c r="T214" s="5">
        <v>32.5</v>
      </c>
      <c r="U214" s="5">
        <v>556.1</v>
      </c>
      <c r="V214" s="16" t="s">
        <v>1668</v>
      </c>
      <c r="W214" s="8">
        <f t="shared" si="6"/>
        <v>0</v>
      </c>
      <c r="Y214" s="8"/>
      <c r="Z214" s="8"/>
      <c r="AC214" s="8" t="str">
        <f>IF(COUNTIFS(作業區!$W$2:$W$2000, T214, 作業區!$X$2:$X$2000, U214)&gt;0, "已存在", "未擴充")</f>
        <v>已存在</v>
      </c>
    </row>
    <row r="215" spans="1:29" ht="33">
      <c r="A215" s="8">
        <f t="shared" si="7"/>
        <v>214</v>
      </c>
      <c r="B215" s="2" t="s">
        <v>1396</v>
      </c>
      <c r="C215" s="2"/>
      <c r="D215" s="4" t="s">
        <v>1697</v>
      </c>
      <c r="E215" s="5" t="s">
        <v>790</v>
      </c>
      <c r="F215" s="5" t="s">
        <v>1698</v>
      </c>
      <c r="G215" s="5" t="s">
        <v>1699</v>
      </c>
      <c r="H215" s="5"/>
      <c r="I215" s="4">
        <v>215620</v>
      </c>
      <c r="J215" s="4">
        <v>2498437</v>
      </c>
      <c r="K215" s="4">
        <v>214790.96299999999</v>
      </c>
      <c r="L215" s="4">
        <v>2498642.1869999999</v>
      </c>
      <c r="M215" s="5">
        <v>98</v>
      </c>
      <c r="N215" s="5" t="s">
        <v>1499</v>
      </c>
      <c r="O215" s="13">
        <v>40033.916666666664</v>
      </c>
      <c r="P215" s="15" t="s">
        <v>1700</v>
      </c>
      <c r="Q215" s="4"/>
      <c r="R215" s="16" t="s">
        <v>1701</v>
      </c>
      <c r="S215" s="16" t="s">
        <v>1702</v>
      </c>
      <c r="T215" s="5">
        <v>28</v>
      </c>
      <c r="U215" s="5">
        <v>728.1</v>
      </c>
      <c r="V215" s="16" t="s">
        <v>1668</v>
      </c>
      <c r="W215" s="8">
        <f t="shared" si="6"/>
        <v>0</v>
      </c>
      <c r="Y215" s="8"/>
      <c r="Z215" s="8"/>
      <c r="AC215" s="8" t="str">
        <f>IF(COUNTIFS(作業區!$W$2:$W$2000, T215, 作業區!$X$2:$X$2000, U215)&gt;0, "已存在", "未擴充")</f>
        <v>已存在</v>
      </c>
    </row>
    <row r="216" spans="1:29" ht="49.5">
      <c r="A216" s="8">
        <f t="shared" si="7"/>
        <v>215</v>
      </c>
      <c r="B216" s="5" t="s">
        <v>1396</v>
      </c>
      <c r="C216" s="5"/>
      <c r="D216" s="4" t="s">
        <v>1703</v>
      </c>
      <c r="E216" s="5" t="s">
        <v>1061</v>
      </c>
      <c r="F216" s="5" t="s">
        <v>1587</v>
      </c>
      <c r="G216" s="5" t="s">
        <v>1588</v>
      </c>
      <c r="H216" s="5"/>
      <c r="I216" s="4">
        <v>216683</v>
      </c>
      <c r="J216" s="4">
        <v>2602775</v>
      </c>
      <c r="K216" s="4">
        <v>215853.986</v>
      </c>
      <c r="L216" s="4">
        <v>2602980.628</v>
      </c>
      <c r="M216" s="5">
        <v>98</v>
      </c>
      <c r="N216" s="5" t="s">
        <v>1499</v>
      </c>
      <c r="O216" s="13">
        <v>40033.791666666664</v>
      </c>
      <c r="P216" s="15" t="s">
        <v>1704</v>
      </c>
      <c r="Q216" s="4"/>
      <c r="R216" s="16" t="s">
        <v>211</v>
      </c>
      <c r="S216" s="16" t="s">
        <v>1591</v>
      </c>
      <c r="T216" s="5">
        <v>33.5</v>
      </c>
      <c r="U216" s="5">
        <v>814.7</v>
      </c>
      <c r="V216" s="16">
        <v>400</v>
      </c>
      <c r="W216" s="8">
        <f t="shared" si="6"/>
        <v>0</v>
      </c>
      <c r="Y216" s="8"/>
      <c r="Z216" s="8"/>
      <c r="AC216" s="8" t="str">
        <f>IF(COUNTIFS(作業區!$W$2:$W$2000, T216, 作業區!$X$2:$X$2000, U216)&gt;0, "已存在", "未擴充")</f>
        <v>已存在</v>
      </c>
    </row>
    <row r="217" spans="1:29" ht="66">
      <c r="A217" s="8">
        <f t="shared" si="7"/>
        <v>216</v>
      </c>
      <c r="B217" s="5" t="s">
        <v>1396</v>
      </c>
      <c r="C217" s="5"/>
      <c r="D217" s="4" t="s">
        <v>1705</v>
      </c>
      <c r="E217" s="5" t="s">
        <v>1061</v>
      </c>
      <c r="F217" s="5" t="s">
        <v>1706</v>
      </c>
      <c r="G217" s="5" t="s">
        <v>1389</v>
      </c>
      <c r="H217" s="5"/>
      <c r="I217" s="4">
        <v>211218</v>
      </c>
      <c r="J217" s="4">
        <v>2597659</v>
      </c>
      <c r="K217" s="4">
        <v>210388.967</v>
      </c>
      <c r="L217" s="4">
        <v>2597864.608</v>
      </c>
      <c r="M217" s="5">
        <v>98</v>
      </c>
      <c r="N217" s="5" t="s">
        <v>1499</v>
      </c>
      <c r="O217" s="13">
        <v>40032.875</v>
      </c>
      <c r="P217" s="15" t="s">
        <v>1707</v>
      </c>
      <c r="Q217" s="4"/>
      <c r="R217" s="16" t="s">
        <v>1071</v>
      </c>
      <c r="S217" s="16" t="s">
        <v>1072</v>
      </c>
      <c r="T217" s="5">
        <v>15.5</v>
      </c>
      <c r="U217" s="5">
        <v>554.70000000000005</v>
      </c>
      <c r="V217" s="16">
        <v>500</v>
      </c>
      <c r="W217" s="8">
        <f t="shared" si="6"/>
        <v>0</v>
      </c>
      <c r="Y217" s="8"/>
      <c r="Z217" s="8"/>
      <c r="AC217" s="8" t="str">
        <f>IF(COUNTIFS(作業區!$W$2:$W$2000, T217, 作業區!$X$2:$X$2000, U217)&gt;0, "已存在", "未擴充")</f>
        <v>已存在</v>
      </c>
    </row>
    <row r="218" spans="1:29" ht="33">
      <c r="A218" s="8">
        <f t="shared" si="7"/>
        <v>217</v>
      </c>
      <c r="B218" s="5" t="s">
        <v>1073</v>
      </c>
      <c r="C218" s="5"/>
      <c r="D218" s="15" t="s">
        <v>1708</v>
      </c>
      <c r="E218" s="2" t="s">
        <v>756</v>
      </c>
      <c r="F218" s="5" t="s">
        <v>816</v>
      </c>
      <c r="G218" s="5" t="s">
        <v>1709</v>
      </c>
      <c r="H218" s="5"/>
      <c r="I218" s="4">
        <v>243282</v>
      </c>
      <c r="J218" s="4">
        <v>2692321</v>
      </c>
      <c r="K218" s="4">
        <v>242453.079</v>
      </c>
      <c r="L218" s="4">
        <v>2692526.9610000001</v>
      </c>
      <c r="M218" s="5">
        <v>98</v>
      </c>
      <c r="N218" s="5" t="s">
        <v>1499</v>
      </c>
      <c r="O218" s="13">
        <v>40034.708333333336</v>
      </c>
      <c r="P218" s="15" t="s">
        <v>1710</v>
      </c>
      <c r="Q218" s="4"/>
      <c r="R218" s="16" t="s">
        <v>1711</v>
      </c>
      <c r="S218" s="16" t="s">
        <v>1712</v>
      </c>
      <c r="T218" s="5">
        <v>34</v>
      </c>
      <c r="U218" s="5">
        <v>706.3</v>
      </c>
      <c r="V218" s="16">
        <v>300</v>
      </c>
      <c r="W218" s="8">
        <f t="shared" si="6"/>
        <v>0</v>
      </c>
      <c r="Y218" s="8"/>
      <c r="Z218" s="8"/>
      <c r="AC218" s="8" t="str">
        <f>IF(COUNTIFS(作業區!$W$2:$W$2000, T218, 作業區!$X$2:$X$2000, U218)&gt;0, "已存在", "未擴充")</f>
        <v>已存在</v>
      </c>
    </row>
    <row r="219" spans="1:29" ht="49.5">
      <c r="A219" s="8">
        <f t="shared" si="7"/>
        <v>218</v>
      </c>
      <c r="B219" s="2" t="s">
        <v>1713</v>
      </c>
      <c r="C219" s="2"/>
      <c r="D219" s="4" t="s">
        <v>1714</v>
      </c>
      <c r="E219" s="5" t="s">
        <v>922</v>
      </c>
      <c r="F219" s="5" t="s">
        <v>1715</v>
      </c>
      <c r="G219" s="5" t="s">
        <v>1716</v>
      </c>
      <c r="H219" s="5"/>
      <c r="I219" s="4">
        <v>245984</v>
      </c>
      <c r="J219" s="4">
        <v>2499221</v>
      </c>
      <c r="K219" s="4">
        <v>245155.08100000001</v>
      </c>
      <c r="L219" s="4">
        <v>2499426.1869999999</v>
      </c>
      <c r="M219" s="5">
        <v>98</v>
      </c>
      <c r="N219" s="5" t="s">
        <v>1499</v>
      </c>
      <c r="O219" s="13">
        <v>40033.416666666664</v>
      </c>
      <c r="P219" s="15" t="s">
        <v>1717</v>
      </c>
      <c r="Q219" s="4"/>
      <c r="R219" s="16" t="s">
        <v>638</v>
      </c>
      <c r="S219" s="16" t="s">
        <v>1718</v>
      </c>
      <c r="T219" s="5">
        <v>18</v>
      </c>
      <c r="U219" s="5">
        <v>333.4</v>
      </c>
      <c r="V219" s="16">
        <v>550</v>
      </c>
      <c r="W219" s="8">
        <f t="shared" si="6"/>
        <v>0</v>
      </c>
      <c r="Y219" s="8"/>
      <c r="Z219" s="8"/>
      <c r="AC219" s="8" t="str">
        <f>IF(COUNTIFS(作業區!$W$2:$W$2000, T219, 作業區!$X$2:$X$2000, U219)&gt;0, "已存在", "未擴充")</f>
        <v>已存在</v>
      </c>
    </row>
    <row r="220" spans="1:29" s="26" customFormat="1" ht="49.5">
      <c r="A220" s="8">
        <f t="shared" si="7"/>
        <v>219</v>
      </c>
      <c r="B220" s="5" t="s">
        <v>1713</v>
      </c>
      <c r="C220" s="5"/>
      <c r="D220" s="4" t="s">
        <v>1719</v>
      </c>
      <c r="E220" s="5" t="s">
        <v>785</v>
      </c>
      <c r="F220" s="5" t="s">
        <v>786</v>
      </c>
      <c r="G220" s="5" t="s">
        <v>1720</v>
      </c>
      <c r="H220" s="5" t="s">
        <v>1408</v>
      </c>
      <c r="I220" s="4">
        <v>258937</v>
      </c>
      <c r="J220" s="4">
        <v>2655637</v>
      </c>
      <c r="K220" s="4">
        <v>258108.125</v>
      </c>
      <c r="L220" s="4">
        <v>2655842.8280000002</v>
      </c>
      <c r="M220" s="5">
        <v>98</v>
      </c>
      <c r="N220" s="5" t="s">
        <v>1499</v>
      </c>
      <c r="O220" s="13">
        <v>40033.833333333336</v>
      </c>
      <c r="P220" s="15" t="s">
        <v>1721</v>
      </c>
      <c r="Q220" s="4"/>
      <c r="R220" s="16" t="s">
        <v>82</v>
      </c>
      <c r="S220" s="16" t="s">
        <v>1413</v>
      </c>
      <c r="T220" s="5">
        <v>13.5</v>
      </c>
      <c r="U220" s="5">
        <v>296</v>
      </c>
      <c r="V220" s="16">
        <v>250</v>
      </c>
      <c r="W220" s="8">
        <f t="shared" si="6"/>
        <v>0</v>
      </c>
      <c r="X220" s="8"/>
      <c r="Y220" s="8"/>
      <c r="AC220" s="8" t="str">
        <f>IF(COUNTIFS(作業區!$W$2:$W$2000, T220, 作業區!$X$2:$X$2000, U220)&gt;0, "已存在", "未擴充")</f>
        <v>已存在</v>
      </c>
    </row>
    <row r="221" spans="1:29" ht="48.75">
      <c r="A221" s="8">
        <f t="shared" si="7"/>
        <v>220</v>
      </c>
      <c r="B221" s="5" t="s">
        <v>1713</v>
      </c>
      <c r="C221" s="5"/>
      <c r="D221" s="15" t="s">
        <v>1722</v>
      </c>
      <c r="E221" s="5" t="s">
        <v>785</v>
      </c>
      <c r="F221" s="5" t="s">
        <v>786</v>
      </c>
      <c r="G221" s="5" t="s">
        <v>1720</v>
      </c>
      <c r="H221" s="5" t="s">
        <v>1723</v>
      </c>
      <c r="I221" s="4">
        <v>256713</v>
      </c>
      <c r="J221" s="4">
        <v>2655567</v>
      </c>
      <c r="K221" s="4">
        <v>255884.11799999999</v>
      </c>
      <c r="L221" s="4">
        <v>2655772.8280000002</v>
      </c>
      <c r="M221" s="5">
        <v>98</v>
      </c>
      <c r="N221" s="5" t="s">
        <v>1499</v>
      </c>
      <c r="O221" s="13">
        <v>40034.5</v>
      </c>
      <c r="P221" s="23" t="s">
        <v>1724</v>
      </c>
      <c r="Q221" s="4"/>
      <c r="R221" s="16" t="s">
        <v>82</v>
      </c>
      <c r="S221" s="16" t="s">
        <v>1725</v>
      </c>
      <c r="T221" s="5">
        <v>18</v>
      </c>
      <c r="U221" s="5">
        <v>598.20000000000005</v>
      </c>
      <c r="V221" s="16">
        <v>250</v>
      </c>
      <c r="W221" s="8">
        <f t="shared" si="6"/>
        <v>0</v>
      </c>
      <c r="Y221" s="8"/>
      <c r="Z221" s="8"/>
      <c r="AC221" s="8" t="str">
        <f>IF(COUNTIFS(作業區!$W$2:$W$2000, T221, 作業區!$X$2:$X$2000, U221)&gt;0, "已存在", "未擴充")</f>
        <v>已存在</v>
      </c>
    </row>
    <row r="222" spans="1:29" ht="33">
      <c r="A222" s="8">
        <f t="shared" si="7"/>
        <v>221</v>
      </c>
      <c r="B222" s="5" t="s">
        <v>1713</v>
      </c>
      <c r="C222" s="5"/>
      <c r="D222" s="4" t="s">
        <v>1726</v>
      </c>
      <c r="E222" s="5" t="s">
        <v>785</v>
      </c>
      <c r="F222" s="5" t="s">
        <v>831</v>
      </c>
      <c r="G222" s="5" t="s">
        <v>1727</v>
      </c>
      <c r="H222" s="5" t="s">
        <v>1728</v>
      </c>
      <c r="I222" s="4">
        <v>236312</v>
      </c>
      <c r="J222" s="4">
        <v>2629560</v>
      </c>
      <c r="K222" s="4">
        <v>235483.054</v>
      </c>
      <c r="L222" s="4">
        <v>2629765.73</v>
      </c>
      <c r="M222" s="5">
        <v>98</v>
      </c>
      <c r="N222" s="5" t="s">
        <v>1499</v>
      </c>
      <c r="O222" s="13">
        <v>40034.166666666664</v>
      </c>
      <c r="P222" s="23" t="s">
        <v>1729</v>
      </c>
      <c r="Q222" s="4"/>
      <c r="R222" s="16" t="s">
        <v>1730</v>
      </c>
      <c r="S222" s="16" t="s">
        <v>1731</v>
      </c>
      <c r="T222" s="5">
        <v>18</v>
      </c>
      <c r="U222" s="5">
        <v>595</v>
      </c>
      <c r="V222" s="16">
        <v>250</v>
      </c>
      <c r="W222" s="8">
        <f t="shared" si="6"/>
        <v>0</v>
      </c>
      <c r="Y222" s="8"/>
      <c r="Z222" s="8"/>
      <c r="AC222" s="8" t="str">
        <f>IF(COUNTIFS(作業區!$W$2:$W$2000, T222, 作業區!$X$2:$X$2000, U222)&gt;0, "已存在", "未擴充")</f>
        <v>已存在</v>
      </c>
    </row>
    <row r="223" spans="1:29" ht="33">
      <c r="A223" s="8">
        <f t="shared" si="7"/>
        <v>222</v>
      </c>
      <c r="B223" s="5" t="s">
        <v>1073</v>
      </c>
      <c r="C223" s="5"/>
      <c r="D223" s="4" t="s">
        <v>1732</v>
      </c>
      <c r="E223" s="5" t="s">
        <v>785</v>
      </c>
      <c r="F223" s="5" t="s">
        <v>859</v>
      </c>
      <c r="G223" s="5" t="s">
        <v>1571</v>
      </c>
      <c r="H223" s="5"/>
      <c r="I223" s="4">
        <v>237398</v>
      </c>
      <c r="J223" s="4">
        <v>2607960</v>
      </c>
      <c r="K223" s="4">
        <v>236569.05600000001</v>
      </c>
      <c r="L223" s="4">
        <v>2608165.6460000002</v>
      </c>
      <c r="M223" s="5">
        <v>98</v>
      </c>
      <c r="N223" s="5" t="s">
        <v>1499</v>
      </c>
      <c r="O223" s="13">
        <v>40034.583333333336</v>
      </c>
      <c r="P223" s="15" t="s">
        <v>1733</v>
      </c>
      <c r="Q223" s="4"/>
      <c r="R223" s="16" t="s">
        <v>147</v>
      </c>
      <c r="S223" s="16" t="s">
        <v>1573</v>
      </c>
      <c r="T223" s="5">
        <v>33.5</v>
      </c>
      <c r="U223" s="5">
        <v>1566.9</v>
      </c>
      <c r="V223" s="16">
        <v>250</v>
      </c>
      <c r="W223" s="8">
        <f t="shared" si="6"/>
        <v>0</v>
      </c>
      <c r="Y223" s="8"/>
      <c r="Z223" s="8"/>
      <c r="AC223" s="8" t="str">
        <f>IF(COUNTIFS(作業區!$W$2:$W$2000, T223, 作業區!$X$2:$X$2000, U223)&gt;0, "已存在", "未擴充")</f>
        <v>已存在</v>
      </c>
    </row>
    <row r="224" spans="1:29" ht="49.5" hidden="1">
      <c r="A224" s="8">
        <f t="shared" si="7"/>
        <v>223</v>
      </c>
      <c r="B224" s="2" t="s">
        <v>1713</v>
      </c>
      <c r="C224" s="2"/>
      <c r="D224" s="4" t="s">
        <v>1734</v>
      </c>
      <c r="E224" s="5" t="s">
        <v>802</v>
      </c>
      <c r="F224" s="5" t="s">
        <v>1231</v>
      </c>
      <c r="G224" s="5" t="s">
        <v>1232</v>
      </c>
      <c r="H224" s="5" t="s">
        <v>1233</v>
      </c>
      <c r="I224" s="4">
        <v>202840</v>
      </c>
      <c r="J224" s="4">
        <v>2548950</v>
      </c>
      <c r="K224" s="4">
        <v>202010.92600000001</v>
      </c>
      <c r="L224" s="4">
        <v>2549155.409</v>
      </c>
      <c r="M224" s="5">
        <v>98</v>
      </c>
      <c r="N224" s="5" t="s">
        <v>1499</v>
      </c>
      <c r="O224" s="13">
        <v>40033.666666666664</v>
      </c>
      <c r="P224" s="15" t="s">
        <v>1735</v>
      </c>
      <c r="Q224" s="4"/>
      <c r="R224" s="16" t="s">
        <v>263</v>
      </c>
      <c r="S224" s="16" t="s">
        <v>1235</v>
      </c>
      <c r="T224" s="5">
        <v>15.5</v>
      </c>
      <c r="U224" s="5">
        <v>751.5</v>
      </c>
      <c r="V224" s="16" t="s">
        <v>975</v>
      </c>
      <c r="W224" s="8">
        <f t="shared" si="6"/>
        <v>0</v>
      </c>
      <c r="Y224" s="8"/>
      <c r="Z224" s="8"/>
      <c r="AC224" s="8" t="str">
        <f>IF(COUNTIFS(作業區!$W$2:$W$2000, T224, 作業區!$X$2:$X$2000, U224)&gt;0, "已存在", "未擴充")</f>
        <v>已存在</v>
      </c>
    </row>
    <row r="225" spans="1:29" ht="33">
      <c r="A225" s="8">
        <f t="shared" si="7"/>
        <v>224</v>
      </c>
      <c r="B225" s="2" t="s">
        <v>1736</v>
      </c>
      <c r="C225" s="2"/>
      <c r="D225" s="4" t="s">
        <v>1737</v>
      </c>
      <c r="E225" s="5" t="s">
        <v>790</v>
      </c>
      <c r="F225" s="5" t="s">
        <v>1524</v>
      </c>
      <c r="G225" s="5" t="s">
        <v>1525</v>
      </c>
      <c r="H225" s="5" t="s">
        <v>1738</v>
      </c>
      <c r="I225" s="4">
        <v>215422</v>
      </c>
      <c r="J225" s="4">
        <v>2491747</v>
      </c>
      <c r="K225" s="4">
        <v>214592.96100000001</v>
      </c>
      <c r="L225" s="4">
        <v>2491952.1570000001</v>
      </c>
      <c r="M225" s="5">
        <v>98</v>
      </c>
      <c r="N225" s="5" t="s">
        <v>1499</v>
      </c>
      <c r="O225" s="13">
        <v>40033.166666666664</v>
      </c>
      <c r="P225" s="15" t="s">
        <v>1739</v>
      </c>
      <c r="Q225" s="4"/>
      <c r="R225" s="16" t="s">
        <v>1527</v>
      </c>
      <c r="S225" s="16" t="s">
        <v>1528</v>
      </c>
      <c r="T225" s="5">
        <v>9.5</v>
      </c>
      <c r="U225" s="5">
        <v>1120</v>
      </c>
      <c r="V225" s="16">
        <v>450</v>
      </c>
      <c r="W225" s="8">
        <f t="shared" si="6"/>
        <v>0</v>
      </c>
      <c r="Y225" s="8"/>
      <c r="Z225" s="8"/>
      <c r="AC225" s="8" t="str">
        <f>IF(COUNTIFS(作業區!$W$2:$W$2000, T225, 作業區!$X$2:$X$2000, U225)&gt;0, "已存在", "未擴充")</f>
        <v>已存在</v>
      </c>
    </row>
    <row r="226" spans="1:29" ht="33" hidden="1">
      <c r="A226" s="8">
        <f t="shared" si="7"/>
        <v>225</v>
      </c>
      <c r="B226" s="27" t="s">
        <v>1218</v>
      </c>
      <c r="C226" s="2"/>
      <c r="D226" s="4" t="s">
        <v>1740</v>
      </c>
      <c r="E226" s="5" t="s">
        <v>802</v>
      </c>
      <c r="F226" s="5" t="s">
        <v>1043</v>
      </c>
      <c r="G226" s="5" t="s">
        <v>1309</v>
      </c>
      <c r="H226" s="5" t="s">
        <v>1741</v>
      </c>
      <c r="I226" s="4">
        <v>203840</v>
      </c>
      <c r="J226" s="4">
        <v>2550328</v>
      </c>
      <c r="K226" s="4">
        <v>203010.93</v>
      </c>
      <c r="L226" s="4">
        <v>2550533.415</v>
      </c>
      <c r="M226" s="5">
        <v>98</v>
      </c>
      <c r="N226" s="5" t="s">
        <v>1499</v>
      </c>
      <c r="O226" s="13">
        <v>40033.916666666664</v>
      </c>
      <c r="P226" s="15" t="s">
        <v>1742</v>
      </c>
      <c r="Q226" s="4"/>
      <c r="R226" s="16" t="s">
        <v>559</v>
      </c>
      <c r="S226" s="16" t="s">
        <v>1048</v>
      </c>
      <c r="T226" s="5">
        <v>42.5</v>
      </c>
      <c r="U226" s="5">
        <v>1328.5</v>
      </c>
      <c r="V226" s="16">
        <v>450</v>
      </c>
      <c r="W226" s="8">
        <f t="shared" si="6"/>
        <v>0</v>
      </c>
      <c r="Y226" s="8"/>
      <c r="Z226" s="8"/>
      <c r="AC226" s="8" t="str">
        <f>IF(COUNTIFS(作業區!$W$2:$W$2000, T226, 作業區!$X$2:$X$2000, U226)&gt;0, "已存在", "未擴充")</f>
        <v>已存在</v>
      </c>
    </row>
    <row r="227" spans="1:29" ht="49.5">
      <c r="A227" s="8">
        <f t="shared" si="7"/>
        <v>226</v>
      </c>
      <c r="B227" s="2" t="s">
        <v>1423</v>
      </c>
      <c r="C227" s="2"/>
      <c r="D227" s="4" t="s">
        <v>1743</v>
      </c>
      <c r="E227" s="5" t="s">
        <v>790</v>
      </c>
      <c r="F227" s="5" t="s">
        <v>972</v>
      </c>
      <c r="G227" s="5" t="s">
        <v>973</v>
      </c>
      <c r="H227" s="5"/>
      <c r="I227" s="4">
        <v>220186</v>
      </c>
      <c r="J227" s="4">
        <v>2510028</v>
      </c>
      <c r="K227" s="4">
        <v>219356.98300000001</v>
      </c>
      <c r="L227" s="4">
        <v>2510233.2379999999</v>
      </c>
      <c r="M227" s="5">
        <v>98</v>
      </c>
      <c r="N227" s="5" t="s">
        <v>1499</v>
      </c>
      <c r="O227" s="13">
        <v>40033.125</v>
      </c>
      <c r="P227" s="15" t="s">
        <v>1744</v>
      </c>
      <c r="Q227" s="4"/>
      <c r="R227" s="16" t="s">
        <v>608</v>
      </c>
      <c r="S227" s="16" t="s">
        <v>935</v>
      </c>
      <c r="T227" s="5">
        <v>53</v>
      </c>
      <c r="U227" s="5">
        <v>402.9</v>
      </c>
      <c r="V227" s="16" t="s">
        <v>857</v>
      </c>
      <c r="W227" s="8">
        <f t="shared" si="6"/>
        <v>0</v>
      </c>
      <c r="Y227" s="8"/>
      <c r="Z227" s="8"/>
      <c r="AC227" s="8" t="str">
        <f>IF(COUNTIFS(作業區!$W$2:$W$2000, T227, 作業區!$X$2:$X$2000, U227)&gt;0, "已存在", "未擴充")</f>
        <v>已存在</v>
      </c>
    </row>
    <row r="228" spans="1:29" ht="33">
      <c r="A228" s="8">
        <f t="shared" si="7"/>
        <v>227</v>
      </c>
      <c r="B228" s="2" t="s">
        <v>1745</v>
      </c>
      <c r="C228" s="2"/>
      <c r="D228" s="4" t="s">
        <v>1746</v>
      </c>
      <c r="E228" s="5" t="s">
        <v>790</v>
      </c>
      <c r="F228" s="5" t="s">
        <v>1524</v>
      </c>
      <c r="G228" s="5" t="s">
        <v>1747</v>
      </c>
      <c r="H228" s="5"/>
      <c r="I228" s="4">
        <v>214515</v>
      </c>
      <c r="J228" s="4">
        <v>2491869</v>
      </c>
      <c r="K228" s="4">
        <v>213685.95699999999</v>
      </c>
      <c r="L228" s="4">
        <v>2492074.1570000001</v>
      </c>
      <c r="M228" s="5">
        <v>98</v>
      </c>
      <c r="N228" s="5" t="s">
        <v>1499</v>
      </c>
      <c r="O228" s="13">
        <v>40034</v>
      </c>
      <c r="P228" s="15" t="s">
        <v>1748</v>
      </c>
      <c r="Q228" s="4"/>
      <c r="R228" s="16" t="s">
        <v>1527</v>
      </c>
      <c r="S228" s="16" t="s">
        <v>1749</v>
      </c>
      <c r="T228" s="5">
        <v>34.5</v>
      </c>
      <c r="U228" s="5">
        <v>1015.1</v>
      </c>
      <c r="V228" s="16">
        <v>600</v>
      </c>
      <c r="W228" s="8">
        <f t="shared" si="6"/>
        <v>0</v>
      </c>
      <c r="Y228" s="8"/>
      <c r="Z228" s="8"/>
      <c r="AC228" s="8" t="str">
        <f>IF(COUNTIFS(作業區!$W$2:$W$2000, T228, 作業區!$X$2:$X$2000, U228)&gt;0, "已存在", "未擴充")</f>
        <v>已存在</v>
      </c>
    </row>
    <row r="229" spans="1:29" ht="33">
      <c r="A229" s="8">
        <f t="shared" si="7"/>
        <v>228</v>
      </c>
      <c r="B229" s="2" t="s">
        <v>1745</v>
      </c>
      <c r="C229" s="2"/>
      <c r="D229" s="4" t="s">
        <v>1750</v>
      </c>
      <c r="E229" s="5" t="s">
        <v>802</v>
      </c>
      <c r="F229" s="5" t="s">
        <v>803</v>
      </c>
      <c r="G229" s="5" t="s">
        <v>1317</v>
      </c>
      <c r="H229" s="5" t="s">
        <v>1318</v>
      </c>
      <c r="I229" s="4">
        <v>215792</v>
      </c>
      <c r="J229" s="4">
        <v>2545885</v>
      </c>
      <c r="K229" s="4">
        <v>214962.973</v>
      </c>
      <c r="L229" s="4">
        <v>2546090.3939999999</v>
      </c>
      <c r="M229" s="5">
        <v>98</v>
      </c>
      <c r="N229" s="5" t="s">
        <v>1499</v>
      </c>
      <c r="O229" s="13">
        <v>40033.625</v>
      </c>
      <c r="P229" s="15" t="s">
        <v>1751</v>
      </c>
      <c r="Q229" s="4"/>
      <c r="R229" s="16" t="s">
        <v>225</v>
      </c>
      <c r="S229" s="16" t="s">
        <v>1224</v>
      </c>
      <c r="T229" s="5">
        <v>95.5</v>
      </c>
      <c r="U229" s="5">
        <v>920.8</v>
      </c>
      <c r="V229" s="16">
        <v>400</v>
      </c>
      <c r="W229" s="8">
        <f t="shared" si="6"/>
        <v>0</v>
      </c>
      <c r="Y229" s="8"/>
      <c r="Z229" s="8"/>
      <c r="AC229" s="8" t="str">
        <f>IF(COUNTIFS(作業區!$W$2:$W$2000, T229, 作業區!$X$2:$X$2000, U229)&gt;0, "已存在", "未擴充")</f>
        <v>已存在</v>
      </c>
    </row>
    <row r="230" spans="1:29" ht="66">
      <c r="A230" s="8">
        <f t="shared" si="7"/>
        <v>229</v>
      </c>
      <c r="B230" s="2" t="s">
        <v>1752</v>
      </c>
      <c r="C230" s="2"/>
      <c r="D230" s="4" t="s">
        <v>1753</v>
      </c>
      <c r="E230" s="5" t="s">
        <v>790</v>
      </c>
      <c r="F230" s="5" t="s">
        <v>1524</v>
      </c>
      <c r="G230" s="5" t="s">
        <v>1754</v>
      </c>
      <c r="H230" s="5"/>
      <c r="I230" s="4">
        <v>217706</v>
      </c>
      <c r="J230" s="4">
        <v>2491851</v>
      </c>
      <c r="K230" s="4">
        <v>216876.97</v>
      </c>
      <c r="L230" s="4">
        <v>2492056.1570000001</v>
      </c>
      <c r="M230" s="5">
        <v>98</v>
      </c>
      <c r="N230" s="5" t="s">
        <v>1499</v>
      </c>
      <c r="O230" s="13">
        <v>40033.458333333336</v>
      </c>
      <c r="P230" s="15" t="s">
        <v>1755</v>
      </c>
      <c r="Q230" s="4"/>
      <c r="R230" s="16" t="s">
        <v>1527</v>
      </c>
      <c r="S230" s="16" t="s">
        <v>1528</v>
      </c>
      <c r="T230" s="5">
        <v>47.5</v>
      </c>
      <c r="U230" s="5">
        <v>797.8</v>
      </c>
      <c r="V230" s="16">
        <v>600</v>
      </c>
      <c r="W230" s="8">
        <f t="shared" si="6"/>
        <v>0</v>
      </c>
      <c r="Y230" s="8"/>
      <c r="Z230" s="8"/>
      <c r="AC230" s="8" t="str">
        <f>IF(COUNTIFS(作業區!$W$2:$W$2000, T230, 作業區!$X$2:$X$2000, U230)&gt;0, "已存在", "未擴充")</f>
        <v>已存在</v>
      </c>
    </row>
    <row r="231" spans="1:29" ht="33">
      <c r="A231" s="8">
        <f t="shared" si="7"/>
        <v>230</v>
      </c>
      <c r="B231" s="2" t="s">
        <v>893</v>
      </c>
      <c r="C231" s="2"/>
      <c r="D231" s="4" t="s">
        <v>1756</v>
      </c>
      <c r="E231" s="5" t="s">
        <v>922</v>
      </c>
      <c r="F231" s="5" t="s">
        <v>1503</v>
      </c>
      <c r="G231" s="5" t="s">
        <v>1678</v>
      </c>
      <c r="H231" s="5" t="s">
        <v>1757</v>
      </c>
      <c r="I231" s="4">
        <v>242082</v>
      </c>
      <c r="J231" s="4">
        <v>2483451</v>
      </c>
      <c r="K231" s="4">
        <v>241253.065</v>
      </c>
      <c r="L231" s="4">
        <v>2483656.1159999999</v>
      </c>
      <c r="M231" s="5">
        <v>98</v>
      </c>
      <c r="N231" s="5" t="s">
        <v>1499</v>
      </c>
      <c r="O231" s="13">
        <v>40033.291666666664</v>
      </c>
      <c r="P231" s="15" t="s">
        <v>1758</v>
      </c>
      <c r="Q231" s="4"/>
      <c r="R231" s="16" t="s">
        <v>621</v>
      </c>
      <c r="S231" s="16" t="s">
        <v>1507</v>
      </c>
      <c r="T231" s="5">
        <v>100.5</v>
      </c>
      <c r="U231" s="5">
        <v>741</v>
      </c>
      <c r="V231" s="16">
        <v>550</v>
      </c>
      <c r="W231" s="8">
        <f t="shared" si="6"/>
        <v>0</v>
      </c>
      <c r="Y231" s="8"/>
      <c r="Z231" s="8"/>
      <c r="AC231" s="8" t="str">
        <f>IF(COUNTIFS(作業區!$W$2:$W$2000, T231, 作業區!$X$2:$X$2000, U231)&gt;0, "已存在", "未擴充")</f>
        <v>已存在</v>
      </c>
    </row>
    <row r="232" spans="1:29" ht="33">
      <c r="A232" s="8">
        <f t="shared" si="7"/>
        <v>231</v>
      </c>
      <c r="B232" s="5" t="s">
        <v>754</v>
      </c>
      <c r="C232" s="5"/>
      <c r="D232" s="4" t="s">
        <v>1759</v>
      </c>
      <c r="E232" s="5" t="s">
        <v>769</v>
      </c>
      <c r="F232" s="5" t="s">
        <v>1760</v>
      </c>
      <c r="G232" s="5" t="s">
        <v>1761</v>
      </c>
      <c r="H232" s="5" t="s">
        <v>1762</v>
      </c>
      <c r="I232" s="4">
        <v>235984</v>
      </c>
      <c r="J232" s="4">
        <v>2649957</v>
      </c>
      <c r="K232" s="4">
        <v>235155.054</v>
      </c>
      <c r="L232" s="4">
        <v>2650162.807</v>
      </c>
      <c r="M232" s="5">
        <v>98</v>
      </c>
      <c r="N232" s="5" t="s">
        <v>1499</v>
      </c>
      <c r="O232" s="13">
        <v>40034.208333333336</v>
      </c>
      <c r="P232" s="15" t="s">
        <v>1763</v>
      </c>
      <c r="Q232" s="4"/>
      <c r="R232" s="16" t="s">
        <v>911</v>
      </c>
      <c r="S232" s="16" t="s">
        <v>912</v>
      </c>
      <c r="T232" s="5">
        <v>38</v>
      </c>
      <c r="U232" s="5">
        <v>531.9</v>
      </c>
      <c r="V232" s="16">
        <v>300</v>
      </c>
      <c r="W232" s="8">
        <f t="shared" si="6"/>
        <v>0</v>
      </c>
      <c r="Y232" s="8"/>
      <c r="Z232" s="8"/>
      <c r="AC232" s="8" t="str">
        <f>IF(COUNTIFS(作業區!$W$2:$W$2000, T232, 作業區!$X$2:$X$2000, U232)&gt;0, "已存在", "未擴充")</f>
        <v>已存在</v>
      </c>
    </row>
    <row r="233" spans="1:29">
      <c r="A233" s="8">
        <f t="shared" si="7"/>
        <v>232</v>
      </c>
      <c r="B233" s="5" t="s">
        <v>754</v>
      </c>
      <c r="C233" s="5"/>
      <c r="D233" s="4" t="s">
        <v>1764</v>
      </c>
      <c r="E233" s="5" t="s">
        <v>785</v>
      </c>
      <c r="F233" s="5" t="s">
        <v>831</v>
      </c>
      <c r="G233" s="5" t="s">
        <v>810</v>
      </c>
      <c r="H233" s="5" t="s">
        <v>1516</v>
      </c>
      <c r="I233" s="4">
        <v>232615</v>
      </c>
      <c r="J233" s="4">
        <v>2630956</v>
      </c>
      <c r="K233" s="4">
        <v>231786.04199999999</v>
      </c>
      <c r="L233" s="4">
        <v>2631161.736</v>
      </c>
      <c r="M233" s="5">
        <v>98</v>
      </c>
      <c r="N233" s="5" t="s">
        <v>1499</v>
      </c>
      <c r="O233" s="13">
        <v>40034.083333333336</v>
      </c>
      <c r="P233" s="23" t="s">
        <v>1765</v>
      </c>
      <c r="Q233" s="4"/>
      <c r="R233" s="16" t="s">
        <v>122</v>
      </c>
      <c r="S233" s="16" t="s">
        <v>1217</v>
      </c>
      <c r="T233" s="5">
        <v>31.5</v>
      </c>
      <c r="U233" s="5">
        <v>433</v>
      </c>
      <c r="V233" s="16">
        <v>250</v>
      </c>
      <c r="W233" s="8">
        <f t="shared" si="6"/>
        <v>0</v>
      </c>
      <c r="Y233" s="8"/>
      <c r="Z233" s="8"/>
      <c r="AC233" s="8" t="str">
        <f>IF(COUNTIFS(作業區!$W$2:$W$2000, T233, 作業區!$X$2:$X$2000, U233)&gt;0, "已存在", "未擴充")</f>
        <v>已存在</v>
      </c>
    </row>
    <row r="234" spans="1:29">
      <c r="A234" s="8">
        <f t="shared" si="7"/>
        <v>233</v>
      </c>
      <c r="B234" s="5" t="s">
        <v>754</v>
      </c>
      <c r="C234" s="5"/>
      <c r="D234" s="4" t="s">
        <v>1766</v>
      </c>
      <c r="E234" s="5" t="s">
        <v>785</v>
      </c>
      <c r="F234" s="5" t="s">
        <v>953</v>
      </c>
      <c r="G234" s="5" t="s">
        <v>1767</v>
      </c>
      <c r="H234" s="5"/>
      <c r="I234" s="4">
        <v>227354</v>
      </c>
      <c r="J234" s="4">
        <v>2620524</v>
      </c>
      <c r="K234" s="4">
        <v>226525.024</v>
      </c>
      <c r="L234" s="4">
        <v>2620729.696</v>
      </c>
      <c r="M234" s="5">
        <v>98</v>
      </c>
      <c r="N234" s="5" t="s">
        <v>1499</v>
      </c>
      <c r="O234" s="13">
        <v>40034.416666666664</v>
      </c>
      <c r="P234" s="15" t="s">
        <v>1768</v>
      </c>
      <c r="Q234" s="4"/>
      <c r="R234" s="16" t="s">
        <v>1769</v>
      </c>
      <c r="S234" s="16" t="s">
        <v>1770</v>
      </c>
      <c r="T234" s="5">
        <v>57</v>
      </c>
      <c r="U234" s="5">
        <v>928</v>
      </c>
      <c r="V234" s="16">
        <v>350</v>
      </c>
      <c r="W234" s="8">
        <f t="shared" si="6"/>
        <v>0</v>
      </c>
      <c r="Y234" s="8"/>
      <c r="Z234" s="8"/>
      <c r="AC234" s="8" t="str">
        <f>IF(COUNTIFS(作業區!$W$2:$W$2000, T234, 作業區!$X$2:$X$2000, U234)&gt;0, "已存在", "未擴充")</f>
        <v>已存在</v>
      </c>
    </row>
    <row r="235" spans="1:29" ht="33">
      <c r="A235" s="8">
        <f t="shared" si="7"/>
        <v>234</v>
      </c>
      <c r="B235" s="2" t="s">
        <v>893</v>
      </c>
      <c r="C235" s="2"/>
      <c r="D235" s="4" t="s">
        <v>1771</v>
      </c>
      <c r="E235" s="5" t="s">
        <v>790</v>
      </c>
      <c r="F235" s="5" t="s">
        <v>1524</v>
      </c>
      <c r="G235" s="5" t="s">
        <v>1747</v>
      </c>
      <c r="H235" s="5"/>
      <c r="I235" s="4">
        <v>214789.01699999999</v>
      </c>
      <c r="J235" s="4">
        <v>2491774.0010000002</v>
      </c>
      <c r="K235" s="4">
        <v>213959.959</v>
      </c>
      <c r="L235" s="4">
        <v>2491979.1570000001</v>
      </c>
      <c r="M235" s="5">
        <v>98</v>
      </c>
      <c r="N235" s="5" t="s">
        <v>1499</v>
      </c>
      <c r="O235" s="13">
        <v>40034</v>
      </c>
      <c r="P235" s="15" t="s">
        <v>1772</v>
      </c>
      <c r="Q235" s="4"/>
      <c r="R235" s="16" t="s">
        <v>1527</v>
      </c>
      <c r="S235" s="16" t="s">
        <v>1528</v>
      </c>
      <c r="T235" s="5">
        <v>34.5</v>
      </c>
      <c r="U235" s="5">
        <v>1015.1</v>
      </c>
      <c r="V235" s="16">
        <v>600</v>
      </c>
      <c r="W235" s="8">
        <f t="shared" si="6"/>
        <v>0</v>
      </c>
      <c r="Y235" s="8"/>
      <c r="Z235" s="8"/>
      <c r="AC235" s="8" t="str">
        <f>IF(COUNTIFS(作業區!$W$2:$W$2000, T235, 作業區!$X$2:$X$2000, U235)&gt;0, "已存在", "未擴充")</f>
        <v>已存在</v>
      </c>
    </row>
    <row r="236" spans="1:29">
      <c r="A236" s="8">
        <f t="shared" si="7"/>
        <v>235</v>
      </c>
      <c r="B236" s="2" t="s">
        <v>754</v>
      </c>
      <c r="C236" s="2"/>
      <c r="D236" s="4" t="s">
        <v>1773</v>
      </c>
      <c r="E236" s="5" t="s">
        <v>802</v>
      </c>
      <c r="F236" s="5" t="s">
        <v>1302</v>
      </c>
      <c r="G236" s="5" t="s">
        <v>1649</v>
      </c>
      <c r="H236" s="5"/>
      <c r="I236" s="4">
        <v>214750</v>
      </c>
      <c r="J236" s="4">
        <v>2568189</v>
      </c>
      <c r="K236" s="4">
        <v>213920.973</v>
      </c>
      <c r="L236" s="4">
        <v>2568394.4879999999</v>
      </c>
      <c r="M236" s="5">
        <v>98</v>
      </c>
      <c r="N236" s="5" t="s">
        <v>1499</v>
      </c>
      <c r="O236" s="13">
        <v>40034.375</v>
      </c>
      <c r="P236" s="15" t="s">
        <v>1774</v>
      </c>
      <c r="Q236" s="4"/>
      <c r="R236" s="16" t="s">
        <v>579</v>
      </c>
      <c r="S236" s="16" t="s">
        <v>1532</v>
      </c>
      <c r="T236" s="5">
        <v>30.5</v>
      </c>
      <c r="U236" s="5">
        <v>1403.3</v>
      </c>
      <c r="V236" s="16">
        <v>500</v>
      </c>
      <c r="W236" s="8">
        <f t="shared" si="6"/>
        <v>0</v>
      </c>
      <c r="Y236" s="8"/>
      <c r="Z236" s="8"/>
      <c r="AC236" s="8" t="str">
        <f>IF(COUNTIFS(作業區!$W$2:$W$2000, T236, 作業區!$X$2:$X$2000, U236)&gt;0, "已存在", "未擴充")</f>
        <v>已存在</v>
      </c>
    </row>
    <row r="237" spans="1:29" ht="49.5">
      <c r="A237" s="8">
        <f t="shared" si="7"/>
        <v>236</v>
      </c>
      <c r="B237" s="2" t="s">
        <v>754</v>
      </c>
      <c r="C237" s="2"/>
      <c r="D237" s="4" t="s">
        <v>1775</v>
      </c>
      <c r="E237" s="5" t="s">
        <v>802</v>
      </c>
      <c r="F237" s="5" t="s">
        <v>1043</v>
      </c>
      <c r="G237" s="5" t="s">
        <v>1776</v>
      </c>
      <c r="H237" s="5"/>
      <c r="I237" s="4">
        <v>208755</v>
      </c>
      <c r="J237" s="4">
        <v>2552247</v>
      </c>
      <c r="K237" s="4">
        <v>207925.948</v>
      </c>
      <c r="L237" s="4">
        <v>2552452.4219999998</v>
      </c>
      <c r="M237" s="5">
        <v>98</v>
      </c>
      <c r="N237" s="5" t="s">
        <v>1499</v>
      </c>
      <c r="O237" s="13">
        <v>40033.958333333336</v>
      </c>
      <c r="P237" s="15" t="s">
        <v>1777</v>
      </c>
      <c r="Q237" s="4"/>
      <c r="R237" s="16" t="s">
        <v>559</v>
      </c>
      <c r="S237" s="16" t="s">
        <v>1048</v>
      </c>
      <c r="T237" s="5">
        <v>54.5</v>
      </c>
      <c r="U237" s="5">
        <v>1411.2</v>
      </c>
      <c r="V237" s="16" t="s">
        <v>857</v>
      </c>
      <c r="W237" s="8">
        <f t="shared" si="6"/>
        <v>1</v>
      </c>
      <c r="Y237" s="8"/>
      <c r="Z237" s="8"/>
      <c r="AC237" s="8" t="str">
        <f>IF(COUNTIFS(作業區!$W$2:$W$2000, T237, 作業區!$X$2:$X$2000, U237)&gt;0, "已存在", "未擴充")</f>
        <v>已存在</v>
      </c>
    </row>
    <row r="238" spans="1:29">
      <c r="A238" s="8">
        <f t="shared" si="7"/>
        <v>237</v>
      </c>
      <c r="B238" s="2" t="s">
        <v>893</v>
      </c>
      <c r="C238" s="2"/>
      <c r="D238" s="4" t="s">
        <v>1778</v>
      </c>
      <c r="E238" s="5" t="s">
        <v>802</v>
      </c>
      <c r="F238" s="5" t="s">
        <v>803</v>
      </c>
      <c r="G238" s="5" t="s">
        <v>1317</v>
      </c>
      <c r="H238" s="5"/>
      <c r="I238" s="4">
        <v>216088</v>
      </c>
      <c r="J238" s="4">
        <v>2545472</v>
      </c>
      <c r="K238" s="4">
        <v>215258.97399999999</v>
      </c>
      <c r="L238" s="4">
        <v>2545677.392</v>
      </c>
      <c r="M238" s="5">
        <v>98</v>
      </c>
      <c r="N238" s="5" t="s">
        <v>1499</v>
      </c>
      <c r="O238" s="13">
        <v>40034.166666666664</v>
      </c>
      <c r="P238" s="15" t="s">
        <v>1779</v>
      </c>
      <c r="Q238" s="4"/>
      <c r="R238" s="16" t="s">
        <v>225</v>
      </c>
      <c r="S238" s="16" t="s">
        <v>1224</v>
      </c>
      <c r="T238" s="5">
        <v>27</v>
      </c>
      <c r="U238" s="5">
        <v>1525</v>
      </c>
      <c r="V238" s="16">
        <v>400</v>
      </c>
      <c r="W238" s="8">
        <f t="shared" si="6"/>
        <v>0</v>
      </c>
      <c r="Y238" s="8"/>
      <c r="Z238" s="8"/>
      <c r="AC238" s="8" t="str">
        <f>IF(COUNTIFS(作業區!$W$2:$W$2000, T238, 作業區!$X$2:$X$2000, U238)&gt;0, "已存在", "未擴充")</f>
        <v>已存在</v>
      </c>
    </row>
    <row r="239" spans="1:29" ht="66" hidden="1">
      <c r="A239" s="8">
        <f t="shared" si="7"/>
        <v>238</v>
      </c>
      <c r="B239" s="2" t="s">
        <v>893</v>
      </c>
      <c r="C239" s="2"/>
      <c r="D239" s="4" t="s">
        <v>1780</v>
      </c>
      <c r="E239" s="5" t="s">
        <v>802</v>
      </c>
      <c r="F239" s="5" t="s">
        <v>803</v>
      </c>
      <c r="G239" s="5" t="s">
        <v>1050</v>
      </c>
      <c r="H239" s="5"/>
      <c r="I239" s="4">
        <v>221973</v>
      </c>
      <c r="J239" s="4">
        <v>2555585</v>
      </c>
      <c r="K239" s="4">
        <v>221143.997</v>
      </c>
      <c r="L239" s="4">
        <v>2555790.4339999999</v>
      </c>
      <c r="M239" s="5">
        <v>98</v>
      </c>
      <c r="N239" s="5" t="s">
        <v>1499</v>
      </c>
      <c r="O239" s="13">
        <v>40034.25</v>
      </c>
      <c r="P239" s="15" t="s">
        <v>1781</v>
      </c>
      <c r="Q239" s="4"/>
      <c r="R239" s="16" t="s">
        <v>225</v>
      </c>
      <c r="S239" s="16" t="s">
        <v>1224</v>
      </c>
      <c r="T239" s="5">
        <v>35.5</v>
      </c>
      <c r="U239" s="5">
        <v>1585.6</v>
      </c>
      <c r="V239" s="16">
        <v>400</v>
      </c>
      <c r="W239" s="8">
        <f t="shared" si="6"/>
        <v>0</v>
      </c>
      <c r="Y239" s="8"/>
      <c r="Z239" s="8"/>
      <c r="AC239" s="8" t="str">
        <f>IF(COUNTIFS(作業區!$W$2:$W$2000, T239, 作業區!$X$2:$X$2000, U239)&gt;0, "已存在", "未擴充")</f>
        <v>已存在</v>
      </c>
    </row>
    <row r="240" spans="1:29" ht="33" hidden="1">
      <c r="A240" s="8">
        <f t="shared" si="7"/>
        <v>239</v>
      </c>
      <c r="B240" s="2" t="s">
        <v>893</v>
      </c>
      <c r="C240" s="2"/>
      <c r="D240" s="4" t="s">
        <v>1782</v>
      </c>
      <c r="E240" s="5" t="s">
        <v>802</v>
      </c>
      <c r="F240" s="5" t="s">
        <v>803</v>
      </c>
      <c r="G240" s="5" t="s">
        <v>808</v>
      </c>
      <c r="H240" s="5" t="s">
        <v>1783</v>
      </c>
      <c r="I240" s="4">
        <v>215816</v>
      </c>
      <c r="J240" s="4">
        <v>2547873</v>
      </c>
      <c r="K240" s="4">
        <v>214986.973</v>
      </c>
      <c r="L240" s="4">
        <v>2548078.4019999998</v>
      </c>
      <c r="M240" s="5">
        <v>98</v>
      </c>
      <c r="N240" s="5" t="s">
        <v>1499</v>
      </c>
      <c r="O240" s="13">
        <v>40034.25</v>
      </c>
      <c r="P240" s="15" t="s">
        <v>1784</v>
      </c>
      <c r="Q240" s="4"/>
      <c r="R240" s="16" t="s">
        <v>1661</v>
      </c>
      <c r="S240" s="16" t="s">
        <v>1224</v>
      </c>
      <c r="T240" s="5">
        <v>35.5</v>
      </c>
      <c r="U240" s="5">
        <v>1585.6</v>
      </c>
      <c r="V240" s="16">
        <v>400</v>
      </c>
      <c r="W240" s="8">
        <f t="shared" si="6"/>
        <v>0</v>
      </c>
      <c r="Y240" s="8"/>
      <c r="Z240" s="8"/>
      <c r="AC240" s="8" t="str">
        <f>IF(COUNTIFS(作業區!$W$2:$W$2000, T240, 作業區!$X$2:$X$2000, U240)&gt;0, "已存在", "未擴充")</f>
        <v>已存在</v>
      </c>
    </row>
    <row r="241" spans="1:29" ht="33">
      <c r="A241" s="8">
        <f t="shared" si="7"/>
        <v>240</v>
      </c>
      <c r="B241" s="2" t="s">
        <v>893</v>
      </c>
      <c r="C241" s="2"/>
      <c r="D241" s="4" t="s">
        <v>1785</v>
      </c>
      <c r="E241" s="5" t="s">
        <v>802</v>
      </c>
      <c r="F241" s="5" t="s">
        <v>1786</v>
      </c>
      <c r="G241" s="5" t="s">
        <v>1787</v>
      </c>
      <c r="H241" s="5" t="s">
        <v>1788</v>
      </c>
      <c r="I241" s="4">
        <v>217161</v>
      </c>
      <c r="J241" s="4">
        <v>2534363</v>
      </c>
      <c r="K241" s="4">
        <v>216331.976</v>
      </c>
      <c r="L241" s="4">
        <v>2534568.344</v>
      </c>
      <c r="M241" s="5">
        <v>98</v>
      </c>
      <c r="N241" s="5" t="s">
        <v>1499</v>
      </c>
      <c r="O241" s="13">
        <v>40034.166666666664</v>
      </c>
      <c r="P241" s="15" t="s">
        <v>1789</v>
      </c>
      <c r="Q241" s="4"/>
      <c r="R241" s="16" t="s">
        <v>233</v>
      </c>
      <c r="S241" s="16" t="s">
        <v>1239</v>
      </c>
      <c r="T241" s="5">
        <v>25</v>
      </c>
      <c r="U241" s="5">
        <v>993.9</v>
      </c>
      <c r="V241" s="16" t="s">
        <v>975</v>
      </c>
      <c r="W241" s="8">
        <f t="shared" si="6"/>
        <v>0</v>
      </c>
      <c r="Y241" s="8"/>
      <c r="Z241" s="8"/>
      <c r="AC241" s="8" t="str">
        <f>IF(COUNTIFS(作業區!$W$2:$W$2000, T241, 作業區!$X$2:$X$2000, U241)&gt;0, "已存在", "未擴充")</f>
        <v>已存在</v>
      </c>
    </row>
    <row r="242" spans="1:29" ht="33">
      <c r="A242" s="8">
        <f t="shared" si="7"/>
        <v>241</v>
      </c>
      <c r="B242" s="5" t="s">
        <v>754</v>
      </c>
      <c r="C242" s="5"/>
      <c r="D242" s="4" t="s">
        <v>1790</v>
      </c>
      <c r="E242" s="5" t="s">
        <v>869</v>
      </c>
      <c r="F242" s="5" t="s">
        <v>1581</v>
      </c>
      <c r="G242" s="5" t="s">
        <v>1791</v>
      </c>
      <c r="H242" s="5" t="s">
        <v>1792</v>
      </c>
      <c r="I242" s="4">
        <v>210392</v>
      </c>
      <c r="J242" s="4">
        <v>2609914</v>
      </c>
      <c r="K242" s="4">
        <v>209562.967</v>
      </c>
      <c r="L242" s="4">
        <v>2610119.6570000001</v>
      </c>
      <c r="M242" s="5">
        <v>98</v>
      </c>
      <c r="N242" s="5" t="s">
        <v>1499</v>
      </c>
      <c r="O242" s="13">
        <v>40034.291666666664</v>
      </c>
      <c r="P242" s="15" t="s">
        <v>1793</v>
      </c>
      <c r="Q242" s="4"/>
      <c r="R242" s="16" t="s">
        <v>1794</v>
      </c>
      <c r="S242" s="16" t="s">
        <v>1795</v>
      </c>
      <c r="T242" s="5">
        <v>10.5</v>
      </c>
      <c r="U242" s="5">
        <v>899</v>
      </c>
      <c r="V242" s="16">
        <v>400</v>
      </c>
      <c r="W242" s="8">
        <f t="shared" si="6"/>
        <v>0</v>
      </c>
      <c r="Y242" s="8"/>
      <c r="Z242" s="8"/>
      <c r="AC242" s="8" t="str">
        <f>IF(COUNTIFS(作業區!$W$2:$W$2000, T242, 作業區!$X$2:$X$2000, U242)&gt;0, "已存在", "未擴充")</f>
        <v>已存在</v>
      </c>
    </row>
    <row r="243" spans="1:29">
      <c r="A243" s="8">
        <f t="shared" si="7"/>
        <v>242</v>
      </c>
      <c r="B243" s="5" t="s">
        <v>754</v>
      </c>
      <c r="C243" s="5"/>
      <c r="D243" s="4" t="s">
        <v>1796</v>
      </c>
      <c r="E243" s="5" t="s">
        <v>869</v>
      </c>
      <c r="F243" s="5" t="s">
        <v>1581</v>
      </c>
      <c r="G243" s="5" t="s">
        <v>1582</v>
      </c>
      <c r="H243" s="5"/>
      <c r="I243" s="4">
        <v>218789</v>
      </c>
      <c r="J243" s="4">
        <v>2609055</v>
      </c>
      <c r="K243" s="4">
        <v>217959.99400000001</v>
      </c>
      <c r="L243" s="4">
        <v>2609260.6519999998</v>
      </c>
      <c r="M243" s="5">
        <v>98</v>
      </c>
      <c r="N243" s="5" t="s">
        <v>1499</v>
      </c>
      <c r="O243" s="13">
        <v>40034</v>
      </c>
      <c r="P243" s="15" t="s">
        <v>1797</v>
      </c>
      <c r="Q243" s="4"/>
      <c r="R243" s="16" t="s">
        <v>198</v>
      </c>
      <c r="S243" s="16" t="s">
        <v>1585</v>
      </c>
      <c r="T243" s="5">
        <v>68.5</v>
      </c>
      <c r="U243" s="5">
        <v>1160.3</v>
      </c>
      <c r="V243" s="16">
        <v>400</v>
      </c>
      <c r="W243" s="8">
        <f t="shared" si="6"/>
        <v>0</v>
      </c>
      <c r="Y243" s="8"/>
      <c r="Z243" s="8"/>
      <c r="AC243" s="8" t="str">
        <f>IF(COUNTIFS(作業區!$W$2:$W$2000, T243, 作業區!$X$2:$X$2000, U243)&gt;0, "已存在", "未擴充")</f>
        <v>已存在</v>
      </c>
    </row>
    <row r="244" spans="1:29" ht="33">
      <c r="A244" s="8">
        <f t="shared" si="7"/>
        <v>243</v>
      </c>
      <c r="B244" s="2" t="s">
        <v>754</v>
      </c>
      <c r="C244" s="2"/>
      <c r="D244" s="4" t="s">
        <v>1798</v>
      </c>
      <c r="E244" s="5" t="s">
        <v>1061</v>
      </c>
      <c r="F244" s="5" t="s">
        <v>1587</v>
      </c>
      <c r="G244" s="5" t="s">
        <v>1593</v>
      </c>
      <c r="H244" s="5"/>
      <c r="I244" s="4">
        <v>221370</v>
      </c>
      <c r="J244" s="4">
        <v>2603765</v>
      </c>
      <c r="K244" s="4">
        <v>220541.00200000001</v>
      </c>
      <c r="L244" s="4">
        <v>2603970.6310000001</v>
      </c>
      <c r="M244" s="5">
        <v>98</v>
      </c>
      <c r="N244" s="5" t="s">
        <v>1499</v>
      </c>
      <c r="O244" s="13">
        <v>40034.083333333336</v>
      </c>
      <c r="P244" s="15" t="s">
        <v>1799</v>
      </c>
      <c r="Q244" s="4"/>
      <c r="R244" s="16" t="s">
        <v>211</v>
      </c>
      <c r="S244" s="16" t="s">
        <v>1591</v>
      </c>
      <c r="T244" s="5">
        <v>108</v>
      </c>
      <c r="U244" s="5">
        <v>1218.7</v>
      </c>
      <c r="V244" s="16">
        <v>400</v>
      </c>
      <c r="W244" s="8">
        <f t="shared" si="6"/>
        <v>1</v>
      </c>
      <c r="Y244" s="8"/>
      <c r="Z244" s="8"/>
      <c r="AC244" s="8" t="str">
        <f>IF(COUNTIFS(作業區!$W$2:$W$2000, T244, 作業區!$X$2:$X$2000, U244)&gt;0, "已存在", "未擴充")</f>
        <v>已存在</v>
      </c>
    </row>
    <row r="245" spans="1:29" ht="49.5">
      <c r="A245" s="8">
        <f t="shared" si="7"/>
        <v>244</v>
      </c>
      <c r="B245" s="2" t="s">
        <v>754</v>
      </c>
      <c r="C245" s="2"/>
      <c r="D245" s="4" t="s">
        <v>1800</v>
      </c>
      <c r="E245" s="5" t="s">
        <v>1061</v>
      </c>
      <c r="F245" s="5" t="s">
        <v>1587</v>
      </c>
      <c r="G245" s="5" t="s">
        <v>1588</v>
      </c>
      <c r="H245" s="5"/>
      <c r="I245" s="4">
        <v>217186</v>
      </c>
      <c r="J245" s="4">
        <v>2604363</v>
      </c>
      <c r="K245" s="4">
        <v>216356.98800000001</v>
      </c>
      <c r="L245" s="4">
        <v>2604568.6340000001</v>
      </c>
      <c r="M245" s="5">
        <v>98</v>
      </c>
      <c r="N245" s="5" t="s">
        <v>1499</v>
      </c>
      <c r="O245" s="13">
        <v>40033.958333333336</v>
      </c>
      <c r="P245" s="15" t="s">
        <v>1801</v>
      </c>
      <c r="Q245" s="4"/>
      <c r="R245" s="16" t="s">
        <v>1596</v>
      </c>
      <c r="S245" s="16" t="s">
        <v>1591</v>
      </c>
      <c r="T245" s="5">
        <v>51.5</v>
      </c>
      <c r="U245" s="5">
        <v>972.5</v>
      </c>
      <c r="V245" s="16">
        <v>400</v>
      </c>
      <c r="W245" s="8">
        <f t="shared" si="6"/>
        <v>0</v>
      </c>
      <c r="Y245" s="8"/>
      <c r="Z245" s="8"/>
      <c r="AC245" s="8" t="str">
        <f>IF(COUNTIFS(作業區!$W$2:$W$2000, T245, 作業區!$X$2:$X$2000, U245)&gt;0, "已存在", "未擴充")</f>
        <v>已存在</v>
      </c>
    </row>
    <row r="246" spans="1:29" ht="33">
      <c r="A246" s="8">
        <f t="shared" si="7"/>
        <v>245</v>
      </c>
      <c r="B246" s="2" t="s">
        <v>754</v>
      </c>
      <c r="C246" s="2"/>
      <c r="D246" s="4" t="s">
        <v>1802</v>
      </c>
      <c r="E246" s="5" t="s">
        <v>1061</v>
      </c>
      <c r="F246" s="5" t="s">
        <v>1587</v>
      </c>
      <c r="G246" s="5" t="s">
        <v>1803</v>
      </c>
      <c r="H246" s="5"/>
      <c r="I246" s="4">
        <v>214337</v>
      </c>
      <c r="J246" s="4">
        <v>2606574</v>
      </c>
      <c r="K246" s="4">
        <v>213507.97899999999</v>
      </c>
      <c r="L246" s="4">
        <v>2606779.6430000002</v>
      </c>
      <c r="M246" s="5">
        <v>98</v>
      </c>
      <c r="N246" s="5" t="s">
        <v>1499</v>
      </c>
      <c r="O246" s="13">
        <v>40034.041666666664</v>
      </c>
      <c r="P246" s="15" t="s">
        <v>1804</v>
      </c>
      <c r="Q246" s="4"/>
      <c r="R246" s="16" t="s">
        <v>211</v>
      </c>
      <c r="S246" s="16" t="s">
        <v>1591</v>
      </c>
      <c r="T246" s="5">
        <v>87.5</v>
      </c>
      <c r="U246" s="5">
        <v>1119.5</v>
      </c>
      <c r="V246" s="16" t="s">
        <v>1668</v>
      </c>
      <c r="W246" s="8">
        <f t="shared" si="6"/>
        <v>0</v>
      </c>
      <c r="Y246" s="8"/>
      <c r="Z246" s="8"/>
      <c r="AC246" s="8" t="str">
        <f>IF(COUNTIFS(作業區!$W$2:$W$2000, T246, 作業區!$X$2:$X$2000, U246)&gt;0, "已存在", "未擴充")</f>
        <v>已存在</v>
      </c>
    </row>
    <row r="247" spans="1:29" ht="33">
      <c r="A247" s="8">
        <f t="shared" si="7"/>
        <v>246</v>
      </c>
      <c r="B247" s="2" t="s">
        <v>754</v>
      </c>
      <c r="C247" s="2"/>
      <c r="D247" s="4" t="s">
        <v>1805</v>
      </c>
      <c r="E247" s="5" t="s">
        <v>1061</v>
      </c>
      <c r="F247" s="5" t="s">
        <v>1706</v>
      </c>
      <c r="G247" s="5" t="s">
        <v>1806</v>
      </c>
      <c r="H247" s="5" t="s">
        <v>1807</v>
      </c>
      <c r="I247" s="4">
        <v>213294</v>
      </c>
      <c r="J247" s="4">
        <v>2592969</v>
      </c>
      <c r="K247" s="4">
        <v>212464.973</v>
      </c>
      <c r="L247" s="4">
        <v>2593174.5890000002</v>
      </c>
      <c r="M247" s="5">
        <v>98</v>
      </c>
      <c r="N247" s="5" t="s">
        <v>1499</v>
      </c>
      <c r="O247" s="13">
        <v>40034.041666666664</v>
      </c>
      <c r="P247" s="15" t="s">
        <v>1808</v>
      </c>
      <c r="Q247" s="4"/>
      <c r="R247" s="16" t="s">
        <v>1071</v>
      </c>
      <c r="S247" s="16" t="s">
        <v>1072</v>
      </c>
      <c r="T247" s="5">
        <v>56</v>
      </c>
      <c r="U247" s="5">
        <v>1395.9</v>
      </c>
      <c r="V247" s="16" t="s">
        <v>1809</v>
      </c>
      <c r="W247" s="8">
        <f t="shared" si="6"/>
        <v>0</v>
      </c>
      <c r="Y247" s="8"/>
      <c r="Z247" s="8"/>
      <c r="AC247" s="8" t="str">
        <f>IF(COUNTIFS(作業區!$W$2:$W$2000, T247, 作業區!$X$2:$X$2000, U247)&gt;0, "已存在", "未擴充")</f>
        <v>已存在</v>
      </c>
    </row>
    <row r="248" spans="1:29" ht="47.25">
      <c r="A248" s="8">
        <f t="shared" si="7"/>
        <v>247</v>
      </c>
      <c r="B248" s="2" t="s">
        <v>754</v>
      </c>
      <c r="C248" s="2"/>
      <c r="D248" s="4" t="s">
        <v>1810</v>
      </c>
      <c r="E248" s="5" t="s">
        <v>1061</v>
      </c>
      <c r="F248" s="5" t="s">
        <v>1556</v>
      </c>
      <c r="G248" s="5" t="s">
        <v>1811</v>
      </c>
      <c r="H248" s="5"/>
      <c r="I248" s="4">
        <v>217144</v>
      </c>
      <c r="J248" s="4">
        <v>2594495</v>
      </c>
      <c r="K248" s="4">
        <v>216314.986</v>
      </c>
      <c r="L248" s="4">
        <v>2594700.5950000002</v>
      </c>
      <c r="M248" s="5">
        <v>98</v>
      </c>
      <c r="N248" s="5" t="s">
        <v>1499</v>
      </c>
      <c r="O248" s="13" t="s">
        <v>1812</v>
      </c>
      <c r="P248" s="15" t="s">
        <v>1813</v>
      </c>
      <c r="Q248" s="4"/>
      <c r="R248" s="16" t="s">
        <v>520</v>
      </c>
      <c r="S248" s="16" t="s">
        <v>1814</v>
      </c>
      <c r="T248" s="5">
        <v>30.5</v>
      </c>
      <c r="U248" s="5">
        <v>555.20000000000005</v>
      </c>
      <c r="V248" s="16">
        <v>300</v>
      </c>
      <c r="W248" s="8">
        <f t="shared" si="6"/>
        <v>0</v>
      </c>
      <c r="Y248" s="8"/>
      <c r="Z248" s="8"/>
      <c r="AC248" s="8" t="str">
        <f>IF(COUNTIFS(作業區!$W$2:$W$2000, T248, 作業區!$X$2:$X$2000, U248)&gt;0, "已存在", "未擴充")</f>
        <v>已存在</v>
      </c>
    </row>
    <row r="249" spans="1:29">
      <c r="A249" s="8">
        <f t="shared" si="7"/>
        <v>248</v>
      </c>
      <c r="B249" s="2" t="s">
        <v>754</v>
      </c>
      <c r="C249" s="2"/>
      <c r="D249" s="4" t="s">
        <v>1815</v>
      </c>
      <c r="E249" s="5" t="s">
        <v>1061</v>
      </c>
      <c r="F249" s="5" t="s">
        <v>1068</v>
      </c>
      <c r="G249" s="5" t="s">
        <v>1816</v>
      </c>
      <c r="H249" s="5"/>
      <c r="I249" s="4">
        <v>204417</v>
      </c>
      <c r="J249" s="4">
        <v>2584307</v>
      </c>
      <c r="K249" s="4">
        <v>203587.94099999999</v>
      </c>
      <c r="L249" s="4">
        <v>2584512.5559999999</v>
      </c>
      <c r="M249" s="5">
        <v>98</v>
      </c>
      <c r="N249" s="5" t="s">
        <v>1499</v>
      </c>
      <c r="O249" s="13">
        <v>40034.166666666664</v>
      </c>
      <c r="P249" s="15" t="s">
        <v>1817</v>
      </c>
      <c r="Q249" s="4"/>
      <c r="R249" s="16" t="s">
        <v>1071</v>
      </c>
      <c r="S249" s="16" t="s">
        <v>1818</v>
      </c>
      <c r="T249" s="5">
        <v>50</v>
      </c>
      <c r="U249" s="5">
        <v>1546.9</v>
      </c>
      <c r="V249" s="16" t="s">
        <v>1668</v>
      </c>
      <c r="W249" s="8">
        <f t="shared" si="6"/>
        <v>1</v>
      </c>
      <c r="Y249" s="8"/>
      <c r="Z249" s="8"/>
      <c r="AC249" s="8" t="str">
        <f>IF(COUNTIFS(作業區!$W$2:$W$2000, T249, 作業區!$X$2:$X$2000, U249)&gt;0, "已存在", "未擴充")</f>
        <v>已存在</v>
      </c>
    </row>
    <row r="250" spans="1:29" ht="33">
      <c r="A250" s="8">
        <f t="shared" si="7"/>
        <v>249</v>
      </c>
      <c r="B250" s="5" t="s">
        <v>754</v>
      </c>
      <c r="C250" s="5"/>
      <c r="D250" s="4" t="s">
        <v>1819</v>
      </c>
      <c r="E250" s="5" t="s">
        <v>785</v>
      </c>
      <c r="F250" s="5" t="s">
        <v>1213</v>
      </c>
      <c r="G250" s="5" t="s">
        <v>1571</v>
      </c>
      <c r="H250" s="5"/>
      <c r="I250" s="4">
        <v>237189</v>
      </c>
      <c r="J250" s="4">
        <v>2608592</v>
      </c>
      <c r="K250" s="4">
        <v>236360.05499999999</v>
      </c>
      <c r="L250" s="4">
        <v>2608797.648</v>
      </c>
      <c r="M250" s="5">
        <v>98</v>
      </c>
      <c r="N250" s="5" t="s">
        <v>1499</v>
      </c>
      <c r="O250" s="13">
        <v>40033.833333333336</v>
      </c>
      <c r="P250" s="15" t="s">
        <v>1820</v>
      </c>
      <c r="Q250" s="4"/>
      <c r="R250" s="16" t="s">
        <v>147</v>
      </c>
      <c r="S250" s="16" t="s">
        <v>1573</v>
      </c>
      <c r="T250" s="5">
        <v>46.5</v>
      </c>
      <c r="U250" s="5">
        <v>753.4</v>
      </c>
      <c r="V250" s="16">
        <v>250</v>
      </c>
      <c r="W250" s="8">
        <f t="shared" si="6"/>
        <v>0</v>
      </c>
      <c r="Y250" s="8"/>
      <c r="Z250" s="8"/>
      <c r="AC250" s="8" t="str">
        <f>IF(COUNTIFS(作業區!$W$2:$W$2000, T250, 作業區!$X$2:$X$2000, U250)&gt;0, "已存在", "未擴充")</f>
        <v>已存在</v>
      </c>
    </row>
    <row r="251" spans="1:29" ht="33">
      <c r="A251" s="8">
        <f t="shared" si="7"/>
        <v>250</v>
      </c>
      <c r="B251" s="5" t="s">
        <v>754</v>
      </c>
      <c r="C251" s="5"/>
      <c r="D251" s="4" t="s">
        <v>1821</v>
      </c>
      <c r="E251" s="5" t="s">
        <v>785</v>
      </c>
      <c r="F251" s="5" t="s">
        <v>1213</v>
      </c>
      <c r="G251" s="5" t="s">
        <v>1571</v>
      </c>
      <c r="H251" s="5"/>
      <c r="I251" s="4">
        <v>235770</v>
      </c>
      <c r="J251" s="4">
        <v>2603457</v>
      </c>
      <c r="K251" s="4">
        <v>234941.05</v>
      </c>
      <c r="L251" s="4">
        <v>2603662.628</v>
      </c>
      <c r="M251" s="5">
        <v>98</v>
      </c>
      <c r="N251" s="5" t="s">
        <v>1499</v>
      </c>
      <c r="O251" s="13">
        <v>40033.333333333336</v>
      </c>
      <c r="P251" s="15" t="s">
        <v>1822</v>
      </c>
      <c r="Q251" s="4"/>
      <c r="R251" s="16" t="s">
        <v>147</v>
      </c>
      <c r="S251" s="16" t="s">
        <v>1573</v>
      </c>
      <c r="T251" s="5">
        <v>21.5</v>
      </c>
      <c r="U251" s="5">
        <v>397.9</v>
      </c>
      <c r="V251" s="16">
        <v>250</v>
      </c>
      <c r="W251" s="8">
        <f t="shared" si="6"/>
        <v>0</v>
      </c>
      <c r="Y251" s="8"/>
      <c r="Z251" s="8"/>
      <c r="AC251" s="8" t="str">
        <f>IF(COUNTIFS(作業區!$W$2:$W$2000, T251, 作業區!$X$2:$X$2000, U251)&gt;0, "已存在", "未擴充")</f>
        <v>已存在</v>
      </c>
    </row>
    <row r="252" spans="1:29" ht="49.5">
      <c r="A252" s="8">
        <f t="shared" si="7"/>
        <v>251</v>
      </c>
      <c r="B252" s="5" t="s">
        <v>754</v>
      </c>
      <c r="C252" s="5"/>
      <c r="D252" s="4" t="s">
        <v>1823</v>
      </c>
      <c r="E252" s="5" t="s">
        <v>869</v>
      </c>
      <c r="F252" s="5" t="s">
        <v>1581</v>
      </c>
      <c r="G252" s="5" t="s">
        <v>1582</v>
      </c>
      <c r="H252" s="5" t="s">
        <v>1824</v>
      </c>
      <c r="I252" s="4">
        <v>218280</v>
      </c>
      <c r="J252" s="4">
        <v>2609283</v>
      </c>
      <c r="K252" s="4">
        <v>217450.99299999999</v>
      </c>
      <c r="L252" s="4">
        <v>2609488.6529999999</v>
      </c>
      <c r="M252" s="5">
        <v>98</v>
      </c>
      <c r="N252" s="5" t="s">
        <v>1499</v>
      </c>
      <c r="O252" s="13">
        <v>40034.125</v>
      </c>
      <c r="P252" s="15" t="s">
        <v>1825</v>
      </c>
      <c r="Q252" s="4"/>
      <c r="R252" s="16" t="s">
        <v>198</v>
      </c>
      <c r="S252" s="16" t="s">
        <v>1585</v>
      </c>
      <c r="T252" s="5">
        <v>56</v>
      </c>
      <c r="U252" s="5">
        <v>1367.2</v>
      </c>
      <c r="V252" s="16">
        <v>400</v>
      </c>
      <c r="W252" s="8">
        <f t="shared" si="6"/>
        <v>0</v>
      </c>
      <c r="Y252" s="8"/>
      <c r="Z252" s="8"/>
      <c r="AC252" s="8" t="str">
        <f>IF(COUNTIFS(作業區!$W$2:$W$2000, T252, 作業區!$X$2:$X$2000, U252)&gt;0, "已存在", "未擴充")</f>
        <v>已存在</v>
      </c>
    </row>
    <row r="253" spans="1:29" ht="49.5" hidden="1">
      <c r="A253" s="8">
        <f t="shared" si="7"/>
        <v>252</v>
      </c>
      <c r="B253" s="5" t="s">
        <v>754</v>
      </c>
      <c r="C253" s="5"/>
      <c r="D253" s="4" t="s">
        <v>1826</v>
      </c>
      <c r="E253" s="5" t="s">
        <v>869</v>
      </c>
      <c r="F253" s="5" t="s">
        <v>1581</v>
      </c>
      <c r="G253" s="5" t="s">
        <v>1827</v>
      </c>
      <c r="H253" s="5" t="s">
        <v>1828</v>
      </c>
      <c r="I253" s="4">
        <v>213065</v>
      </c>
      <c r="J253" s="4">
        <v>2611862</v>
      </c>
      <c r="K253" s="4">
        <v>212235.976</v>
      </c>
      <c r="L253" s="4">
        <v>2612067.6639999999</v>
      </c>
      <c r="M253" s="5">
        <v>98</v>
      </c>
      <c r="N253" s="5" t="s">
        <v>1499</v>
      </c>
      <c r="O253" s="13">
        <v>40033.916666666664</v>
      </c>
      <c r="P253" s="15" t="s">
        <v>1829</v>
      </c>
      <c r="Q253" s="4"/>
      <c r="R253" s="16" t="s">
        <v>1830</v>
      </c>
      <c r="S253" s="16" t="s">
        <v>1585</v>
      </c>
      <c r="T253" s="5">
        <v>33</v>
      </c>
      <c r="U253" s="5">
        <v>1051.0999999999999</v>
      </c>
      <c r="V253" s="16">
        <v>400</v>
      </c>
      <c r="W253" s="8">
        <f t="shared" si="6"/>
        <v>0</v>
      </c>
      <c r="Y253" s="8"/>
      <c r="Z253" s="8"/>
      <c r="AC253" s="8" t="str">
        <f>IF(COUNTIFS(作業區!$W$2:$W$2000, T253, 作業區!$X$2:$X$2000, U253)&gt;0, "已存在", "未擴充")</f>
        <v>已存在</v>
      </c>
    </row>
    <row r="254" spans="1:29" ht="33">
      <c r="A254" s="8">
        <f t="shared" si="7"/>
        <v>253</v>
      </c>
      <c r="B254" s="5" t="s">
        <v>754</v>
      </c>
      <c r="C254" s="5"/>
      <c r="D254" s="4" t="s">
        <v>1831</v>
      </c>
      <c r="E254" s="5" t="s">
        <v>869</v>
      </c>
      <c r="F254" s="5" t="s">
        <v>1581</v>
      </c>
      <c r="G254" s="5" t="s">
        <v>1827</v>
      </c>
      <c r="H254" s="5"/>
      <c r="I254" s="4">
        <v>212434</v>
      </c>
      <c r="J254" s="4">
        <v>2610814</v>
      </c>
      <c r="K254" s="4">
        <v>211604.97399999999</v>
      </c>
      <c r="L254" s="4">
        <v>2611019.66</v>
      </c>
      <c r="M254" s="5">
        <v>98</v>
      </c>
      <c r="N254" s="5" t="s">
        <v>1499</v>
      </c>
      <c r="O254" s="13">
        <v>40034.25</v>
      </c>
      <c r="P254" s="15" t="s">
        <v>1832</v>
      </c>
      <c r="Q254" s="4"/>
      <c r="R254" s="16" t="s">
        <v>1830</v>
      </c>
      <c r="S254" s="16" t="s">
        <v>1585</v>
      </c>
      <c r="T254" s="5">
        <v>30.5</v>
      </c>
      <c r="U254" s="5">
        <v>1443</v>
      </c>
      <c r="V254" s="16">
        <v>400</v>
      </c>
      <c r="W254" s="8">
        <f t="shared" si="6"/>
        <v>0</v>
      </c>
      <c r="Y254" s="8"/>
      <c r="Z254" s="8"/>
      <c r="AC254" s="8" t="str">
        <f>IF(COUNTIFS(作業區!$W$2:$W$2000, T254, 作業區!$X$2:$X$2000, U254)&gt;0, "已存在", "未擴充")</f>
        <v>已存在</v>
      </c>
    </row>
    <row r="255" spans="1:29" ht="33">
      <c r="A255" s="8">
        <f t="shared" si="7"/>
        <v>254</v>
      </c>
      <c r="B255" s="5" t="s">
        <v>754</v>
      </c>
      <c r="C255" s="5"/>
      <c r="D255" s="4" t="s">
        <v>1833</v>
      </c>
      <c r="E255" s="5" t="s">
        <v>869</v>
      </c>
      <c r="F255" s="5" t="s">
        <v>1581</v>
      </c>
      <c r="G255" s="5" t="s">
        <v>1827</v>
      </c>
      <c r="H255" s="5"/>
      <c r="I255" s="4">
        <v>213537</v>
      </c>
      <c r="J255" s="4">
        <v>2612824</v>
      </c>
      <c r="K255" s="4">
        <v>212707.978</v>
      </c>
      <c r="L255" s="4">
        <v>2613029.6680000001</v>
      </c>
      <c r="M255" s="5">
        <v>98</v>
      </c>
      <c r="N255" s="5" t="s">
        <v>1499</v>
      </c>
      <c r="O255" s="13">
        <v>40034.25</v>
      </c>
      <c r="P255" s="15" t="s">
        <v>1834</v>
      </c>
      <c r="Q255" s="4"/>
      <c r="R255" s="16" t="s">
        <v>1830</v>
      </c>
      <c r="S255" s="16" t="s">
        <v>1585</v>
      </c>
      <c r="T255" s="5">
        <v>30.3</v>
      </c>
      <c r="U255" s="5">
        <v>1443</v>
      </c>
      <c r="V255" s="16">
        <v>400</v>
      </c>
      <c r="W255" s="8">
        <f t="shared" si="6"/>
        <v>0</v>
      </c>
      <c r="Y255" s="8"/>
      <c r="Z255" s="8"/>
      <c r="AC255" s="8" t="str">
        <f>IF(COUNTIFS(作業區!$W$2:$W$2000, T255, 作業區!$X$2:$X$2000, U255)&gt;0, "已存在", "未擴充")</f>
        <v>已存在</v>
      </c>
    </row>
    <row r="256" spans="1:29" ht="33">
      <c r="A256" s="8">
        <f t="shared" si="7"/>
        <v>255</v>
      </c>
      <c r="B256" s="5" t="s">
        <v>754</v>
      </c>
      <c r="C256" s="5"/>
      <c r="D256" s="4" t="s">
        <v>1835</v>
      </c>
      <c r="E256" s="5" t="s">
        <v>869</v>
      </c>
      <c r="F256" s="5" t="s">
        <v>1581</v>
      </c>
      <c r="G256" s="5" t="s">
        <v>1827</v>
      </c>
      <c r="H256" s="5"/>
      <c r="I256" s="4">
        <v>213487</v>
      </c>
      <c r="J256" s="4">
        <v>2613588</v>
      </c>
      <c r="K256" s="4">
        <v>212657.978</v>
      </c>
      <c r="L256" s="4">
        <v>2613793.6710000001</v>
      </c>
      <c r="M256" s="5">
        <v>98</v>
      </c>
      <c r="N256" s="5" t="s">
        <v>1499</v>
      </c>
      <c r="O256" s="13">
        <v>40034.208333333336</v>
      </c>
      <c r="P256" s="15" t="s">
        <v>1836</v>
      </c>
      <c r="Q256" s="4"/>
      <c r="R256" s="16" t="s">
        <v>1830</v>
      </c>
      <c r="S256" s="16" t="s">
        <v>1585</v>
      </c>
      <c r="T256" s="5">
        <v>45</v>
      </c>
      <c r="U256" s="5">
        <v>1422.6</v>
      </c>
      <c r="V256" s="16">
        <v>400</v>
      </c>
      <c r="W256" s="8">
        <f t="shared" si="6"/>
        <v>0</v>
      </c>
      <c r="Y256" s="8"/>
      <c r="Z256" s="8"/>
      <c r="AC256" s="8" t="str">
        <f>IF(COUNTIFS(作業區!$W$2:$W$2000, T256, 作業區!$X$2:$X$2000, U256)&gt;0, "已存在", "未擴充")</f>
        <v>已存在</v>
      </c>
    </row>
    <row r="257" spans="1:29" ht="49.5" hidden="1">
      <c r="A257" s="8">
        <f t="shared" si="7"/>
        <v>256</v>
      </c>
      <c r="B257" s="5" t="s">
        <v>754</v>
      </c>
      <c r="C257" s="5"/>
      <c r="D257" s="15" t="s">
        <v>1837</v>
      </c>
      <c r="E257" s="5" t="s">
        <v>869</v>
      </c>
      <c r="F257" s="5" t="s">
        <v>1581</v>
      </c>
      <c r="G257" s="5" t="s">
        <v>1582</v>
      </c>
      <c r="H257" s="5"/>
      <c r="I257" s="4">
        <v>218015</v>
      </c>
      <c r="J257" s="4">
        <v>2610855</v>
      </c>
      <c r="K257" s="4">
        <v>217185.992</v>
      </c>
      <c r="L257" s="4">
        <v>2611060.659</v>
      </c>
      <c r="M257" s="5">
        <v>98</v>
      </c>
      <c r="N257" s="5" t="s">
        <v>1499</v>
      </c>
      <c r="O257" s="13">
        <v>40033.916666666664</v>
      </c>
      <c r="P257" s="15" t="s">
        <v>1838</v>
      </c>
      <c r="Q257" s="4"/>
      <c r="R257" s="16" t="s">
        <v>198</v>
      </c>
      <c r="S257" s="16" t="s">
        <v>1585</v>
      </c>
      <c r="T257" s="5">
        <v>33</v>
      </c>
      <c r="U257" s="5">
        <v>1051.0999999999999</v>
      </c>
      <c r="V257" s="16">
        <v>400</v>
      </c>
      <c r="W257" s="8">
        <f t="shared" si="6"/>
        <v>0</v>
      </c>
      <c r="Y257" s="8"/>
      <c r="Z257" s="8"/>
      <c r="AC257" s="8" t="str">
        <f>IF(COUNTIFS(作業區!$W$2:$W$2000, T257, 作業區!$X$2:$X$2000, U257)&gt;0, "已存在", "未擴充")</f>
        <v>已存在</v>
      </c>
    </row>
    <row r="258" spans="1:29" ht="49.5">
      <c r="A258" s="8">
        <f t="shared" si="7"/>
        <v>257</v>
      </c>
      <c r="B258" s="5" t="s">
        <v>754</v>
      </c>
      <c r="C258" s="5"/>
      <c r="D258" s="4" t="s">
        <v>1839</v>
      </c>
      <c r="E258" s="5" t="s">
        <v>869</v>
      </c>
      <c r="F258" s="5" t="s">
        <v>1581</v>
      </c>
      <c r="G258" s="5" t="s">
        <v>1827</v>
      </c>
      <c r="H258" s="5"/>
      <c r="I258" s="4">
        <v>213210</v>
      </c>
      <c r="J258" s="4">
        <v>2611579</v>
      </c>
      <c r="K258" s="4">
        <v>212380.976</v>
      </c>
      <c r="L258" s="4">
        <v>2611784.6630000002</v>
      </c>
      <c r="M258" s="5">
        <v>98</v>
      </c>
      <c r="N258" s="5" t="s">
        <v>1499</v>
      </c>
      <c r="O258" s="13">
        <v>40034.25</v>
      </c>
      <c r="P258" s="15" t="s">
        <v>1840</v>
      </c>
      <c r="Q258" s="4"/>
      <c r="R258" s="16" t="s">
        <v>1830</v>
      </c>
      <c r="S258" s="16" t="s">
        <v>1585</v>
      </c>
      <c r="T258" s="5">
        <v>30.5</v>
      </c>
      <c r="U258" s="5">
        <v>1443</v>
      </c>
      <c r="V258" s="16">
        <v>400</v>
      </c>
      <c r="W258" s="8">
        <f t="shared" ref="W258:W321" si="8">IF(IF(ISERROR(SEARCH("-",P258))=TRUE,0,1)=1,IF(H258&lt;&gt;"",0,1),0)</f>
        <v>0</v>
      </c>
      <c r="Y258" s="8"/>
      <c r="Z258" s="8"/>
      <c r="AC258" s="8" t="str">
        <f>IF(COUNTIFS(作業區!$W$2:$W$2000, T258, 作業區!$X$2:$X$2000, U258)&gt;0, "已存在", "未擴充")</f>
        <v>已存在</v>
      </c>
    </row>
    <row r="259" spans="1:29" ht="33">
      <c r="A259" s="8">
        <f t="shared" si="7"/>
        <v>258</v>
      </c>
      <c r="B259" s="5" t="s">
        <v>754</v>
      </c>
      <c r="C259" s="5"/>
      <c r="D259" s="4" t="s">
        <v>1841</v>
      </c>
      <c r="E259" s="5" t="s">
        <v>1061</v>
      </c>
      <c r="F259" s="5" t="s">
        <v>1587</v>
      </c>
      <c r="G259" s="5" t="s">
        <v>1588</v>
      </c>
      <c r="H259" s="5"/>
      <c r="I259" s="4">
        <v>215025</v>
      </c>
      <c r="J259" s="4">
        <v>2603621</v>
      </c>
      <c r="K259" s="4">
        <v>214195.981</v>
      </c>
      <c r="L259" s="4">
        <v>2603826.6310000001</v>
      </c>
      <c r="M259" s="5">
        <v>98</v>
      </c>
      <c r="N259" s="5" t="s">
        <v>1499</v>
      </c>
      <c r="O259" s="13">
        <v>40033.041666666664</v>
      </c>
      <c r="P259" s="15" t="s">
        <v>1842</v>
      </c>
      <c r="Q259" s="4"/>
      <c r="R259" s="16" t="s">
        <v>211</v>
      </c>
      <c r="S259" s="16" t="s">
        <v>1591</v>
      </c>
      <c r="T259" s="5">
        <v>2.5</v>
      </c>
      <c r="U259" s="5">
        <v>455.6</v>
      </c>
      <c r="V259" s="16">
        <v>400</v>
      </c>
      <c r="W259" s="8">
        <f t="shared" si="8"/>
        <v>0</v>
      </c>
      <c r="Y259" s="8"/>
      <c r="Z259" s="8"/>
      <c r="AC259" s="8" t="str">
        <f>IF(COUNTIFS(作業區!$W$2:$W$2000, T259, 作業區!$X$2:$X$2000, U259)&gt;0, "已存在", "未擴充")</f>
        <v>已存在</v>
      </c>
    </row>
    <row r="260" spans="1:29" ht="33">
      <c r="A260" s="8">
        <f t="shared" si="7"/>
        <v>259</v>
      </c>
      <c r="B260" s="5" t="s">
        <v>754</v>
      </c>
      <c r="C260" s="5"/>
      <c r="D260" s="4" t="s">
        <v>1843</v>
      </c>
      <c r="E260" s="5" t="s">
        <v>1061</v>
      </c>
      <c r="F260" s="5" t="s">
        <v>1587</v>
      </c>
      <c r="G260" s="5" t="s">
        <v>1588</v>
      </c>
      <c r="H260" s="5"/>
      <c r="I260" s="4">
        <v>216913</v>
      </c>
      <c r="J260" s="4">
        <v>2602652</v>
      </c>
      <c r="K260" s="4">
        <v>216083.98699999999</v>
      </c>
      <c r="L260" s="4">
        <v>2602857.6269999999</v>
      </c>
      <c r="M260" s="5">
        <v>98</v>
      </c>
      <c r="N260" s="5" t="s">
        <v>1499</v>
      </c>
      <c r="O260" s="13">
        <v>40034.083333333336</v>
      </c>
      <c r="P260" s="15" t="s">
        <v>1844</v>
      </c>
      <c r="Q260" s="4"/>
      <c r="R260" s="16" t="s">
        <v>211</v>
      </c>
      <c r="S260" s="16" t="s">
        <v>1591</v>
      </c>
      <c r="T260" s="5">
        <v>108</v>
      </c>
      <c r="U260" s="5">
        <v>1218.7</v>
      </c>
      <c r="V260" s="16">
        <v>400</v>
      </c>
      <c r="W260" s="8">
        <f t="shared" si="8"/>
        <v>0</v>
      </c>
      <c r="Y260" s="8"/>
      <c r="Z260" s="8"/>
      <c r="AC260" s="8" t="str">
        <f>IF(COUNTIFS(作業區!$W$2:$W$2000, T260, 作業區!$X$2:$X$2000, U260)&gt;0, "已存在", "未擴充")</f>
        <v>已存在</v>
      </c>
    </row>
    <row r="261" spans="1:29" ht="33">
      <c r="A261" s="8">
        <f t="shared" si="7"/>
        <v>260</v>
      </c>
      <c r="B261" s="5" t="s">
        <v>754</v>
      </c>
      <c r="C261" s="5"/>
      <c r="D261" s="4" t="s">
        <v>1845</v>
      </c>
      <c r="E261" s="5" t="s">
        <v>1061</v>
      </c>
      <c r="F261" s="5" t="s">
        <v>1587</v>
      </c>
      <c r="G261" s="5" t="s">
        <v>1588</v>
      </c>
      <c r="H261" s="5"/>
      <c r="I261" s="4">
        <v>214489</v>
      </c>
      <c r="J261" s="4">
        <v>2604967</v>
      </c>
      <c r="K261" s="4">
        <v>213659.97899999999</v>
      </c>
      <c r="L261" s="4">
        <v>2605172.6370000001</v>
      </c>
      <c r="M261" s="5">
        <v>98</v>
      </c>
      <c r="N261" s="5" t="s">
        <v>1499</v>
      </c>
      <c r="O261" s="13">
        <v>40034.25</v>
      </c>
      <c r="P261" s="15" t="s">
        <v>1846</v>
      </c>
      <c r="Q261" s="4"/>
      <c r="R261" s="16" t="s">
        <v>211</v>
      </c>
      <c r="S261" s="16" t="s">
        <v>1591</v>
      </c>
      <c r="T261" s="5">
        <v>24</v>
      </c>
      <c r="U261" s="5">
        <v>1342.6</v>
      </c>
      <c r="V261" s="16">
        <v>400</v>
      </c>
      <c r="W261" s="8">
        <f t="shared" si="8"/>
        <v>0</v>
      </c>
      <c r="Y261" s="8"/>
      <c r="Z261" s="8"/>
      <c r="AC261" s="8" t="str">
        <f>IF(COUNTIFS(作業區!$W$2:$W$2000, T261, 作業區!$X$2:$X$2000, U261)&gt;0, "已存在", "未擴充")</f>
        <v>已存在</v>
      </c>
    </row>
    <row r="262" spans="1:29" ht="33">
      <c r="A262" s="8">
        <f t="shared" si="7"/>
        <v>261</v>
      </c>
      <c r="B262" s="5" t="s">
        <v>754</v>
      </c>
      <c r="C262" s="5"/>
      <c r="D262" s="4" t="s">
        <v>1847</v>
      </c>
      <c r="E262" s="5" t="s">
        <v>1061</v>
      </c>
      <c r="F262" s="5" t="s">
        <v>1556</v>
      </c>
      <c r="G262" s="2" t="s">
        <v>1848</v>
      </c>
      <c r="H262" s="5"/>
      <c r="I262" s="4">
        <v>222637</v>
      </c>
      <c r="J262" s="4">
        <v>2600972</v>
      </c>
      <c r="K262" s="4">
        <v>221808.00599999999</v>
      </c>
      <c r="L262" s="4">
        <v>2601177.62</v>
      </c>
      <c r="M262" s="5">
        <v>98</v>
      </c>
      <c r="N262" s="5" t="s">
        <v>1499</v>
      </c>
      <c r="O262" s="13">
        <v>40032.958333333336</v>
      </c>
      <c r="P262" s="15" t="s">
        <v>1849</v>
      </c>
      <c r="Q262" s="4"/>
      <c r="R262" s="16" t="s">
        <v>520</v>
      </c>
      <c r="S262" s="16" t="s">
        <v>1814</v>
      </c>
      <c r="T262" s="5">
        <v>33.5</v>
      </c>
      <c r="U262" s="5">
        <v>522.79999999999995</v>
      </c>
      <c r="V262" s="16">
        <v>300</v>
      </c>
      <c r="W262" s="8">
        <f t="shared" si="8"/>
        <v>0</v>
      </c>
      <c r="Y262" s="8"/>
      <c r="Z262" s="8"/>
      <c r="AC262" s="8" t="str">
        <f>IF(COUNTIFS(作業區!$W$2:$W$2000, T262, 作業區!$X$2:$X$2000, U262)&gt;0, "已存在", "未擴充")</f>
        <v>已存在</v>
      </c>
    </row>
    <row r="263" spans="1:29" ht="49.5" hidden="1">
      <c r="A263" s="8">
        <f t="shared" ref="A263:A328" si="9">ROW(A263)-1</f>
        <v>262</v>
      </c>
      <c r="B263" s="5" t="s">
        <v>754</v>
      </c>
      <c r="C263" s="5"/>
      <c r="D263" s="4" t="s">
        <v>1850</v>
      </c>
      <c r="E263" s="5" t="s">
        <v>1061</v>
      </c>
      <c r="F263" s="5" t="s">
        <v>1556</v>
      </c>
      <c r="G263" s="2" t="s">
        <v>1851</v>
      </c>
      <c r="H263" s="5"/>
      <c r="I263" s="4">
        <v>218092</v>
      </c>
      <c r="J263" s="4">
        <v>2582327</v>
      </c>
      <c r="K263" s="4">
        <v>217262.98699999999</v>
      </c>
      <c r="L263" s="4">
        <v>2582532.5449999999</v>
      </c>
      <c r="M263" s="5">
        <v>98</v>
      </c>
      <c r="N263" s="5" t="s">
        <v>1499</v>
      </c>
      <c r="O263" s="13">
        <v>40033.083333333336</v>
      </c>
      <c r="P263" s="15" t="s">
        <v>1852</v>
      </c>
      <c r="Q263" s="4"/>
      <c r="R263" s="16" t="s">
        <v>520</v>
      </c>
      <c r="S263" s="16" t="s">
        <v>1618</v>
      </c>
      <c r="T263" s="5">
        <v>36</v>
      </c>
      <c r="U263" s="5">
        <v>589.79999999999995</v>
      </c>
      <c r="V263" s="16">
        <v>300</v>
      </c>
      <c r="W263" s="8">
        <f t="shared" si="8"/>
        <v>0</v>
      </c>
      <c r="Y263" s="8"/>
      <c r="Z263" s="8"/>
      <c r="AC263" s="8" t="str">
        <f>IF(COUNTIFS(作業區!$W$2:$W$2000, T263, 作業區!$X$2:$X$2000, U263)&gt;0, "已存在", "未擴充")</f>
        <v>已存在</v>
      </c>
    </row>
    <row r="264" spans="1:29" ht="66">
      <c r="A264" s="8">
        <f t="shared" si="9"/>
        <v>263</v>
      </c>
      <c r="B264" s="5" t="s">
        <v>754</v>
      </c>
      <c r="C264" s="5"/>
      <c r="D264" s="4" t="s">
        <v>1853</v>
      </c>
      <c r="E264" s="5" t="s">
        <v>790</v>
      </c>
      <c r="F264" s="5" t="s">
        <v>931</v>
      </c>
      <c r="G264" s="5" t="s">
        <v>1854</v>
      </c>
      <c r="H264" s="5"/>
      <c r="I264" s="4">
        <v>219375</v>
      </c>
      <c r="J264" s="4">
        <v>2518965</v>
      </c>
      <c r="K264" s="4">
        <v>218545.981</v>
      </c>
      <c r="L264" s="4">
        <v>2519170.2769999998</v>
      </c>
      <c r="M264" s="5">
        <v>98</v>
      </c>
      <c r="N264" s="5" t="s">
        <v>1499</v>
      </c>
      <c r="O264" s="13">
        <v>40033.041666666664</v>
      </c>
      <c r="P264" s="15" t="s">
        <v>1855</v>
      </c>
      <c r="Q264" s="4"/>
      <c r="R264" s="16" t="s">
        <v>608</v>
      </c>
      <c r="S264" s="16" t="s">
        <v>935</v>
      </c>
      <c r="T264" s="5">
        <v>60.5</v>
      </c>
      <c r="U264" s="5">
        <v>294.10000000000002</v>
      </c>
      <c r="V264" s="16" t="s">
        <v>1668</v>
      </c>
      <c r="W264" s="8">
        <f t="shared" si="8"/>
        <v>0</v>
      </c>
      <c r="Y264" s="8"/>
      <c r="Z264" s="8"/>
      <c r="AC264" s="8" t="str">
        <f>IF(COUNTIFS(作業區!$W$2:$W$2000, T264, 作業區!$X$2:$X$2000, U264)&gt;0, "已存在", "未擴充")</f>
        <v>已存在</v>
      </c>
    </row>
    <row r="265" spans="1:29" hidden="1">
      <c r="A265" s="8">
        <f t="shared" si="9"/>
        <v>264</v>
      </c>
      <c r="B265" s="2" t="s">
        <v>1856</v>
      </c>
      <c r="C265" s="2"/>
      <c r="D265" s="4" t="s">
        <v>1857</v>
      </c>
      <c r="E265" s="5" t="s">
        <v>802</v>
      </c>
      <c r="F265" s="5" t="s">
        <v>1043</v>
      </c>
      <c r="G265" s="5" t="s">
        <v>1776</v>
      </c>
      <c r="H265" s="5" t="s">
        <v>1858</v>
      </c>
      <c r="I265" s="4">
        <v>208242</v>
      </c>
      <c r="J265" s="4">
        <v>2551287</v>
      </c>
      <c r="K265" s="4">
        <v>207412.946</v>
      </c>
      <c r="L265" s="4">
        <v>2551492.4180000001</v>
      </c>
      <c r="M265" s="5">
        <v>98</v>
      </c>
      <c r="N265" s="5" t="s">
        <v>1499</v>
      </c>
      <c r="O265" s="13">
        <v>40033.833333333336</v>
      </c>
      <c r="P265" s="15" t="s">
        <v>1859</v>
      </c>
      <c r="Q265" s="4"/>
      <c r="R265" s="16" t="s">
        <v>559</v>
      </c>
      <c r="S265" s="16" t="s">
        <v>1048</v>
      </c>
      <c r="T265" s="5">
        <v>42.5</v>
      </c>
      <c r="U265" s="5">
        <v>1257.0999999999999</v>
      </c>
      <c r="V265" s="16" t="s">
        <v>1668</v>
      </c>
      <c r="W265" s="8">
        <f t="shared" si="8"/>
        <v>0</v>
      </c>
      <c r="Y265" s="8"/>
      <c r="Z265" s="8"/>
      <c r="AC265" s="8" t="str">
        <f>IF(COUNTIFS(作業區!$W$2:$W$2000, T265, 作業區!$X$2:$X$2000, U265)&gt;0, "已存在", "未擴充")</f>
        <v>已存在</v>
      </c>
    </row>
    <row r="266" spans="1:29" ht="33">
      <c r="A266" s="8">
        <f t="shared" si="9"/>
        <v>265</v>
      </c>
      <c r="B266" s="2" t="s">
        <v>1860</v>
      </c>
      <c r="C266" s="2"/>
      <c r="D266" s="4" t="s">
        <v>1861</v>
      </c>
      <c r="E266" s="5" t="s">
        <v>790</v>
      </c>
      <c r="F266" s="5" t="s">
        <v>1663</v>
      </c>
      <c r="G266" s="5" t="s">
        <v>1862</v>
      </c>
      <c r="H266" s="5"/>
      <c r="I266" s="4">
        <v>229222</v>
      </c>
      <c r="J266" s="4">
        <v>2448246</v>
      </c>
      <c r="K266" s="4">
        <v>228393.01</v>
      </c>
      <c r="L266" s="4">
        <v>2448450.9539999999</v>
      </c>
      <c r="M266" s="5">
        <v>98</v>
      </c>
      <c r="N266" s="5" t="s">
        <v>1499</v>
      </c>
      <c r="O266" s="13">
        <v>40033.375</v>
      </c>
      <c r="P266" s="15" t="s">
        <v>1863</v>
      </c>
      <c r="Q266" s="4"/>
      <c r="R266" s="16" t="s">
        <v>1666</v>
      </c>
      <c r="S266" s="16" t="s">
        <v>1667</v>
      </c>
      <c r="T266" s="5">
        <v>3.5</v>
      </c>
      <c r="U266" s="5">
        <v>317.89999999999998</v>
      </c>
      <c r="V266" s="16">
        <v>600</v>
      </c>
      <c r="W266" s="8">
        <f t="shared" si="8"/>
        <v>1</v>
      </c>
      <c r="Y266" s="8"/>
      <c r="Z266" s="8"/>
      <c r="AC266" s="8" t="str">
        <f>IF(COUNTIFS(作業區!$W$2:$W$2000, T266, 作業區!$X$2:$X$2000, U266)&gt;0, "已存在", "未擴充")</f>
        <v>已存在</v>
      </c>
    </row>
    <row r="267" spans="1:29" ht="33">
      <c r="A267" s="8">
        <f t="shared" si="9"/>
        <v>266</v>
      </c>
      <c r="B267" s="2" t="s">
        <v>1860</v>
      </c>
      <c r="C267" s="2"/>
      <c r="D267" s="4" t="s">
        <v>1864</v>
      </c>
      <c r="E267" s="5" t="s">
        <v>1061</v>
      </c>
      <c r="F267" s="5" t="s">
        <v>1587</v>
      </c>
      <c r="G267" s="5" t="s">
        <v>1670</v>
      </c>
      <c r="H267" s="5"/>
      <c r="I267" s="4">
        <v>221590</v>
      </c>
      <c r="J267" s="4">
        <v>2604388</v>
      </c>
      <c r="K267" s="4">
        <v>220761.003</v>
      </c>
      <c r="L267" s="4">
        <v>2604593.6329999999</v>
      </c>
      <c r="M267" s="5">
        <v>98</v>
      </c>
      <c r="N267" s="5" t="s">
        <v>1499</v>
      </c>
      <c r="O267" s="13">
        <v>40033.958333333336</v>
      </c>
      <c r="P267" s="15" t="s">
        <v>1865</v>
      </c>
      <c r="Q267" s="4"/>
      <c r="R267" s="16" t="s">
        <v>211</v>
      </c>
      <c r="S267" s="16" t="s">
        <v>1591</v>
      </c>
      <c r="T267" s="5">
        <v>51.5</v>
      </c>
      <c r="U267" s="5">
        <v>972.5</v>
      </c>
      <c r="V267" s="16">
        <v>400</v>
      </c>
      <c r="W267" s="8">
        <f t="shared" si="8"/>
        <v>0</v>
      </c>
      <c r="Y267" s="8"/>
      <c r="Z267" s="8"/>
      <c r="AC267" s="8" t="str">
        <f>IF(COUNTIFS(作業區!$W$2:$W$2000, T267, 作業區!$X$2:$X$2000, U267)&gt;0, "已存在", "未擴充")</f>
        <v>已存在</v>
      </c>
    </row>
    <row r="268" spans="1:29" ht="33">
      <c r="A268" s="8">
        <f t="shared" si="9"/>
        <v>267</v>
      </c>
      <c r="B268" s="5" t="s">
        <v>1866</v>
      </c>
      <c r="C268" s="5"/>
      <c r="D268" s="4" t="s">
        <v>1867</v>
      </c>
      <c r="E268" s="5" t="s">
        <v>1061</v>
      </c>
      <c r="F268" s="5" t="s">
        <v>1556</v>
      </c>
      <c r="G268" s="2" t="s">
        <v>1868</v>
      </c>
      <c r="H268" s="5" t="s">
        <v>1869</v>
      </c>
      <c r="I268" s="4">
        <v>226801</v>
      </c>
      <c r="J268" s="4">
        <v>2595818</v>
      </c>
      <c r="K268" s="4">
        <v>225972.019</v>
      </c>
      <c r="L268" s="4">
        <v>2596023.5989999999</v>
      </c>
      <c r="M268" s="5">
        <v>98</v>
      </c>
      <c r="N268" s="5" t="s">
        <v>1499</v>
      </c>
      <c r="O268" s="13">
        <v>40033.916666666664</v>
      </c>
      <c r="P268" s="15" t="s">
        <v>1870</v>
      </c>
      <c r="Q268" s="4"/>
      <c r="R268" s="16" t="s">
        <v>520</v>
      </c>
      <c r="S268" s="16" t="s">
        <v>1618</v>
      </c>
      <c r="T268" s="5">
        <v>64</v>
      </c>
      <c r="U268" s="5">
        <v>1311.2</v>
      </c>
      <c r="V268" s="16" t="s">
        <v>1668</v>
      </c>
      <c r="W268" s="8">
        <f t="shared" si="8"/>
        <v>0</v>
      </c>
      <c r="Y268" s="8"/>
      <c r="Z268" s="8"/>
      <c r="AC268" s="8" t="str">
        <f>IF(COUNTIFS(作業區!$W$2:$W$2000, T268, 作業區!$X$2:$X$2000, U268)&gt;0, "已存在", "未擴充")</f>
        <v>已存在</v>
      </c>
    </row>
    <row r="269" spans="1:29" ht="33">
      <c r="A269" s="8">
        <f t="shared" si="9"/>
        <v>268</v>
      </c>
      <c r="B269" s="2" t="s">
        <v>1871</v>
      </c>
      <c r="C269" s="2"/>
      <c r="D269" s="4" t="s">
        <v>1872</v>
      </c>
      <c r="E269" s="5" t="s">
        <v>790</v>
      </c>
      <c r="F269" s="5" t="s">
        <v>931</v>
      </c>
      <c r="G269" s="5" t="s">
        <v>1873</v>
      </c>
      <c r="H269" s="5"/>
      <c r="I269" s="4">
        <v>218911</v>
      </c>
      <c r="J269" s="4">
        <v>2523347</v>
      </c>
      <c r="K269" s="4">
        <v>218081.98</v>
      </c>
      <c r="L269" s="4">
        <v>2523552.2960000001</v>
      </c>
      <c r="M269" s="5">
        <v>98</v>
      </c>
      <c r="N269" s="5" t="s">
        <v>1499</v>
      </c>
      <c r="O269" s="13">
        <v>40033.291666666664</v>
      </c>
      <c r="P269" s="15" t="s">
        <v>1874</v>
      </c>
      <c r="Q269" s="4"/>
      <c r="R269" s="16" t="s">
        <v>603</v>
      </c>
      <c r="S269" s="16" t="s">
        <v>1522</v>
      </c>
      <c r="T269" s="5">
        <v>60</v>
      </c>
      <c r="U269" s="5">
        <v>1169</v>
      </c>
      <c r="V269" s="16" t="s">
        <v>1668</v>
      </c>
      <c r="W269" s="8">
        <f t="shared" si="8"/>
        <v>0</v>
      </c>
      <c r="Y269" s="8"/>
      <c r="Z269" s="8"/>
      <c r="AC269" s="8" t="str">
        <f>IF(COUNTIFS(作業區!$W$2:$W$2000, T269, 作業區!$X$2:$X$2000, U269)&gt;0, "已存在", "未擴充")</f>
        <v>已存在</v>
      </c>
    </row>
    <row r="270" spans="1:29" ht="66">
      <c r="A270" s="8">
        <f t="shared" si="9"/>
        <v>269</v>
      </c>
      <c r="B270" s="2" t="s">
        <v>1338</v>
      </c>
      <c r="C270" s="2"/>
      <c r="D270" s="4" t="s">
        <v>1875</v>
      </c>
      <c r="E270" s="5" t="s">
        <v>802</v>
      </c>
      <c r="F270" s="5" t="s">
        <v>1043</v>
      </c>
      <c r="G270" s="5" t="s">
        <v>1876</v>
      </c>
      <c r="H270" s="5" t="s">
        <v>1877</v>
      </c>
      <c r="I270" s="4">
        <v>213479</v>
      </c>
      <c r="J270" s="4">
        <v>2562097</v>
      </c>
      <c r="K270" s="4">
        <v>212649.967</v>
      </c>
      <c r="L270" s="4">
        <v>2562302.463</v>
      </c>
      <c r="M270" s="5">
        <v>98</v>
      </c>
      <c r="N270" s="5" t="s">
        <v>1499</v>
      </c>
      <c r="O270" s="13">
        <v>40034.25</v>
      </c>
      <c r="P270" s="15" t="s">
        <v>1878</v>
      </c>
      <c r="Q270" s="4"/>
      <c r="R270" s="16" t="s">
        <v>559</v>
      </c>
      <c r="S270" s="16" t="s">
        <v>1048</v>
      </c>
      <c r="T270" s="5">
        <v>43</v>
      </c>
      <c r="U270" s="5">
        <v>1545.1</v>
      </c>
      <c r="V270" s="16">
        <v>450</v>
      </c>
      <c r="W270" s="8">
        <f t="shared" si="8"/>
        <v>0</v>
      </c>
      <c r="Y270" s="8"/>
      <c r="Z270" s="8"/>
      <c r="AC270" s="8" t="str">
        <f>IF(COUNTIFS(作業區!$W$2:$W$2000, T270, 作業區!$X$2:$X$2000, U270)&gt;0, "已存在", "未擴充")</f>
        <v>已存在</v>
      </c>
    </row>
    <row r="271" spans="1:29" ht="33">
      <c r="A271" s="8">
        <f t="shared" si="9"/>
        <v>270</v>
      </c>
      <c r="B271" s="2" t="s">
        <v>1338</v>
      </c>
      <c r="C271" s="2"/>
      <c r="D271" s="4" t="s">
        <v>1879</v>
      </c>
      <c r="E271" s="5" t="s">
        <v>802</v>
      </c>
      <c r="F271" s="5" t="s">
        <v>1043</v>
      </c>
      <c r="G271" s="5" t="s">
        <v>1044</v>
      </c>
      <c r="H271" s="5" t="s">
        <v>1332</v>
      </c>
      <c r="I271" s="4">
        <v>211780</v>
      </c>
      <c r="J271" s="4">
        <v>2552632</v>
      </c>
      <c r="K271" s="4">
        <v>210950.959</v>
      </c>
      <c r="L271" s="4">
        <v>2552837.423</v>
      </c>
      <c r="M271" s="5">
        <v>98</v>
      </c>
      <c r="N271" s="5" t="s">
        <v>1499</v>
      </c>
      <c r="O271" s="13">
        <v>40034.208333333336</v>
      </c>
      <c r="P271" s="15" t="s">
        <v>1880</v>
      </c>
      <c r="Q271" s="4"/>
      <c r="R271" s="16" t="s">
        <v>559</v>
      </c>
      <c r="S271" s="16" t="s">
        <v>1048</v>
      </c>
      <c r="T271" s="5">
        <v>22.5</v>
      </c>
      <c r="U271" s="28">
        <v>1506.9</v>
      </c>
      <c r="V271" s="16">
        <v>450</v>
      </c>
      <c r="W271" s="8">
        <f t="shared" si="8"/>
        <v>0</v>
      </c>
      <c r="Y271" s="8"/>
      <c r="Z271" s="8"/>
      <c r="AC271" s="8" t="str">
        <f>IF(COUNTIFS(作業區!$W$2:$W$2000, T271, 作業區!$X$2:$X$2000, U271)&gt;0, "已存在", "未擴充")</f>
        <v>已存在</v>
      </c>
    </row>
    <row r="272" spans="1:29" ht="33">
      <c r="A272" s="8">
        <f t="shared" si="9"/>
        <v>271</v>
      </c>
      <c r="B272" s="2" t="s">
        <v>1338</v>
      </c>
      <c r="C272" s="2"/>
      <c r="D272" s="4" t="s">
        <v>1879</v>
      </c>
      <c r="E272" s="5" t="s">
        <v>802</v>
      </c>
      <c r="F272" s="5" t="s">
        <v>1043</v>
      </c>
      <c r="G272" s="5" t="s">
        <v>1044</v>
      </c>
      <c r="H272" s="5" t="s">
        <v>1881</v>
      </c>
      <c r="I272" s="4">
        <v>211780</v>
      </c>
      <c r="J272" s="4">
        <v>2552632</v>
      </c>
      <c r="K272" s="4">
        <v>210950.959</v>
      </c>
      <c r="L272" s="4">
        <v>2552837.423</v>
      </c>
      <c r="M272" s="5">
        <v>98</v>
      </c>
      <c r="N272" s="5" t="s">
        <v>1499</v>
      </c>
      <c r="O272" s="13">
        <v>40034.208333333336</v>
      </c>
      <c r="P272" s="15" t="s">
        <v>1880</v>
      </c>
      <c r="Q272" s="4"/>
      <c r="R272" s="16" t="s">
        <v>559</v>
      </c>
      <c r="S272" s="16" t="s">
        <v>1048</v>
      </c>
      <c r="T272" s="5">
        <v>22.5</v>
      </c>
      <c r="U272" s="28">
        <v>1506.9</v>
      </c>
      <c r="V272" s="16">
        <v>450</v>
      </c>
      <c r="W272" s="8">
        <f t="shared" si="8"/>
        <v>0</v>
      </c>
      <c r="Y272" s="8"/>
      <c r="Z272" s="8"/>
      <c r="AC272" s="8" t="str">
        <f>IF(COUNTIFS(作業區!$W$2:$W$2000, T272, 作業區!$X$2:$X$2000, U272)&gt;0, "已存在", "未擴充")</f>
        <v>已存在</v>
      </c>
    </row>
    <row r="273" spans="1:29" ht="49.5">
      <c r="A273" s="8">
        <f t="shared" si="9"/>
        <v>272</v>
      </c>
      <c r="B273" s="5" t="s">
        <v>1338</v>
      </c>
      <c r="C273" s="5"/>
      <c r="D273" s="4" t="s">
        <v>1882</v>
      </c>
      <c r="E273" s="5" t="s">
        <v>869</v>
      </c>
      <c r="F273" s="5" t="s">
        <v>1581</v>
      </c>
      <c r="G273" s="5" t="s">
        <v>1582</v>
      </c>
      <c r="H273" s="5" t="s">
        <v>1883</v>
      </c>
      <c r="I273" s="4">
        <v>217065</v>
      </c>
      <c r="J273" s="4">
        <v>2610162</v>
      </c>
      <c r="K273" s="4">
        <v>216235.989</v>
      </c>
      <c r="L273" s="4">
        <v>2610367.6570000001</v>
      </c>
      <c r="M273" s="5">
        <v>98</v>
      </c>
      <c r="N273" s="5" t="s">
        <v>1499</v>
      </c>
      <c r="O273" s="13">
        <v>40034.25</v>
      </c>
      <c r="P273" s="15" t="s">
        <v>1884</v>
      </c>
      <c r="Q273" s="4"/>
      <c r="R273" s="16" t="s">
        <v>198</v>
      </c>
      <c r="S273" s="16" t="s">
        <v>1585</v>
      </c>
      <c r="T273" s="5">
        <v>30.5</v>
      </c>
      <c r="U273" s="5">
        <v>1443</v>
      </c>
      <c r="V273" s="16">
        <v>400</v>
      </c>
      <c r="W273" s="8">
        <f t="shared" si="8"/>
        <v>0</v>
      </c>
      <c r="Y273" s="8"/>
      <c r="Z273" s="8"/>
      <c r="AC273" s="8" t="str">
        <f>IF(COUNTIFS(作業區!$W$2:$W$2000, T273, 作業區!$X$2:$X$2000, U273)&gt;0, "已存在", "未擴充")</f>
        <v>已存在</v>
      </c>
    </row>
    <row r="274" spans="1:29" ht="99">
      <c r="A274" s="8">
        <f t="shared" si="9"/>
        <v>273</v>
      </c>
      <c r="B274" s="5" t="s">
        <v>754</v>
      </c>
      <c r="C274" s="5"/>
      <c r="D274" s="4" t="s">
        <v>1885</v>
      </c>
      <c r="E274" s="5" t="s">
        <v>942</v>
      </c>
      <c r="F274" s="5" t="s">
        <v>1886</v>
      </c>
      <c r="G274" s="5" t="s">
        <v>1175</v>
      </c>
      <c r="H274" s="5"/>
      <c r="I274" s="4">
        <v>198900</v>
      </c>
      <c r="J274" s="4">
        <v>2570032</v>
      </c>
      <c r="K274" s="4">
        <v>198070.91800000001</v>
      </c>
      <c r="L274" s="4">
        <v>2570237.4989999998</v>
      </c>
      <c r="M274" s="5">
        <v>98</v>
      </c>
      <c r="N274" s="5" t="s">
        <v>1499</v>
      </c>
      <c r="O274" s="13">
        <v>40034.041666666664</v>
      </c>
      <c r="P274" s="15" t="s">
        <v>1887</v>
      </c>
      <c r="Q274" s="4"/>
      <c r="R274" s="16" t="s">
        <v>1888</v>
      </c>
      <c r="S274" s="16" t="s">
        <v>1889</v>
      </c>
      <c r="T274" s="5">
        <v>35</v>
      </c>
      <c r="U274" s="5">
        <v>1415</v>
      </c>
      <c r="V274" s="16">
        <v>450</v>
      </c>
      <c r="W274" s="8">
        <f t="shared" si="8"/>
        <v>1</v>
      </c>
      <c r="Y274" s="8"/>
      <c r="Z274" s="8"/>
      <c r="AC274" s="8" t="str">
        <f>IF(COUNTIFS(作業區!$W$2:$W$2000, T274, 作業區!$X$2:$X$2000, U274)&gt;0, "已存在", "未擴充")</f>
        <v>已存在</v>
      </c>
    </row>
    <row r="275" spans="1:29" ht="65.25">
      <c r="A275" s="8">
        <f t="shared" si="9"/>
        <v>274</v>
      </c>
      <c r="B275" s="5" t="s">
        <v>754</v>
      </c>
      <c r="C275" s="5"/>
      <c r="D275" s="4" t="s">
        <v>1890</v>
      </c>
      <c r="E275" s="5" t="s">
        <v>942</v>
      </c>
      <c r="F275" s="5" t="s">
        <v>1886</v>
      </c>
      <c r="G275" s="5" t="s">
        <v>1175</v>
      </c>
      <c r="H275" s="5"/>
      <c r="I275" s="4">
        <v>201060</v>
      </c>
      <c r="J275" s="4">
        <v>2573561</v>
      </c>
      <c r="K275" s="4">
        <v>200230.92600000001</v>
      </c>
      <c r="L275" s="4">
        <v>2573766.5129999998</v>
      </c>
      <c r="M275" s="5">
        <v>98</v>
      </c>
      <c r="N275" s="5" t="s">
        <v>1499</v>
      </c>
      <c r="O275" s="13">
        <v>40033.25</v>
      </c>
      <c r="P275" s="15" t="s">
        <v>1891</v>
      </c>
      <c r="Q275" s="4"/>
      <c r="R275" s="16" t="s">
        <v>1892</v>
      </c>
      <c r="S275" s="16" t="s">
        <v>1889</v>
      </c>
      <c r="T275" s="5">
        <v>41</v>
      </c>
      <c r="U275" s="5">
        <v>650.5</v>
      </c>
      <c r="V275" s="16">
        <v>450</v>
      </c>
      <c r="W275" s="8">
        <f t="shared" si="8"/>
        <v>1</v>
      </c>
      <c r="Y275" s="8"/>
      <c r="Z275" s="8"/>
      <c r="AC275" s="8" t="str">
        <f>IF(COUNTIFS(作業區!$W$2:$W$2000, T275, 作業區!$X$2:$X$2000, U275)&gt;0, "已存在", "未擴充")</f>
        <v>已存在</v>
      </c>
    </row>
    <row r="276" spans="1:29" ht="81">
      <c r="A276" s="8">
        <f t="shared" si="9"/>
        <v>275</v>
      </c>
      <c r="B276" s="5" t="s">
        <v>1073</v>
      </c>
      <c r="C276" s="5"/>
      <c r="D276" s="4" t="s">
        <v>1893</v>
      </c>
      <c r="E276" s="5" t="s">
        <v>942</v>
      </c>
      <c r="F276" s="5" t="s">
        <v>1886</v>
      </c>
      <c r="G276" s="5" t="s">
        <v>1175</v>
      </c>
      <c r="H276" s="5" t="s">
        <v>1894</v>
      </c>
      <c r="I276" s="4">
        <v>201438</v>
      </c>
      <c r="J276" s="4">
        <v>2572962</v>
      </c>
      <c r="K276" s="4">
        <v>200608.927</v>
      </c>
      <c r="L276" s="4">
        <v>2573167.5099999998</v>
      </c>
      <c r="M276" s="5">
        <v>98</v>
      </c>
      <c r="N276" s="5" t="s">
        <v>1499</v>
      </c>
      <c r="O276" s="13">
        <v>40033.291666666664</v>
      </c>
      <c r="P276" s="15" t="s">
        <v>1895</v>
      </c>
      <c r="Q276" s="4"/>
      <c r="R276" s="16" t="s">
        <v>1892</v>
      </c>
      <c r="S276" s="16" t="s">
        <v>1889</v>
      </c>
      <c r="T276" s="5">
        <v>52.5</v>
      </c>
      <c r="U276" s="5">
        <v>701</v>
      </c>
      <c r="V276" s="16">
        <v>450</v>
      </c>
      <c r="W276" s="8">
        <f t="shared" si="8"/>
        <v>0</v>
      </c>
      <c r="Y276" s="8"/>
      <c r="Z276" s="8"/>
      <c r="AC276" s="8" t="str">
        <f>IF(COUNTIFS(作業區!$W$2:$W$2000, T276, 作業區!$X$2:$X$2000, U276)&gt;0, "已存在", "未擴充")</f>
        <v>已存在</v>
      </c>
    </row>
    <row r="277" spans="1:29" ht="33">
      <c r="A277" s="8">
        <f t="shared" si="9"/>
        <v>276</v>
      </c>
      <c r="B277" s="5" t="s">
        <v>1423</v>
      </c>
      <c r="C277" s="5"/>
      <c r="D277" s="4" t="s">
        <v>1896</v>
      </c>
      <c r="E277" s="5" t="s">
        <v>1897</v>
      </c>
      <c r="F277" s="5" t="s">
        <v>1898</v>
      </c>
      <c r="G277" s="5" t="s">
        <v>1876</v>
      </c>
      <c r="H277" s="5"/>
      <c r="I277" s="4">
        <v>210309</v>
      </c>
      <c r="J277" s="4">
        <v>2558594</v>
      </c>
      <c r="K277" s="4">
        <v>209479.95499999999</v>
      </c>
      <c r="L277" s="4">
        <v>2558799.449</v>
      </c>
      <c r="M277" s="5">
        <v>98</v>
      </c>
      <c r="N277" s="5" t="s">
        <v>1499</v>
      </c>
      <c r="O277" s="13">
        <v>40033.791666666664</v>
      </c>
      <c r="P277" s="15" t="s">
        <v>1899</v>
      </c>
      <c r="Q277" s="4"/>
      <c r="R277" s="16" t="s">
        <v>559</v>
      </c>
      <c r="S277" s="16" t="s">
        <v>1048</v>
      </c>
      <c r="T277" s="5">
        <v>70</v>
      </c>
      <c r="U277" s="5">
        <v>1285.5</v>
      </c>
      <c r="V277" s="16">
        <v>450</v>
      </c>
      <c r="W277" s="8">
        <f t="shared" si="8"/>
        <v>0</v>
      </c>
      <c r="Y277" s="8"/>
      <c r="Z277" s="8"/>
      <c r="AC277" s="8" t="str">
        <f>IF(COUNTIFS(作業區!$W$2:$W$2000, T277, 作業區!$X$2:$X$2000, U277)&gt;0, "已存在", "未擴充")</f>
        <v>已存在</v>
      </c>
    </row>
    <row r="278" spans="1:29" ht="49.5">
      <c r="A278" s="8">
        <f t="shared" si="9"/>
        <v>277</v>
      </c>
      <c r="B278" s="5" t="s">
        <v>1073</v>
      </c>
      <c r="C278" s="5"/>
      <c r="D278" s="4" t="s">
        <v>1900</v>
      </c>
      <c r="E278" s="5" t="s">
        <v>1897</v>
      </c>
      <c r="F278" s="5" t="s">
        <v>1898</v>
      </c>
      <c r="G278" s="5" t="s">
        <v>1250</v>
      </c>
      <c r="H278" s="5"/>
      <c r="I278" s="4">
        <v>209285</v>
      </c>
      <c r="J278" s="4">
        <v>2558008</v>
      </c>
      <c r="K278" s="4">
        <v>208455.95199999999</v>
      </c>
      <c r="L278" s="4">
        <v>2558213.446</v>
      </c>
      <c r="M278" s="5">
        <v>98</v>
      </c>
      <c r="N278" s="5" t="s">
        <v>1499</v>
      </c>
      <c r="O278" s="13">
        <v>40033.25</v>
      </c>
      <c r="P278" s="15" t="s">
        <v>1901</v>
      </c>
      <c r="Q278" s="4"/>
      <c r="R278" s="16" t="s">
        <v>533</v>
      </c>
      <c r="S278" s="16" t="s">
        <v>1253</v>
      </c>
      <c r="T278" s="5">
        <v>19.5</v>
      </c>
      <c r="U278" s="5">
        <v>497.2</v>
      </c>
      <c r="V278" s="16">
        <v>450</v>
      </c>
      <c r="W278" s="8">
        <f t="shared" si="8"/>
        <v>0</v>
      </c>
      <c r="Y278" s="8"/>
      <c r="Z278" s="8"/>
      <c r="AC278" s="8" t="str">
        <f>IF(COUNTIFS(作業區!$W$2:$W$2000, T278, 作業區!$X$2:$X$2000, U278)&gt;0, "已存在", "未擴充")</f>
        <v>已存在</v>
      </c>
    </row>
    <row r="279" spans="1:29" ht="49.5">
      <c r="A279" s="8">
        <f t="shared" si="9"/>
        <v>278</v>
      </c>
      <c r="B279" s="5" t="s">
        <v>1423</v>
      </c>
      <c r="C279" s="5"/>
      <c r="D279" s="4" t="s">
        <v>1902</v>
      </c>
      <c r="E279" s="5" t="s">
        <v>1897</v>
      </c>
      <c r="F279" s="5" t="s">
        <v>1898</v>
      </c>
      <c r="G279" s="5" t="s">
        <v>1876</v>
      </c>
      <c r="H279" s="5"/>
      <c r="I279" s="4">
        <v>211503</v>
      </c>
      <c r="J279" s="4">
        <v>2558844</v>
      </c>
      <c r="K279" s="4">
        <v>210673.96</v>
      </c>
      <c r="L279" s="4">
        <v>2559049.449</v>
      </c>
      <c r="M279" s="5">
        <v>98</v>
      </c>
      <c r="N279" s="5" t="s">
        <v>1499</v>
      </c>
      <c r="O279" s="13">
        <v>40033.25</v>
      </c>
      <c r="P279" s="15" t="s">
        <v>1903</v>
      </c>
      <c r="Q279" s="4"/>
      <c r="R279" s="16" t="s">
        <v>559</v>
      </c>
      <c r="S279" s="16" t="s">
        <v>1048</v>
      </c>
      <c r="T279" s="5">
        <v>42.5</v>
      </c>
      <c r="U279" s="5">
        <v>625.9</v>
      </c>
      <c r="V279" s="16">
        <v>450</v>
      </c>
      <c r="W279" s="8">
        <f t="shared" si="8"/>
        <v>0</v>
      </c>
      <c r="Y279" s="8"/>
      <c r="Z279" s="8"/>
      <c r="AC279" s="8" t="str">
        <f>IF(COUNTIFS(作業區!$W$2:$W$2000, T279, 作業區!$X$2:$X$2000, U279)&gt;0, "已存在", "未擴充")</f>
        <v>已存在</v>
      </c>
    </row>
    <row r="280" spans="1:29" ht="33" hidden="1">
      <c r="A280" s="8">
        <f t="shared" si="9"/>
        <v>279</v>
      </c>
      <c r="B280" s="5" t="s">
        <v>754</v>
      </c>
      <c r="C280" s="5"/>
      <c r="D280" s="4" t="s">
        <v>1904</v>
      </c>
      <c r="E280" s="5" t="s">
        <v>1897</v>
      </c>
      <c r="F280" s="5" t="s">
        <v>1898</v>
      </c>
      <c r="G280" s="5" t="s">
        <v>1876</v>
      </c>
      <c r="H280" s="5"/>
      <c r="I280" s="4">
        <v>211501</v>
      </c>
      <c r="J280" s="4">
        <v>2558913</v>
      </c>
      <c r="K280" s="4">
        <v>210671.96</v>
      </c>
      <c r="L280" s="4">
        <v>2559118.4500000002</v>
      </c>
      <c r="M280" s="5">
        <v>98</v>
      </c>
      <c r="N280" s="5" t="s">
        <v>1499</v>
      </c>
      <c r="O280" s="13">
        <v>40033.25</v>
      </c>
      <c r="P280" s="15" t="s">
        <v>1905</v>
      </c>
      <c r="Q280" s="4"/>
      <c r="R280" s="16" t="s">
        <v>1906</v>
      </c>
      <c r="S280" s="16" t="s">
        <v>1048</v>
      </c>
      <c r="T280" s="5">
        <v>42.5</v>
      </c>
      <c r="U280" s="5">
        <v>1257.0999999999999</v>
      </c>
      <c r="V280" s="16">
        <v>450</v>
      </c>
      <c r="W280" s="8">
        <f t="shared" si="8"/>
        <v>0</v>
      </c>
      <c r="Y280" s="8"/>
      <c r="Z280" s="8"/>
      <c r="AC280" s="8" t="str">
        <f>IF(COUNTIFS(作業區!$W$2:$W$2000, T280, 作業區!$X$2:$X$2000, U280)&gt;0, "已存在", "未擴充")</f>
        <v>已存在</v>
      </c>
    </row>
    <row r="281" spans="1:29" ht="49.5">
      <c r="A281" s="8">
        <f t="shared" si="9"/>
        <v>280</v>
      </c>
      <c r="B281" s="5" t="s">
        <v>754</v>
      </c>
      <c r="C281" s="5"/>
      <c r="D281" s="15" t="s">
        <v>1907</v>
      </c>
      <c r="E281" s="5" t="s">
        <v>1897</v>
      </c>
      <c r="F281" s="5" t="s">
        <v>1908</v>
      </c>
      <c r="G281" s="5" t="s">
        <v>1909</v>
      </c>
      <c r="H281" s="5"/>
      <c r="I281" s="4">
        <v>214968</v>
      </c>
      <c r="J281" s="4">
        <v>2544224</v>
      </c>
      <c r="K281" s="4">
        <v>214138.96900000001</v>
      </c>
      <c r="L281" s="4">
        <v>2544429.3870000001</v>
      </c>
      <c r="M281" s="5">
        <v>98</v>
      </c>
      <c r="N281" s="5" t="s">
        <v>1499</v>
      </c>
      <c r="O281" s="13">
        <v>40033.708333333336</v>
      </c>
      <c r="P281" s="15" t="s">
        <v>1910</v>
      </c>
      <c r="Q281" s="4"/>
      <c r="R281" s="16" t="s">
        <v>225</v>
      </c>
      <c r="S281" s="16" t="s">
        <v>1224</v>
      </c>
      <c r="T281" s="5">
        <v>71</v>
      </c>
      <c r="U281" s="5">
        <v>1046</v>
      </c>
      <c r="V281" s="16">
        <v>400</v>
      </c>
      <c r="W281" s="8">
        <f t="shared" si="8"/>
        <v>0</v>
      </c>
      <c r="Y281" s="8"/>
      <c r="Z281" s="8"/>
      <c r="AC281" s="8" t="str">
        <f>IF(COUNTIFS(作業區!$W$2:$W$2000, T281, 作業區!$X$2:$X$2000, U281)&gt;0, "已存在", "未擴充")</f>
        <v>已存在</v>
      </c>
    </row>
    <row r="282" spans="1:29" ht="66" hidden="1">
      <c r="A282" s="8">
        <f t="shared" si="9"/>
        <v>281</v>
      </c>
      <c r="B282" s="5" t="s">
        <v>754</v>
      </c>
      <c r="C282" s="5"/>
      <c r="D282" s="15" t="s">
        <v>1911</v>
      </c>
      <c r="E282" s="5" t="s">
        <v>1897</v>
      </c>
      <c r="F282" s="5" t="s">
        <v>1908</v>
      </c>
      <c r="G282" s="5" t="s">
        <v>1912</v>
      </c>
      <c r="H282" s="5"/>
      <c r="I282" s="4">
        <v>213813</v>
      </c>
      <c r="J282" s="4">
        <v>2546466</v>
      </c>
      <c r="K282" s="4">
        <v>212983.965</v>
      </c>
      <c r="L282" s="4">
        <v>2546671.3969999999</v>
      </c>
      <c r="M282" s="5">
        <v>98</v>
      </c>
      <c r="N282" s="5" t="s">
        <v>1499</v>
      </c>
      <c r="O282" s="13">
        <v>40033.708333333336</v>
      </c>
      <c r="P282" s="15" t="s">
        <v>1913</v>
      </c>
      <c r="Q282" s="4"/>
      <c r="R282" s="16" t="s">
        <v>1661</v>
      </c>
      <c r="S282" s="16" t="s">
        <v>1224</v>
      </c>
      <c r="T282" s="5">
        <v>71</v>
      </c>
      <c r="U282" s="5">
        <v>1046.0999999999999</v>
      </c>
      <c r="V282" s="16" t="s">
        <v>1668</v>
      </c>
      <c r="W282" s="8">
        <f t="shared" si="8"/>
        <v>0</v>
      </c>
      <c r="Y282" s="8"/>
      <c r="Z282" s="8"/>
      <c r="AC282" s="8" t="str">
        <f>IF(COUNTIFS(作業區!$W$2:$W$2000, T282, 作業區!$X$2:$X$2000, U282)&gt;0, "已存在", "未擴充")</f>
        <v>已存在</v>
      </c>
    </row>
    <row r="283" spans="1:29" ht="66">
      <c r="A283" s="8">
        <f t="shared" si="9"/>
        <v>282</v>
      </c>
      <c r="B283" s="5" t="s">
        <v>844</v>
      </c>
      <c r="C283" s="5"/>
      <c r="D283" s="15" t="s">
        <v>1914</v>
      </c>
      <c r="E283" s="5" t="s">
        <v>1897</v>
      </c>
      <c r="F283" s="5" t="s">
        <v>1915</v>
      </c>
      <c r="G283" s="5" t="s">
        <v>1916</v>
      </c>
      <c r="H283" s="5"/>
      <c r="I283" s="4">
        <v>221506</v>
      </c>
      <c r="J283" s="4">
        <v>2550485</v>
      </c>
      <c r="K283" s="4">
        <v>220676.99400000001</v>
      </c>
      <c r="L283" s="4">
        <v>2550690.4130000002</v>
      </c>
      <c r="M283" s="5">
        <v>98</v>
      </c>
      <c r="N283" s="5" t="s">
        <v>1499</v>
      </c>
      <c r="O283" s="13">
        <v>40033.916666666664</v>
      </c>
      <c r="P283" s="15" t="s">
        <v>1917</v>
      </c>
      <c r="Q283" s="4"/>
      <c r="R283" s="16" t="s">
        <v>595</v>
      </c>
      <c r="S283" s="16" t="s">
        <v>1554</v>
      </c>
      <c r="T283" s="5">
        <v>88.5</v>
      </c>
      <c r="U283" s="5">
        <v>1048.7</v>
      </c>
      <c r="V283" s="16">
        <v>450</v>
      </c>
      <c r="W283" s="8">
        <f t="shared" si="8"/>
        <v>0</v>
      </c>
      <c r="Y283" s="8"/>
      <c r="AC283" s="8" t="str">
        <f>IF(COUNTIFS(作業區!$W$2:$W$2000, T283, 作業區!$X$2:$X$2000, U283)&gt;0, "已存在", "未擴充")</f>
        <v>已存在</v>
      </c>
    </row>
    <row r="284" spans="1:29" ht="66" hidden="1">
      <c r="A284" s="8">
        <f t="shared" si="9"/>
        <v>283</v>
      </c>
      <c r="B284" s="5" t="s">
        <v>844</v>
      </c>
      <c r="C284" s="5"/>
      <c r="D284" s="15" t="s">
        <v>1918</v>
      </c>
      <c r="E284" s="5" t="s">
        <v>1897</v>
      </c>
      <c r="F284" s="5" t="s">
        <v>1915</v>
      </c>
      <c r="G284" s="5" t="s">
        <v>1916</v>
      </c>
      <c r="H284" s="5"/>
      <c r="I284" s="4">
        <v>220139</v>
      </c>
      <c r="J284" s="4">
        <v>2548369</v>
      </c>
      <c r="K284" s="4">
        <v>219309.989</v>
      </c>
      <c r="L284" s="4">
        <v>2548574.4040000001</v>
      </c>
      <c r="M284" s="5">
        <v>98</v>
      </c>
      <c r="N284" s="5" t="s">
        <v>1499</v>
      </c>
      <c r="O284" s="13">
        <v>40033.708333333336</v>
      </c>
      <c r="P284" s="15" t="s">
        <v>1919</v>
      </c>
      <c r="Q284" s="4"/>
      <c r="R284" s="16" t="s">
        <v>595</v>
      </c>
      <c r="S284" s="16" t="s">
        <v>1554</v>
      </c>
      <c r="T284" s="5">
        <v>86.5</v>
      </c>
      <c r="U284" s="5">
        <v>732.6</v>
      </c>
      <c r="V284" s="16">
        <v>450</v>
      </c>
      <c r="W284" s="8">
        <f t="shared" si="8"/>
        <v>0</v>
      </c>
      <c r="Y284" s="8"/>
      <c r="AC284" s="8" t="str">
        <f>IF(COUNTIFS(作業區!$W$2:$W$2000, T284, 作業區!$X$2:$X$2000, U284)&gt;0, "已存在", "未擴充")</f>
        <v>已存在</v>
      </c>
    </row>
    <row r="285" spans="1:29" ht="49.5" hidden="1">
      <c r="A285" s="8">
        <f t="shared" si="9"/>
        <v>284</v>
      </c>
      <c r="B285" s="5" t="s">
        <v>754</v>
      </c>
      <c r="C285" s="5"/>
      <c r="D285" s="15" t="s">
        <v>1920</v>
      </c>
      <c r="E285" s="5" t="s">
        <v>1897</v>
      </c>
      <c r="F285" s="5" t="s">
        <v>1915</v>
      </c>
      <c r="G285" s="5" t="s">
        <v>1921</v>
      </c>
      <c r="H285" s="5"/>
      <c r="I285" s="4">
        <v>232221</v>
      </c>
      <c r="J285" s="4">
        <v>2573545</v>
      </c>
      <c r="K285" s="4">
        <v>231392.035</v>
      </c>
      <c r="L285" s="4">
        <v>2573750.5079999999</v>
      </c>
      <c r="M285" s="5">
        <v>98</v>
      </c>
      <c r="N285" s="5" t="s">
        <v>1499</v>
      </c>
      <c r="O285" s="13">
        <v>40033.666666666664</v>
      </c>
      <c r="P285" s="15" t="s">
        <v>1922</v>
      </c>
      <c r="Q285" s="4"/>
      <c r="R285" s="16" t="s">
        <v>1668</v>
      </c>
      <c r="S285" s="16" t="s">
        <v>1668</v>
      </c>
      <c r="T285" s="5">
        <v>74</v>
      </c>
      <c r="U285" s="5">
        <v>647.4</v>
      </c>
      <c r="V285" s="16" t="s">
        <v>1668</v>
      </c>
      <c r="W285" s="8">
        <f t="shared" si="8"/>
        <v>0</v>
      </c>
      <c r="Y285" s="8"/>
      <c r="AC285" s="8" t="str">
        <f>IF(COUNTIFS(作業區!$W$2:$W$2000, T285, 作業區!$X$2:$X$2000, U285)&gt;0, "已存在", "未擴充")</f>
        <v>已存在</v>
      </c>
    </row>
    <row r="286" spans="1:29" ht="49.5">
      <c r="A286" s="8">
        <f t="shared" si="9"/>
        <v>285</v>
      </c>
      <c r="B286" s="5" t="s">
        <v>844</v>
      </c>
      <c r="C286" s="5"/>
      <c r="D286" s="15" t="s">
        <v>1923</v>
      </c>
      <c r="E286" s="5" t="s">
        <v>1897</v>
      </c>
      <c r="F286" s="5" t="s">
        <v>1915</v>
      </c>
      <c r="G286" s="5" t="s">
        <v>1916</v>
      </c>
      <c r="H286" s="5"/>
      <c r="I286" s="4">
        <v>224124</v>
      </c>
      <c r="J286" s="4">
        <v>2551583</v>
      </c>
      <c r="K286" s="4">
        <v>223295.00399999999</v>
      </c>
      <c r="L286" s="4">
        <v>2551788.4169999999</v>
      </c>
      <c r="M286" s="5">
        <v>98</v>
      </c>
      <c r="N286" s="5" t="s">
        <v>1499</v>
      </c>
      <c r="O286" s="13">
        <v>40033.916666666664</v>
      </c>
      <c r="P286" s="15" t="s">
        <v>1924</v>
      </c>
      <c r="Q286" s="4"/>
      <c r="R286" s="16" t="s">
        <v>595</v>
      </c>
      <c r="S286" s="16" t="s">
        <v>1554</v>
      </c>
      <c r="T286" s="5">
        <v>88.5</v>
      </c>
      <c r="U286" s="5">
        <v>1048.7</v>
      </c>
      <c r="V286" s="16">
        <v>450</v>
      </c>
      <c r="W286" s="8">
        <f t="shared" si="8"/>
        <v>0</v>
      </c>
      <c r="Y286" s="8"/>
      <c r="AC286" s="8" t="str">
        <f>IF(COUNTIFS(作業區!$W$2:$W$2000, T286, 作業區!$X$2:$X$2000, U286)&gt;0, "已存在", "未擴充")</f>
        <v>已存在</v>
      </c>
    </row>
    <row r="287" spans="1:29" ht="49.5">
      <c r="A287" s="8">
        <f t="shared" si="9"/>
        <v>286</v>
      </c>
      <c r="B287" s="5" t="s">
        <v>844</v>
      </c>
      <c r="C287" s="5"/>
      <c r="D287" s="15" t="s">
        <v>1925</v>
      </c>
      <c r="E287" s="5" t="s">
        <v>1897</v>
      </c>
      <c r="F287" s="5" t="s">
        <v>1915</v>
      </c>
      <c r="G287" s="5" t="s">
        <v>1916</v>
      </c>
      <c r="H287" s="5"/>
      <c r="I287" s="4">
        <v>224914</v>
      </c>
      <c r="J287" s="4">
        <v>2551728</v>
      </c>
      <c r="K287" s="4">
        <v>224085.00700000001</v>
      </c>
      <c r="L287" s="4">
        <v>2551933.4169999999</v>
      </c>
      <c r="M287" s="5">
        <v>98</v>
      </c>
      <c r="N287" s="5" t="s">
        <v>1499</v>
      </c>
      <c r="O287" s="13">
        <v>40033.916666666664</v>
      </c>
      <c r="P287" s="15" t="s">
        <v>1926</v>
      </c>
      <c r="Q287" s="4"/>
      <c r="R287" s="16" t="s">
        <v>1927</v>
      </c>
      <c r="S287" s="16" t="s">
        <v>1554</v>
      </c>
      <c r="T287" s="5">
        <v>88.5</v>
      </c>
      <c r="U287" s="5">
        <v>1048.7</v>
      </c>
      <c r="V287" s="16">
        <v>450</v>
      </c>
      <c r="W287" s="8">
        <f t="shared" si="8"/>
        <v>0</v>
      </c>
      <c r="Y287" s="8"/>
      <c r="AC287" s="8" t="str">
        <f>IF(COUNTIFS(作業區!$W$2:$W$2000, T287, 作業區!$X$2:$X$2000, U287)&gt;0, "已存在", "未擴充")</f>
        <v>已存在</v>
      </c>
    </row>
    <row r="288" spans="1:29" ht="33" hidden="1">
      <c r="A288" s="8">
        <f t="shared" si="9"/>
        <v>287</v>
      </c>
      <c r="B288" s="5" t="s">
        <v>739</v>
      </c>
      <c r="C288" s="5"/>
      <c r="D288" s="15" t="s">
        <v>1928</v>
      </c>
      <c r="E288" s="5" t="s">
        <v>1897</v>
      </c>
      <c r="F288" s="5" t="s">
        <v>1908</v>
      </c>
      <c r="G288" s="5" t="s">
        <v>1929</v>
      </c>
      <c r="H288" s="5"/>
      <c r="I288" s="4">
        <v>213302</v>
      </c>
      <c r="J288" s="4">
        <v>2538429</v>
      </c>
      <c r="K288" s="4"/>
      <c r="L288" s="4"/>
      <c r="M288" s="5">
        <v>98</v>
      </c>
      <c r="N288" s="5" t="s">
        <v>1499</v>
      </c>
      <c r="O288" s="13">
        <v>40032.916666666664</v>
      </c>
      <c r="P288" s="15" t="s">
        <v>1930</v>
      </c>
      <c r="Q288" s="4"/>
      <c r="R288" s="16" t="s">
        <v>1661</v>
      </c>
      <c r="S288" s="16" t="s">
        <v>1224</v>
      </c>
      <c r="T288" s="5">
        <v>15.5</v>
      </c>
      <c r="U288" s="5">
        <v>290.10000000000002</v>
      </c>
      <c r="V288" s="16">
        <v>400</v>
      </c>
      <c r="W288" s="8">
        <f t="shared" si="8"/>
        <v>0</v>
      </c>
      <c r="Y288" s="8"/>
      <c r="Z288" s="8"/>
      <c r="AC288" s="8" t="str">
        <f>IF(COUNTIFS(作業區!$W$2:$W$2000, T288, 作業區!$X$2:$X$2000, U288)&gt;0, "已存在", "未擴充")</f>
        <v>已存在</v>
      </c>
    </row>
    <row r="289" spans="1:29" ht="33">
      <c r="A289" s="8">
        <f t="shared" si="9"/>
        <v>288</v>
      </c>
      <c r="B289" s="5" t="s">
        <v>754</v>
      </c>
      <c r="C289" s="5"/>
      <c r="D289" s="15" t="s">
        <v>1931</v>
      </c>
      <c r="E289" s="5" t="s">
        <v>930</v>
      </c>
      <c r="F289" s="5" t="s">
        <v>937</v>
      </c>
      <c r="G289" s="5" t="s">
        <v>1932</v>
      </c>
      <c r="H289" s="5"/>
      <c r="I289" s="4">
        <v>214850</v>
      </c>
      <c r="J289" s="4">
        <v>2511810</v>
      </c>
      <c r="K289" s="4">
        <v>214020.96299999999</v>
      </c>
      <c r="L289" s="4">
        <v>2512015.2459999998</v>
      </c>
      <c r="M289" s="5">
        <v>98</v>
      </c>
      <c r="N289" s="5" t="s">
        <v>1933</v>
      </c>
      <c r="O289" s="13">
        <v>40019.625</v>
      </c>
      <c r="P289" s="15" t="s">
        <v>1934</v>
      </c>
      <c r="Q289" s="4"/>
      <c r="R289" s="16" t="s">
        <v>1690</v>
      </c>
      <c r="S289" s="16" t="s">
        <v>1691</v>
      </c>
      <c r="T289" s="5">
        <v>5</v>
      </c>
      <c r="U289" s="5">
        <v>35.700000000000003</v>
      </c>
      <c r="V289" s="16">
        <v>550</v>
      </c>
      <c r="W289" s="8">
        <f t="shared" si="8"/>
        <v>0</v>
      </c>
      <c r="Y289" s="8"/>
      <c r="Z289" s="8"/>
      <c r="AC289" s="8" t="str">
        <f>IF(COUNTIFS(作業區!$W$2:$W$2000, T289, 作業區!$X$2:$X$2000, U289)&gt;0, "已存在", "未擴充")</f>
        <v>已存在</v>
      </c>
    </row>
    <row r="290" spans="1:29" ht="82.5">
      <c r="A290" s="8">
        <f t="shared" si="9"/>
        <v>289</v>
      </c>
      <c r="B290" s="5" t="s">
        <v>1866</v>
      </c>
      <c r="C290" s="5"/>
      <c r="D290" s="4" t="s">
        <v>1935</v>
      </c>
      <c r="E290" s="5" t="s">
        <v>895</v>
      </c>
      <c r="F290" s="5" t="s">
        <v>1936</v>
      </c>
      <c r="G290" s="5" t="s">
        <v>1937</v>
      </c>
      <c r="H290" s="5"/>
      <c r="I290" s="4">
        <v>309422</v>
      </c>
      <c r="J290" s="4">
        <v>2786756</v>
      </c>
      <c r="K290" s="4">
        <v>308593.23700000002</v>
      </c>
      <c r="L290" s="4">
        <v>2786962.281</v>
      </c>
      <c r="M290" s="5">
        <v>99</v>
      </c>
      <c r="N290" s="5" t="s">
        <v>1938</v>
      </c>
      <c r="O290" s="29">
        <v>40445.25</v>
      </c>
      <c r="P290" s="15" t="s">
        <v>1939</v>
      </c>
      <c r="Q290" s="4"/>
      <c r="R290" s="16" t="s">
        <v>1940</v>
      </c>
      <c r="S290" s="16" t="s">
        <v>1941</v>
      </c>
      <c r="T290" s="5">
        <v>4.5</v>
      </c>
      <c r="U290" s="5">
        <v>79</v>
      </c>
      <c r="V290" s="16">
        <v>500</v>
      </c>
      <c r="W290" s="8">
        <f t="shared" si="8"/>
        <v>0</v>
      </c>
      <c r="Y290" s="8"/>
      <c r="Z290" s="8"/>
      <c r="AC290" s="8" t="str">
        <f>IF(COUNTIFS(作業區!$W$2:$W$2000, T290, 作業區!$X$2:$X$2000, U290)&gt;0, "已存在", "未擴充")</f>
        <v>已存在</v>
      </c>
    </row>
    <row r="291" spans="1:29" ht="66">
      <c r="A291" s="8">
        <f t="shared" si="9"/>
        <v>290</v>
      </c>
      <c r="B291" s="2" t="s">
        <v>1073</v>
      </c>
      <c r="C291" s="2"/>
      <c r="D291" s="4" t="s">
        <v>1942</v>
      </c>
      <c r="E291" s="2" t="s">
        <v>985</v>
      </c>
      <c r="F291" s="2" t="s">
        <v>1943</v>
      </c>
      <c r="G291" s="2" t="s">
        <v>1944</v>
      </c>
      <c r="H291" s="5"/>
      <c r="I291" s="4">
        <v>299718</v>
      </c>
      <c r="J291" s="4">
        <v>2607242</v>
      </c>
      <c r="K291" s="4">
        <v>298889.26199999999</v>
      </c>
      <c r="L291" s="4">
        <v>2607447.648</v>
      </c>
      <c r="M291" s="5">
        <v>99</v>
      </c>
      <c r="N291" s="2" t="s">
        <v>1945</v>
      </c>
      <c r="O291" s="29">
        <v>40467.833333333336</v>
      </c>
      <c r="P291" s="15" t="s">
        <v>1946</v>
      </c>
      <c r="Q291" s="4"/>
      <c r="R291" s="16" t="s">
        <v>1947</v>
      </c>
      <c r="S291" s="16" t="s">
        <v>1948</v>
      </c>
      <c r="T291" s="5">
        <v>9.5</v>
      </c>
      <c r="U291" s="5">
        <v>59</v>
      </c>
      <c r="V291" s="16">
        <v>400</v>
      </c>
      <c r="W291" s="8">
        <f t="shared" si="8"/>
        <v>0</v>
      </c>
      <c r="Y291" s="8"/>
      <c r="Z291" s="8"/>
      <c r="AC291" s="8" t="str">
        <f>IF(COUNTIFS(作業區!$W$2:$W$2000, T291, 作業區!$X$2:$X$2000, U291)&gt;0, "已存在", "未擴充")</f>
        <v>已存在</v>
      </c>
    </row>
    <row r="292" spans="1:29" ht="66">
      <c r="A292" s="8">
        <f t="shared" si="9"/>
        <v>291</v>
      </c>
      <c r="B292" s="2" t="s">
        <v>1073</v>
      </c>
      <c r="C292" s="2"/>
      <c r="D292" s="4" t="s">
        <v>1949</v>
      </c>
      <c r="E292" s="2" t="s">
        <v>985</v>
      </c>
      <c r="F292" s="2" t="s">
        <v>1950</v>
      </c>
      <c r="G292" s="2" t="s">
        <v>1951</v>
      </c>
      <c r="H292" s="5" t="s">
        <v>1952</v>
      </c>
      <c r="I292" s="4">
        <v>291293</v>
      </c>
      <c r="J292" s="4">
        <v>2614907</v>
      </c>
      <c r="K292" s="4">
        <v>290464.23200000002</v>
      </c>
      <c r="L292" s="4">
        <v>2615112.6770000001</v>
      </c>
      <c r="M292" s="5">
        <v>99</v>
      </c>
      <c r="N292" s="2" t="s">
        <v>1945</v>
      </c>
      <c r="O292" s="29">
        <v>40467.833333333336</v>
      </c>
      <c r="P292" s="15" t="s">
        <v>1953</v>
      </c>
      <c r="Q292" s="4"/>
      <c r="R292" s="16" t="s">
        <v>1954</v>
      </c>
      <c r="S292" s="16" t="s">
        <v>1955</v>
      </c>
      <c r="T292" s="5">
        <v>39</v>
      </c>
      <c r="U292" s="5">
        <v>65</v>
      </c>
      <c r="V292" s="16">
        <v>400</v>
      </c>
      <c r="W292" s="8">
        <f t="shared" si="8"/>
        <v>0</v>
      </c>
      <c r="Y292" s="8"/>
      <c r="Z292" s="8"/>
      <c r="AC292" s="8" t="str">
        <f>IF(COUNTIFS(作業區!$W$2:$W$2000, T292, 作業區!$X$2:$X$2000, U292)&gt;0, "已存在", "未擴充")</f>
        <v>已存在</v>
      </c>
    </row>
    <row r="293" spans="1:29" ht="66">
      <c r="A293" s="8">
        <f t="shared" si="9"/>
        <v>292</v>
      </c>
      <c r="B293" s="2" t="s">
        <v>1073</v>
      </c>
      <c r="C293" s="2"/>
      <c r="D293" s="4" t="s">
        <v>1956</v>
      </c>
      <c r="E293" s="2" t="s">
        <v>985</v>
      </c>
      <c r="F293" s="2" t="s">
        <v>1950</v>
      </c>
      <c r="G293" s="2" t="s">
        <v>1957</v>
      </c>
      <c r="H293" s="5"/>
      <c r="I293" s="4">
        <v>296660</v>
      </c>
      <c r="J293" s="4">
        <v>2617056</v>
      </c>
      <c r="K293" s="4">
        <v>295831.24900000001</v>
      </c>
      <c r="L293" s="4">
        <v>2617261.6860000002</v>
      </c>
      <c r="M293" s="5">
        <v>99</v>
      </c>
      <c r="N293" s="2" t="s">
        <v>1945</v>
      </c>
      <c r="O293" s="29">
        <v>40467.875</v>
      </c>
      <c r="P293" s="15" t="s">
        <v>1958</v>
      </c>
      <c r="Q293" s="4"/>
      <c r="R293" s="16" t="s">
        <v>1959</v>
      </c>
      <c r="S293" s="16" t="s">
        <v>1960</v>
      </c>
      <c r="T293" s="5">
        <v>78.5</v>
      </c>
      <c r="U293" s="5">
        <v>197.5</v>
      </c>
      <c r="V293" s="16">
        <v>400</v>
      </c>
      <c r="W293" s="8">
        <f t="shared" si="8"/>
        <v>0</v>
      </c>
      <c r="Y293" s="8"/>
      <c r="Z293" s="8"/>
      <c r="AC293" s="8" t="str">
        <f>IF(COUNTIFS(作業區!$W$2:$W$2000, T293, 作業區!$X$2:$X$2000, U293)&gt;0, "已存在", "未擴充")</f>
        <v>已存在</v>
      </c>
    </row>
    <row r="294" spans="1:29">
      <c r="A294" s="8">
        <f t="shared" si="9"/>
        <v>293</v>
      </c>
      <c r="B294" s="2" t="s">
        <v>1736</v>
      </c>
      <c r="C294" s="2"/>
      <c r="D294" s="4" t="s">
        <v>1961</v>
      </c>
      <c r="E294" s="2" t="s">
        <v>985</v>
      </c>
      <c r="F294" s="2" t="s">
        <v>1943</v>
      </c>
      <c r="G294" s="2" t="s">
        <v>1962</v>
      </c>
      <c r="H294" s="5" t="s">
        <v>1963</v>
      </c>
      <c r="I294" s="4">
        <v>304460</v>
      </c>
      <c r="J294" s="4">
        <v>2617680</v>
      </c>
      <c r="K294" s="4">
        <v>303631.27399999998</v>
      </c>
      <c r="L294" s="4">
        <v>2617885.6910000001</v>
      </c>
      <c r="M294" s="5">
        <v>99</v>
      </c>
      <c r="N294" s="2" t="s">
        <v>1945</v>
      </c>
      <c r="O294" s="13">
        <v>40467.833333333336</v>
      </c>
      <c r="P294" s="4" t="s">
        <v>1964</v>
      </c>
      <c r="Q294" s="4"/>
      <c r="R294" s="16" t="s">
        <v>1965</v>
      </c>
      <c r="S294" s="16" t="s">
        <v>1966</v>
      </c>
      <c r="T294" s="5">
        <v>34</v>
      </c>
      <c r="U294" s="5">
        <v>98.5</v>
      </c>
      <c r="V294" s="16">
        <v>400</v>
      </c>
      <c r="W294" s="8">
        <f t="shared" si="8"/>
        <v>0</v>
      </c>
      <c r="Y294" s="8"/>
      <c r="Z294" s="8"/>
      <c r="AC294" s="8" t="str">
        <f>IF(COUNTIFS(作業區!$W$2:$W$2000, T294, 作業區!$X$2:$X$2000, U294)&gt;0, "已存在", "未擴充")</f>
        <v>已存在</v>
      </c>
    </row>
    <row r="295" spans="1:29" ht="82.5" hidden="1">
      <c r="A295" s="8">
        <f t="shared" si="9"/>
        <v>294</v>
      </c>
      <c r="B295" s="5" t="s">
        <v>739</v>
      </c>
      <c r="C295" s="5"/>
      <c r="D295" s="30" t="s">
        <v>1967</v>
      </c>
      <c r="E295" s="14" t="s">
        <v>1897</v>
      </c>
      <c r="F295" s="5" t="s">
        <v>1908</v>
      </c>
      <c r="G295" s="5" t="s">
        <v>1968</v>
      </c>
      <c r="H295" s="5" t="s">
        <v>805</v>
      </c>
      <c r="I295" s="4">
        <v>213963</v>
      </c>
      <c r="J295" s="4">
        <v>2534790</v>
      </c>
      <c r="K295" s="4">
        <v>213133.96400000001</v>
      </c>
      <c r="L295" s="4">
        <v>2534995.3470000001</v>
      </c>
      <c r="M295" s="5">
        <v>99</v>
      </c>
      <c r="N295" s="5" t="s">
        <v>1969</v>
      </c>
      <c r="O295" s="13">
        <v>40440.75</v>
      </c>
      <c r="P295" s="15" t="s">
        <v>1970</v>
      </c>
      <c r="Q295" s="4"/>
      <c r="R295" s="16" t="s">
        <v>233</v>
      </c>
      <c r="S295" s="16" t="s">
        <v>1239</v>
      </c>
      <c r="T295" s="5">
        <v>45</v>
      </c>
      <c r="U295" s="5">
        <v>322</v>
      </c>
      <c r="V295" s="16">
        <v>200</v>
      </c>
      <c r="W295" s="8">
        <f t="shared" si="8"/>
        <v>0</v>
      </c>
      <c r="Y295" s="8"/>
      <c r="Z295" s="8"/>
      <c r="AC295" s="8" t="str">
        <f>IF(COUNTIFS(作業區!$W$2:$W$2000, T295, 作業區!$X$2:$X$2000, U295)&gt;0, "已存在", "未擴充")</f>
        <v>已存在</v>
      </c>
    </row>
    <row r="296" spans="1:29" ht="66" hidden="1">
      <c r="A296" s="8">
        <f t="shared" si="9"/>
        <v>295</v>
      </c>
      <c r="B296" s="5" t="s">
        <v>739</v>
      </c>
      <c r="C296" s="5"/>
      <c r="D296" s="30" t="s">
        <v>1971</v>
      </c>
      <c r="E296" s="14" t="s">
        <v>1897</v>
      </c>
      <c r="F296" s="5" t="s">
        <v>1908</v>
      </c>
      <c r="G296" s="5" t="s">
        <v>1968</v>
      </c>
      <c r="H296" s="5" t="s">
        <v>842</v>
      </c>
      <c r="I296" s="4">
        <v>214010</v>
      </c>
      <c r="J296" s="4">
        <v>2533640</v>
      </c>
      <c r="K296" s="4">
        <v>213180.96400000001</v>
      </c>
      <c r="L296" s="4">
        <v>2533845.3420000002</v>
      </c>
      <c r="M296" s="5">
        <v>99</v>
      </c>
      <c r="N296" s="5" t="s">
        <v>1969</v>
      </c>
      <c r="O296" s="13">
        <v>40440.875</v>
      </c>
      <c r="P296" s="15" t="s">
        <v>1972</v>
      </c>
      <c r="Q296" s="4"/>
      <c r="R296" s="16" t="s">
        <v>233</v>
      </c>
      <c r="S296" s="16" t="s">
        <v>1239</v>
      </c>
      <c r="T296" s="5">
        <v>22</v>
      </c>
      <c r="U296" s="5">
        <v>482.5</v>
      </c>
      <c r="V296" s="16">
        <v>200</v>
      </c>
      <c r="W296" s="8">
        <f t="shared" si="8"/>
        <v>0</v>
      </c>
      <c r="Y296" s="8"/>
      <c r="Z296" s="8"/>
      <c r="AC296" s="8" t="str">
        <f>IF(COUNTIFS(作業區!$W$2:$W$2000, T296, 作業區!$X$2:$X$2000, U296)&gt;0, "已存在", "未擴充")</f>
        <v>已存在</v>
      </c>
    </row>
    <row r="297" spans="1:29" hidden="1">
      <c r="A297" s="8">
        <f t="shared" si="9"/>
        <v>296</v>
      </c>
      <c r="B297" s="5" t="s">
        <v>1248</v>
      </c>
      <c r="C297" s="5"/>
      <c r="D297" s="30" t="s">
        <v>1973</v>
      </c>
      <c r="E297" s="14" t="s">
        <v>1897</v>
      </c>
      <c r="F297" s="5" t="s">
        <v>1908</v>
      </c>
      <c r="G297" s="5" t="s">
        <v>1974</v>
      </c>
      <c r="H297" s="5" t="s">
        <v>1975</v>
      </c>
      <c r="I297" s="4">
        <v>212130</v>
      </c>
      <c r="J297" s="4">
        <v>2533582</v>
      </c>
      <c r="K297" s="4">
        <v>211300.95699999999</v>
      </c>
      <c r="L297" s="4">
        <v>2533787.3420000002</v>
      </c>
      <c r="M297" s="5">
        <v>99</v>
      </c>
      <c r="N297" s="5" t="s">
        <v>1969</v>
      </c>
      <c r="O297" s="13">
        <v>40440.875</v>
      </c>
      <c r="P297" s="4" t="s">
        <v>1976</v>
      </c>
      <c r="Q297" s="4"/>
      <c r="R297" s="16" t="s">
        <v>225</v>
      </c>
      <c r="S297" s="16" t="s">
        <v>1224</v>
      </c>
      <c r="T297" s="5">
        <v>26.5</v>
      </c>
      <c r="U297" s="5">
        <v>443</v>
      </c>
      <c r="V297" s="16">
        <v>200</v>
      </c>
      <c r="W297" s="8">
        <f t="shared" si="8"/>
        <v>0</v>
      </c>
      <c r="Y297" s="8"/>
      <c r="Z297" s="8"/>
      <c r="AC297" s="8" t="str">
        <f>IF(COUNTIFS(作業區!$W$2:$W$2000, T297, 作業區!$X$2:$X$2000, U297)&gt;0, "已存在", "未擴充")</f>
        <v>已存在</v>
      </c>
    </row>
    <row r="298" spans="1:29" ht="66">
      <c r="A298" s="8">
        <f t="shared" si="9"/>
        <v>297</v>
      </c>
      <c r="B298" s="2" t="s">
        <v>1248</v>
      </c>
      <c r="C298" s="2"/>
      <c r="D298" s="4" t="s">
        <v>1977</v>
      </c>
      <c r="E298" s="14" t="s">
        <v>1897</v>
      </c>
      <c r="F298" s="5" t="s">
        <v>1908</v>
      </c>
      <c r="G298" s="5" t="s">
        <v>1968</v>
      </c>
      <c r="H298" s="5"/>
      <c r="I298" s="4">
        <v>212968</v>
      </c>
      <c r="J298" s="4">
        <v>2532827</v>
      </c>
      <c r="K298" s="4">
        <v>212138.96</v>
      </c>
      <c r="L298" s="4">
        <v>2533032.338</v>
      </c>
      <c r="M298" s="5">
        <v>99</v>
      </c>
      <c r="N298" s="5" t="s">
        <v>1969</v>
      </c>
      <c r="O298" s="13">
        <v>40440.833333333336</v>
      </c>
      <c r="P298" s="15" t="s">
        <v>1978</v>
      </c>
      <c r="Q298" s="4"/>
      <c r="R298" s="16" t="s">
        <v>233</v>
      </c>
      <c r="S298" s="16" t="s">
        <v>1239</v>
      </c>
      <c r="T298" s="5">
        <v>63</v>
      </c>
      <c r="U298" s="5">
        <v>460.5</v>
      </c>
      <c r="V298" s="16">
        <v>200</v>
      </c>
      <c r="W298" s="8">
        <f t="shared" si="8"/>
        <v>0</v>
      </c>
      <c r="Y298" s="8"/>
      <c r="Z298" s="8"/>
      <c r="AC298" s="8" t="str">
        <f>IF(COUNTIFS(作業區!$W$2:$W$2000, T298, 作業區!$X$2:$X$2000, U298)&gt;0, "已存在", "未擴充")</f>
        <v>已存在</v>
      </c>
    </row>
    <row r="299" spans="1:29" ht="66">
      <c r="A299" s="8">
        <f t="shared" si="9"/>
        <v>298</v>
      </c>
      <c r="B299" s="2" t="s">
        <v>1073</v>
      </c>
      <c r="C299" s="2"/>
      <c r="D299" s="4" t="s">
        <v>1979</v>
      </c>
      <c r="E299" s="5" t="s">
        <v>790</v>
      </c>
      <c r="F299" s="2" t="s">
        <v>1524</v>
      </c>
      <c r="G299" s="2" t="s">
        <v>1980</v>
      </c>
      <c r="H299" s="5"/>
      <c r="I299" s="4">
        <v>212918</v>
      </c>
      <c r="J299" s="4">
        <v>2481925</v>
      </c>
      <c r="K299" s="4">
        <v>212088.94899999999</v>
      </c>
      <c r="L299" s="4">
        <v>2482130.1129999999</v>
      </c>
      <c r="M299" s="5">
        <v>99</v>
      </c>
      <c r="N299" s="5" t="s">
        <v>1969</v>
      </c>
      <c r="O299" s="29">
        <v>40440.916666666664</v>
      </c>
      <c r="P299" s="15" t="s">
        <v>1981</v>
      </c>
      <c r="Q299" s="4"/>
      <c r="R299" s="16" t="s">
        <v>1527</v>
      </c>
      <c r="S299" s="16" t="s">
        <v>1528</v>
      </c>
      <c r="T299" s="5">
        <v>52.5</v>
      </c>
      <c r="U299" s="5">
        <v>415</v>
      </c>
      <c r="V299" s="16" t="s">
        <v>1668</v>
      </c>
      <c r="W299" s="8">
        <f t="shared" si="8"/>
        <v>0</v>
      </c>
      <c r="Y299" s="8"/>
      <c r="Z299" s="8"/>
      <c r="AC299" s="8" t="str">
        <f>IF(COUNTIFS(作業區!$W$2:$W$2000, T299, 作業區!$X$2:$X$2000, U299)&gt;0, "已存在", "未擴充")</f>
        <v>已存在</v>
      </c>
    </row>
    <row r="300" spans="1:29" ht="49.5">
      <c r="A300" s="8">
        <f t="shared" si="9"/>
        <v>299</v>
      </c>
      <c r="B300" s="2" t="s">
        <v>1736</v>
      </c>
      <c r="C300" s="2"/>
      <c r="D300" s="4" t="s">
        <v>1982</v>
      </c>
      <c r="E300" s="5" t="s">
        <v>790</v>
      </c>
      <c r="F300" s="2" t="s">
        <v>1524</v>
      </c>
      <c r="G300" s="2" t="s">
        <v>1983</v>
      </c>
      <c r="H300" s="5" t="s">
        <v>1984</v>
      </c>
      <c r="I300" s="4">
        <v>215301</v>
      </c>
      <c r="J300" s="4">
        <v>2491940</v>
      </c>
      <c r="K300" s="4">
        <v>214471.96100000001</v>
      </c>
      <c r="L300" s="4">
        <v>2492145.1579999998</v>
      </c>
      <c r="M300" s="5">
        <v>99</v>
      </c>
      <c r="N300" s="5" t="s">
        <v>1969</v>
      </c>
      <c r="O300" s="29">
        <v>40440.958333333336</v>
      </c>
      <c r="P300" s="15" t="s">
        <v>1985</v>
      </c>
      <c r="Q300" s="4"/>
      <c r="R300" s="16" t="s">
        <v>1527</v>
      </c>
      <c r="S300" s="16" t="s">
        <v>1528</v>
      </c>
      <c r="T300" s="5">
        <v>46.5</v>
      </c>
      <c r="U300" s="5">
        <v>507</v>
      </c>
      <c r="V300" s="16">
        <v>450</v>
      </c>
      <c r="W300" s="8">
        <f t="shared" si="8"/>
        <v>0</v>
      </c>
      <c r="Y300" s="8"/>
      <c r="Z300" s="8"/>
      <c r="AC300" s="8" t="str">
        <f>IF(COUNTIFS(作業區!$W$2:$W$2000, T300, 作業區!$X$2:$X$2000, U300)&gt;0, "已存在", "未擴充")</f>
        <v>已存在</v>
      </c>
    </row>
    <row r="301" spans="1:29" hidden="1">
      <c r="A301" s="8">
        <f t="shared" si="9"/>
        <v>300</v>
      </c>
      <c r="B301" s="5" t="s">
        <v>1073</v>
      </c>
      <c r="C301" s="5"/>
      <c r="D301" s="4" t="s">
        <v>1986</v>
      </c>
      <c r="E301" s="5" t="s">
        <v>802</v>
      </c>
      <c r="F301" s="5" t="s">
        <v>803</v>
      </c>
      <c r="G301" s="5" t="s">
        <v>1987</v>
      </c>
      <c r="H301" s="5" t="s">
        <v>1988</v>
      </c>
      <c r="I301" s="4">
        <v>217155</v>
      </c>
      <c r="J301" s="4">
        <v>2553855</v>
      </c>
      <c r="K301" s="4">
        <v>216325.97899999999</v>
      </c>
      <c r="L301" s="4">
        <v>2554060.4270000001</v>
      </c>
      <c r="M301" s="5">
        <v>99</v>
      </c>
      <c r="N301" s="5" t="s">
        <v>1969</v>
      </c>
      <c r="O301" s="29">
        <v>40440.875</v>
      </c>
      <c r="P301" s="4" t="s">
        <v>1989</v>
      </c>
      <c r="Q301" s="4"/>
      <c r="R301" s="16" t="s">
        <v>1990</v>
      </c>
      <c r="S301" s="16" t="s">
        <v>1224</v>
      </c>
      <c r="T301" s="5">
        <v>26.5</v>
      </c>
      <c r="U301" s="5">
        <v>443</v>
      </c>
      <c r="V301" s="16" t="s">
        <v>975</v>
      </c>
      <c r="W301" s="8">
        <f t="shared" si="8"/>
        <v>0</v>
      </c>
      <c r="Y301" s="8"/>
      <c r="Z301" s="8"/>
      <c r="AC301" s="8" t="str">
        <f>IF(COUNTIFS(作業區!$W$2:$W$2000, T301, 作業區!$X$2:$X$2000, U301)&gt;0, "已存在", "未擴充")</f>
        <v>已存在</v>
      </c>
    </row>
    <row r="302" spans="1:29">
      <c r="A302" s="8">
        <f t="shared" si="9"/>
        <v>301</v>
      </c>
      <c r="B302" s="5" t="s">
        <v>1991</v>
      </c>
      <c r="C302" s="5"/>
      <c r="D302" s="4" t="s">
        <v>1992</v>
      </c>
      <c r="E302" s="5" t="s">
        <v>790</v>
      </c>
      <c r="F302" s="5" t="s">
        <v>1993</v>
      </c>
      <c r="G302" s="5" t="s">
        <v>1754</v>
      </c>
      <c r="H302" s="5"/>
      <c r="I302" s="4">
        <v>217274</v>
      </c>
      <c r="J302" s="4">
        <v>2491964</v>
      </c>
      <c r="K302" s="4">
        <v>216444.96799999999</v>
      </c>
      <c r="L302" s="4">
        <v>2492169.1570000001</v>
      </c>
      <c r="M302" s="5">
        <v>99</v>
      </c>
      <c r="N302" s="5" t="s">
        <v>1969</v>
      </c>
      <c r="O302" s="29">
        <v>40440.958333333336</v>
      </c>
      <c r="P302" s="4" t="s">
        <v>1994</v>
      </c>
      <c r="Q302" s="4"/>
      <c r="R302" s="16" t="s">
        <v>1527</v>
      </c>
      <c r="S302" s="16" t="s">
        <v>1528</v>
      </c>
      <c r="T302" s="5">
        <v>46.5</v>
      </c>
      <c r="U302" s="5">
        <v>507</v>
      </c>
      <c r="V302" s="16">
        <v>450</v>
      </c>
      <c r="W302" s="8">
        <f t="shared" si="8"/>
        <v>0</v>
      </c>
      <c r="Y302" s="8"/>
      <c r="Z302" s="8"/>
      <c r="AC302" s="8" t="str">
        <f>IF(COUNTIFS(作業區!$W$2:$W$2000, T302, 作業區!$X$2:$X$2000, U302)&gt;0, "已存在", "未擴充")</f>
        <v>已存在</v>
      </c>
    </row>
    <row r="303" spans="1:29" ht="81.75">
      <c r="A303" s="8">
        <f t="shared" si="9"/>
        <v>302</v>
      </c>
      <c r="B303" s="5" t="s">
        <v>881</v>
      </c>
      <c r="C303" s="5"/>
      <c r="D303" s="4" t="s">
        <v>1995</v>
      </c>
      <c r="E303" s="5" t="s">
        <v>1996</v>
      </c>
      <c r="F303" s="5" t="s">
        <v>1997</v>
      </c>
      <c r="G303" s="5" t="s">
        <v>1998</v>
      </c>
      <c r="H303" s="5"/>
      <c r="I303" s="4">
        <v>320129</v>
      </c>
      <c r="J303" s="4">
        <v>2779215</v>
      </c>
      <c r="K303" s="4">
        <v>319300.26500000001</v>
      </c>
      <c r="L303" s="4">
        <v>2779421.2609999999</v>
      </c>
      <c r="M303" s="5">
        <v>99</v>
      </c>
      <c r="N303" s="5" t="s">
        <v>1999</v>
      </c>
      <c r="O303" s="29">
        <v>40293.606249999997</v>
      </c>
      <c r="P303" s="15" t="s">
        <v>2000</v>
      </c>
      <c r="Q303" s="4"/>
      <c r="R303" s="16" t="s">
        <v>2001</v>
      </c>
      <c r="S303" s="16" t="s">
        <v>919</v>
      </c>
      <c r="T303" s="5">
        <v>0</v>
      </c>
      <c r="U303" s="5">
        <v>17.5</v>
      </c>
      <c r="V303" s="16" t="s">
        <v>857</v>
      </c>
      <c r="W303" s="8">
        <f t="shared" si="8"/>
        <v>0</v>
      </c>
      <c r="Y303" s="8"/>
      <c r="Z303" s="8"/>
      <c r="AC303" s="8" t="str">
        <f>IF(COUNTIFS(作業區!$W$2:$W$2000, T303, 作業區!$X$2:$X$2000, U303)&gt;0, "已存在", "未擴充")</f>
        <v>已存在</v>
      </c>
    </row>
    <row r="304" spans="1:29" ht="49.5">
      <c r="A304" s="8">
        <f t="shared" si="9"/>
        <v>303</v>
      </c>
      <c r="B304" s="5" t="s">
        <v>1257</v>
      </c>
      <c r="C304" s="5"/>
      <c r="D304" s="30" t="s">
        <v>2002</v>
      </c>
      <c r="E304" s="5" t="s">
        <v>1349</v>
      </c>
      <c r="F304" s="5" t="s">
        <v>2003</v>
      </c>
      <c r="G304" s="5" t="s">
        <v>2004</v>
      </c>
      <c r="H304" s="5"/>
      <c r="I304" s="4">
        <v>335878</v>
      </c>
      <c r="J304" s="4">
        <v>2721788</v>
      </c>
      <c r="K304" s="4">
        <v>335049.32900000003</v>
      </c>
      <c r="L304" s="4">
        <v>2721994.08</v>
      </c>
      <c r="M304" s="5">
        <v>99</v>
      </c>
      <c r="N304" s="5" t="s">
        <v>2005</v>
      </c>
      <c r="O304" s="13">
        <v>40472.597222222219</v>
      </c>
      <c r="P304" s="15" t="s">
        <v>2006</v>
      </c>
      <c r="Q304" s="4"/>
      <c r="R304" s="16" t="s">
        <v>2007</v>
      </c>
      <c r="S304" s="16" t="s">
        <v>2008</v>
      </c>
      <c r="T304" s="5">
        <v>86</v>
      </c>
      <c r="U304" s="5">
        <v>623.5</v>
      </c>
      <c r="V304" s="16">
        <v>600</v>
      </c>
      <c r="W304" s="8">
        <f t="shared" si="8"/>
        <v>0</v>
      </c>
      <c r="Y304" s="8"/>
      <c r="Z304" s="8"/>
      <c r="AC304" s="8" t="str">
        <f>IF(COUNTIFS(作業區!$W$2:$W$2000, T304, 作業區!$X$2:$X$2000, U304)&gt;0, "已存在", "未擴充")</f>
        <v>已存在</v>
      </c>
    </row>
    <row r="305" spans="1:29" ht="49.5">
      <c r="A305" s="8">
        <f t="shared" si="9"/>
        <v>304</v>
      </c>
      <c r="B305" s="2" t="s">
        <v>1073</v>
      </c>
      <c r="C305" s="2"/>
      <c r="D305" s="4" t="s">
        <v>2009</v>
      </c>
      <c r="E305" s="2" t="s">
        <v>1482</v>
      </c>
      <c r="F305" s="2" t="s">
        <v>1483</v>
      </c>
      <c r="G305" s="2" t="s">
        <v>2010</v>
      </c>
      <c r="H305" s="5"/>
      <c r="I305" s="4">
        <v>319299</v>
      </c>
      <c r="J305" s="4">
        <v>2728380</v>
      </c>
      <c r="K305" s="4">
        <v>318470.28200000001</v>
      </c>
      <c r="L305" s="4">
        <v>2728586.0970000001</v>
      </c>
      <c r="M305" s="5">
        <v>99</v>
      </c>
      <c r="N305" s="5" t="s">
        <v>2005</v>
      </c>
      <c r="O305" s="29">
        <v>40472.5</v>
      </c>
      <c r="P305" s="15" t="s">
        <v>2011</v>
      </c>
      <c r="Q305" s="4"/>
      <c r="R305" s="16" t="s">
        <v>1488</v>
      </c>
      <c r="S305" s="16" t="s">
        <v>1489</v>
      </c>
      <c r="T305" s="5">
        <v>22</v>
      </c>
      <c r="U305" s="5">
        <v>347</v>
      </c>
      <c r="V305" s="16">
        <v>600</v>
      </c>
      <c r="W305" s="8">
        <f t="shared" si="8"/>
        <v>0</v>
      </c>
      <c r="Y305" s="8"/>
      <c r="Z305" s="8"/>
      <c r="AC305" s="8" t="str">
        <f>IF(COUNTIFS(作業區!$W$2:$W$2000, T305, 作業區!$X$2:$X$2000, U305)&gt;0, "已存在", "未擴充")</f>
        <v>已存在</v>
      </c>
    </row>
    <row r="306" spans="1:29" ht="49.5">
      <c r="A306" s="8">
        <f t="shared" si="9"/>
        <v>305</v>
      </c>
      <c r="B306" s="2" t="s">
        <v>1073</v>
      </c>
      <c r="C306" s="2"/>
      <c r="D306" s="4" t="s">
        <v>2012</v>
      </c>
      <c r="E306" s="2" t="s">
        <v>1482</v>
      </c>
      <c r="F306" s="2" t="s">
        <v>1491</v>
      </c>
      <c r="G306" s="2" t="s">
        <v>2013</v>
      </c>
      <c r="H306" s="5"/>
      <c r="I306" s="4">
        <v>319431</v>
      </c>
      <c r="J306" s="4">
        <v>2721316</v>
      </c>
      <c r="K306" s="4">
        <v>318602.28499999997</v>
      </c>
      <c r="L306" s="4">
        <v>2721522.0729999999</v>
      </c>
      <c r="M306" s="5">
        <v>99</v>
      </c>
      <c r="N306" s="5" t="s">
        <v>2005</v>
      </c>
      <c r="O306" s="29">
        <v>40472.5</v>
      </c>
      <c r="P306" s="15" t="s">
        <v>2014</v>
      </c>
      <c r="Q306" s="4"/>
      <c r="R306" s="16" t="s">
        <v>301</v>
      </c>
      <c r="S306" s="16" t="s">
        <v>2015</v>
      </c>
      <c r="T306" s="5">
        <v>34</v>
      </c>
      <c r="U306" s="5">
        <v>581</v>
      </c>
      <c r="V306" s="16">
        <v>550</v>
      </c>
      <c r="W306" s="8">
        <f t="shared" si="8"/>
        <v>0</v>
      </c>
      <c r="Y306" s="8"/>
      <c r="Z306" s="8"/>
      <c r="AC306" s="8" t="str">
        <f>IF(COUNTIFS(作業區!$W$2:$W$2000, T306, 作業區!$X$2:$X$2000, U306)&gt;0, "已存在", "未擴充")</f>
        <v>已存在</v>
      </c>
    </row>
    <row r="307" spans="1:29" ht="49.5">
      <c r="A307" s="8">
        <f t="shared" si="9"/>
        <v>306</v>
      </c>
      <c r="B307" s="2" t="s">
        <v>1073</v>
      </c>
      <c r="C307" s="2"/>
      <c r="D307" s="4" t="s">
        <v>2016</v>
      </c>
      <c r="E307" s="2" t="s">
        <v>1482</v>
      </c>
      <c r="F307" s="2" t="s">
        <v>2017</v>
      </c>
      <c r="G307" s="2" t="s">
        <v>2018</v>
      </c>
      <c r="H307" s="5" t="s">
        <v>2019</v>
      </c>
      <c r="I307" s="4">
        <v>331298</v>
      </c>
      <c r="J307" s="4">
        <v>2723476</v>
      </c>
      <c r="K307" s="4">
        <v>330469.31599999999</v>
      </c>
      <c r="L307" s="4">
        <v>2723682.0839999998</v>
      </c>
      <c r="M307" s="5">
        <v>99</v>
      </c>
      <c r="N307" s="5" t="s">
        <v>2005</v>
      </c>
      <c r="O307" s="29">
        <v>40472.5</v>
      </c>
      <c r="P307" s="15" t="s">
        <v>2020</v>
      </c>
      <c r="Q307" s="4"/>
      <c r="R307" s="16" t="s">
        <v>2007</v>
      </c>
      <c r="S307" s="16" t="s">
        <v>2008</v>
      </c>
      <c r="T307" s="5">
        <v>45.5</v>
      </c>
      <c r="U307" s="5">
        <v>438</v>
      </c>
      <c r="V307" s="16">
        <v>600</v>
      </c>
      <c r="W307" s="8">
        <f t="shared" si="8"/>
        <v>0</v>
      </c>
      <c r="Y307" s="8"/>
      <c r="Z307" s="8"/>
      <c r="AC307" s="8" t="str">
        <f>IF(COUNTIFS(作業區!$W$2:$W$2000, T307, 作業區!$X$2:$X$2000, U307)&gt;0, "已存在", "未擴充")</f>
        <v>已存在</v>
      </c>
    </row>
    <row r="308" spans="1:29" ht="66">
      <c r="A308" s="8">
        <f t="shared" si="9"/>
        <v>307</v>
      </c>
      <c r="B308" s="2" t="s">
        <v>1073</v>
      </c>
      <c r="C308" s="2"/>
      <c r="D308" s="4" t="s">
        <v>2021</v>
      </c>
      <c r="E308" s="2" t="s">
        <v>1482</v>
      </c>
      <c r="F308" s="2" t="s">
        <v>2017</v>
      </c>
      <c r="G308" s="2" t="s">
        <v>2022</v>
      </c>
      <c r="H308" s="5" t="s">
        <v>2023</v>
      </c>
      <c r="I308" s="4">
        <v>330457</v>
      </c>
      <c r="J308" s="4">
        <v>2724327</v>
      </c>
      <c r="K308" s="4">
        <v>329628.31300000002</v>
      </c>
      <c r="L308" s="4">
        <v>2724533.0869999998</v>
      </c>
      <c r="M308" s="5">
        <v>99</v>
      </c>
      <c r="N308" s="5" t="s">
        <v>2005</v>
      </c>
      <c r="O308" s="29">
        <v>40472.541666666664</v>
      </c>
      <c r="P308" s="15" t="s">
        <v>2024</v>
      </c>
      <c r="Q308" s="4"/>
      <c r="R308" s="16" t="s">
        <v>2007</v>
      </c>
      <c r="S308" s="16" t="s">
        <v>2008</v>
      </c>
      <c r="T308" s="5">
        <v>75.5</v>
      </c>
      <c r="U308" s="5">
        <v>513.5</v>
      </c>
      <c r="V308" s="16">
        <v>600</v>
      </c>
      <c r="W308" s="8">
        <f t="shared" si="8"/>
        <v>0</v>
      </c>
      <c r="Y308" s="8"/>
      <c r="Z308" s="8"/>
      <c r="AC308" s="8" t="str">
        <f>IF(COUNTIFS(作業區!$W$2:$W$2000, T308, 作業區!$X$2:$X$2000, U308)&gt;0, "已存在", "未擴充")</f>
        <v>已存在</v>
      </c>
    </row>
    <row r="309" spans="1:29" ht="49.5">
      <c r="A309" s="8">
        <f t="shared" si="9"/>
        <v>308</v>
      </c>
      <c r="B309" s="2" t="s">
        <v>1073</v>
      </c>
      <c r="C309" s="2"/>
      <c r="D309" s="4" t="s">
        <v>2025</v>
      </c>
      <c r="E309" s="5" t="s">
        <v>1349</v>
      </c>
      <c r="F309" s="5" t="s">
        <v>2026</v>
      </c>
      <c r="G309" s="2" t="s">
        <v>2027</v>
      </c>
      <c r="H309" s="5"/>
      <c r="I309" s="4">
        <v>332076</v>
      </c>
      <c r="J309" s="4">
        <v>2722704</v>
      </c>
      <c r="K309" s="4">
        <v>331247.31800000003</v>
      </c>
      <c r="L309" s="4">
        <v>2722910.0819999999</v>
      </c>
      <c r="M309" s="5">
        <v>99</v>
      </c>
      <c r="N309" s="5" t="s">
        <v>2005</v>
      </c>
      <c r="O309" s="29">
        <v>40472.5</v>
      </c>
      <c r="P309" s="15" t="s">
        <v>2028</v>
      </c>
      <c r="Q309" s="4"/>
      <c r="R309" s="16" t="s">
        <v>2029</v>
      </c>
      <c r="S309" s="16" t="s">
        <v>2008</v>
      </c>
      <c r="T309" s="5">
        <v>45.5</v>
      </c>
      <c r="U309" s="5">
        <v>438</v>
      </c>
      <c r="V309" s="16">
        <v>600</v>
      </c>
      <c r="W309" s="8">
        <f t="shared" si="8"/>
        <v>0</v>
      </c>
      <c r="Y309" s="8"/>
      <c r="Z309" s="8"/>
      <c r="AC309" s="8" t="str">
        <f>IF(COUNTIFS(作業區!$W$2:$W$2000, T309, 作業區!$X$2:$X$2000, U309)&gt;0, "已存在", "未擴充")</f>
        <v>已存在</v>
      </c>
    </row>
    <row r="310" spans="1:29" ht="49.5">
      <c r="A310" s="8">
        <f t="shared" si="9"/>
        <v>309</v>
      </c>
      <c r="B310" s="2" t="s">
        <v>1073</v>
      </c>
      <c r="C310" s="2"/>
      <c r="D310" s="4" t="s">
        <v>2030</v>
      </c>
      <c r="E310" s="5" t="s">
        <v>1349</v>
      </c>
      <c r="F310" s="5" t="s">
        <v>2026</v>
      </c>
      <c r="G310" s="2" t="s">
        <v>2031</v>
      </c>
      <c r="H310" s="5"/>
      <c r="I310" s="4">
        <v>334465</v>
      </c>
      <c r="J310" s="4">
        <v>2721675</v>
      </c>
      <c r="K310" s="4">
        <v>333636.32500000001</v>
      </c>
      <c r="L310" s="4">
        <v>2721881.0789999999</v>
      </c>
      <c r="M310" s="5">
        <v>99</v>
      </c>
      <c r="N310" s="5" t="s">
        <v>2005</v>
      </c>
      <c r="O310" s="29">
        <v>40472.5</v>
      </c>
      <c r="P310" s="15" t="s">
        <v>2032</v>
      </c>
      <c r="Q310" s="4"/>
      <c r="R310" s="16" t="s">
        <v>2029</v>
      </c>
      <c r="S310" s="16" t="s">
        <v>2008</v>
      </c>
      <c r="T310" s="5">
        <v>45.5</v>
      </c>
      <c r="U310" s="5">
        <v>438</v>
      </c>
      <c r="V310" s="16">
        <v>600</v>
      </c>
      <c r="W310" s="8">
        <f t="shared" si="8"/>
        <v>0</v>
      </c>
      <c r="Y310" s="8"/>
      <c r="Z310" s="8"/>
      <c r="AC310" s="8" t="str">
        <f>IF(COUNTIFS(作業區!$W$2:$W$2000, T310, 作業區!$X$2:$X$2000, U310)&gt;0, "已存在", "未擴充")</f>
        <v>已存在</v>
      </c>
    </row>
    <row r="311" spans="1:29" ht="66">
      <c r="A311" s="8">
        <f t="shared" si="9"/>
        <v>310</v>
      </c>
      <c r="B311" s="2" t="s">
        <v>1073</v>
      </c>
      <c r="C311" s="2"/>
      <c r="D311" s="4" t="s">
        <v>2033</v>
      </c>
      <c r="E311" s="5" t="s">
        <v>1349</v>
      </c>
      <c r="F311" s="5" t="s">
        <v>2003</v>
      </c>
      <c r="G311" s="5" t="s">
        <v>2034</v>
      </c>
      <c r="H311" s="5"/>
      <c r="I311" s="4">
        <v>335469</v>
      </c>
      <c r="J311" s="4">
        <v>2717827</v>
      </c>
      <c r="K311" s="4">
        <v>334640.32900000003</v>
      </c>
      <c r="L311" s="4">
        <v>2718033.0669999998</v>
      </c>
      <c r="M311" s="5">
        <v>99</v>
      </c>
      <c r="N311" s="5" t="s">
        <v>2005</v>
      </c>
      <c r="O311" s="29">
        <v>40472.416666666664</v>
      </c>
      <c r="P311" s="15" t="s">
        <v>2035</v>
      </c>
      <c r="Q311" s="4"/>
      <c r="R311" s="16" t="s">
        <v>2036</v>
      </c>
      <c r="S311" s="16" t="s">
        <v>2008</v>
      </c>
      <c r="T311" s="5">
        <v>13</v>
      </c>
      <c r="U311" s="5">
        <v>338</v>
      </c>
      <c r="V311" s="16">
        <v>600</v>
      </c>
      <c r="W311" s="8">
        <f t="shared" si="8"/>
        <v>0</v>
      </c>
      <c r="Y311" s="8"/>
      <c r="Z311" s="8"/>
      <c r="AC311" s="8" t="str">
        <f>IF(COUNTIFS(作業區!$W$2:$W$2000, T311, 作業區!$X$2:$X$2000, U311)&gt;0, "已存在", "未擴充")</f>
        <v>已存在</v>
      </c>
    </row>
    <row r="312" spans="1:29" ht="49.5">
      <c r="A312" s="8">
        <f t="shared" si="9"/>
        <v>311</v>
      </c>
      <c r="B312" s="2" t="s">
        <v>1073</v>
      </c>
      <c r="C312" s="2"/>
      <c r="D312" s="4" t="s">
        <v>2037</v>
      </c>
      <c r="E312" s="5" t="s">
        <v>1349</v>
      </c>
      <c r="F312" s="5" t="s">
        <v>2003</v>
      </c>
      <c r="G312" s="5" t="s">
        <v>2038</v>
      </c>
      <c r="H312" s="5"/>
      <c r="I312" s="4">
        <v>335910</v>
      </c>
      <c r="J312" s="4">
        <v>2718869</v>
      </c>
      <c r="K312" s="4">
        <v>335081.33</v>
      </c>
      <c r="L312" s="4">
        <v>2719075.071</v>
      </c>
      <c r="M312" s="5">
        <v>99</v>
      </c>
      <c r="N312" s="5" t="s">
        <v>2005</v>
      </c>
      <c r="O312" s="29">
        <v>40472.458333333336</v>
      </c>
      <c r="P312" s="23" t="s">
        <v>2039</v>
      </c>
      <c r="Q312" s="4"/>
      <c r="R312" s="16" t="s">
        <v>2029</v>
      </c>
      <c r="S312" s="16" t="s">
        <v>2008</v>
      </c>
      <c r="T312" s="5">
        <v>54.5</v>
      </c>
      <c r="U312" s="5">
        <v>392.5</v>
      </c>
      <c r="V312" s="16">
        <v>600</v>
      </c>
      <c r="W312" s="8">
        <f t="shared" si="8"/>
        <v>0</v>
      </c>
      <c r="Y312" s="8"/>
      <c r="Z312" s="8"/>
      <c r="AC312" s="8" t="str">
        <f>IF(COUNTIFS(作業區!$W$2:$W$2000, T312, 作業區!$X$2:$X$2000, U312)&gt;0, "已存在", "未擴充")</f>
        <v>已存在</v>
      </c>
    </row>
    <row r="313" spans="1:29" ht="66">
      <c r="A313" s="8">
        <f t="shared" si="9"/>
        <v>312</v>
      </c>
      <c r="B313" s="2" t="s">
        <v>1073</v>
      </c>
      <c r="C313" s="2"/>
      <c r="D313" s="4" t="s">
        <v>2040</v>
      </c>
      <c r="E313" s="5" t="s">
        <v>1349</v>
      </c>
      <c r="F313" s="5" t="s">
        <v>2003</v>
      </c>
      <c r="G313" s="2" t="s">
        <v>2041</v>
      </c>
      <c r="H313" s="5"/>
      <c r="I313" s="4">
        <v>335731</v>
      </c>
      <c r="J313" s="4">
        <v>2721317</v>
      </c>
      <c r="K313" s="4">
        <v>334902.32900000003</v>
      </c>
      <c r="L313" s="4">
        <v>2721523.0789999999</v>
      </c>
      <c r="M313" s="5">
        <v>99</v>
      </c>
      <c r="N313" s="5" t="s">
        <v>2005</v>
      </c>
      <c r="O313" s="29">
        <v>40472.5</v>
      </c>
      <c r="P313" s="15" t="s">
        <v>2042</v>
      </c>
      <c r="Q313" s="4"/>
      <c r="R313" s="16" t="s">
        <v>2007</v>
      </c>
      <c r="S313" s="16" t="s">
        <v>2008</v>
      </c>
      <c r="T313" s="5">
        <v>45.5</v>
      </c>
      <c r="U313" s="5">
        <v>438</v>
      </c>
      <c r="V313" s="16">
        <v>600</v>
      </c>
      <c r="W313" s="8">
        <f t="shared" si="8"/>
        <v>0</v>
      </c>
      <c r="Y313" s="8"/>
      <c r="Z313" s="8"/>
      <c r="AC313" s="8" t="str">
        <f>IF(COUNTIFS(作業區!$W$2:$W$2000, T313, 作業區!$X$2:$X$2000, U313)&gt;0, "已存在", "未擴充")</f>
        <v>已存在</v>
      </c>
    </row>
    <row r="314" spans="1:29">
      <c r="A314" s="8">
        <f t="shared" si="9"/>
        <v>313</v>
      </c>
      <c r="B314" s="2" t="s">
        <v>1320</v>
      </c>
      <c r="C314" s="2"/>
      <c r="D314" s="4" t="s">
        <v>2043</v>
      </c>
      <c r="E314" s="5" t="s">
        <v>1349</v>
      </c>
      <c r="F314" s="5" t="s">
        <v>2026</v>
      </c>
      <c r="G314" s="2" t="s">
        <v>2027</v>
      </c>
      <c r="H314" s="5"/>
      <c r="I314" s="4">
        <v>332056</v>
      </c>
      <c r="J314" s="4">
        <v>2722818</v>
      </c>
      <c r="K314" s="4">
        <v>331227.31800000003</v>
      </c>
      <c r="L314" s="4">
        <v>2723024.0819999999</v>
      </c>
      <c r="M314" s="5">
        <v>99</v>
      </c>
      <c r="N314" s="5" t="s">
        <v>2005</v>
      </c>
      <c r="O314" s="29">
        <v>40472.5</v>
      </c>
      <c r="P314" s="4" t="s">
        <v>2044</v>
      </c>
      <c r="Q314" s="4"/>
      <c r="R314" s="16" t="s">
        <v>2029</v>
      </c>
      <c r="S314" s="16" t="s">
        <v>2008</v>
      </c>
      <c r="T314" s="5">
        <v>45.5</v>
      </c>
      <c r="U314" s="5">
        <v>438</v>
      </c>
      <c r="V314" s="16">
        <v>600</v>
      </c>
      <c r="W314" s="8">
        <f t="shared" si="8"/>
        <v>0</v>
      </c>
      <c r="Y314" s="8"/>
      <c r="Z314" s="8"/>
      <c r="AC314" s="8" t="str">
        <f>IF(COUNTIFS(作業區!$W$2:$W$2000, T314, 作業區!$X$2:$X$2000, U314)&gt;0, "已存在", "未擴充")</f>
        <v>已存在</v>
      </c>
    </row>
    <row r="315" spans="1:29" ht="49.5">
      <c r="A315" s="8">
        <f t="shared" si="9"/>
        <v>314</v>
      </c>
      <c r="B315" s="5" t="s">
        <v>893</v>
      </c>
      <c r="C315" s="5"/>
      <c r="D315" s="4" t="s">
        <v>2045</v>
      </c>
      <c r="E315" s="5" t="s">
        <v>1349</v>
      </c>
      <c r="F315" s="5" t="s">
        <v>2046</v>
      </c>
      <c r="G315" s="5" t="s">
        <v>2047</v>
      </c>
      <c r="H315" s="5"/>
      <c r="I315" s="4">
        <v>331735</v>
      </c>
      <c r="J315" s="4">
        <v>2723799</v>
      </c>
      <c r="K315" s="4">
        <v>330906.31699999998</v>
      </c>
      <c r="L315" s="4">
        <v>2724005.0860000001</v>
      </c>
      <c r="M315" s="5">
        <v>99</v>
      </c>
      <c r="N315" s="5" t="s">
        <v>2005</v>
      </c>
      <c r="O315" s="29">
        <v>40472.666666666664</v>
      </c>
      <c r="P315" s="15" t="s">
        <v>2048</v>
      </c>
      <c r="Q315" s="4"/>
      <c r="R315" s="16" t="s">
        <v>2007</v>
      </c>
      <c r="S315" s="16" t="s">
        <v>2008</v>
      </c>
      <c r="T315" s="5">
        <v>34</v>
      </c>
      <c r="U315" s="5">
        <v>704</v>
      </c>
      <c r="V315" s="16">
        <v>600</v>
      </c>
      <c r="W315" s="8">
        <f t="shared" si="8"/>
        <v>0</v>
      </c>
      <c r="Y315" s="8"/>
      <c r="Z315" s="8"/>
      <c r="AC315" s="8" t="str">
        <f>IF(COUNTIFS(作業區!$W$2:$W$2000, T315, 作業區!$X$2:$X$2000, U315)&gt;0, "已存在", "未擴充")</f>
        <v>已存在</v>
      </c>
    </row>
    <row r="316" spans="1:29" ht="66">
      <c r="A316" s="8">
        <f t="shared" si="9"/>
        <v>315</v>
      </c>
      <c r="B316" s="5" t="s">
        <v>893</v>
      </c>
      <c r="C316" s="5"/>
      <c r="D316" s="4" t="s">
        <v>2049</v>
      </c>
      <c r="E316" s="5" t="s">
        <v>1349</v>
      </c>
      <c r="F316" s="5" t="s">
        <v>2046</v>
      </c>
      <c r="G316" s="5" t="s">
        <v>2047</v>
      </c>
      <c r="H316" s="5"/>
      <c r="I316" s="4">
        <v>331957</v>
      </c>
      <c r="J316" s="4">
        <v>2723387</v>
      </c>
      <c r="K316" s="4">
        <v>331128.31699999998</v>
      </c>
      <c r="L316" s="4">
        <v>2723593.0839999998</v>
      </c>
      <c r="M316" s="5">
        <v>99</v>
      </c>
      <c r="N316" s="5" t="s">
        <v>2005</v>
      </c>
      <c r="O316" s="29">
        <v>40472.5</v>
      </c>
      <c r="P316" s="15" t="s">
        <v>2050</v>
      </c>
      <c r="Q316" s="4"/>
      <c r="R316" s="16" t="s">
        <v>2029</v>
      </c>
      <c r="S316" s="16" t="s">
        <v>2008</v>
      </c>
      <c r="T316" s="5">
        <v>45.5</v>
      </c>
      <c r="U316" s="5">
        <v>438</v>
      </c>
      <c r="V316" s="16">
        <v>600</v>
      </c>
      <c r="W316" s="8">
        <f t="shared" si="8"/>
        <v>0</v>
      </c>
      <c r="Y316" s="8"/>
      <c r="Z316" s="8"/>
      <c r="AC316" s="8" t="str">
        <f>IF(COUNTIFS(作業區!$W$2:$W$2000, T316, 作業區!$X$2:$X$2000, U316)&gt;0, "已存在", "未擴充")</f>
        <v>已存在</v>
      </c>
    </row>
    <row r="317" spans="1:29" ht="81.75">
      <c r="A317" s="8">
        <f t="shared" si="9"/>
        <v>316</v>
      </c>
      <c r="B317" s="5" t="s">
        <v>893</v>
      </c>
      <c r="C317" s="5"/>
      <c r="D317" s="4" t="s">
        <v>2051</v>
      </c>
      <c r="E317" s="5" t="s">
        <v>1349</v>
      </c>
      <c r="F317" s="5" t="s">
        <v>2003</v>
      </c>
      <c r="G317" s="5" t="s">
        <v>2038</v>
      </c>
      <c r="H317" s="5"/>
      <c r="I317" s="4">
        <v>336867</v>
      </c>
      <c r="J317" s="4">
        <v>2719531</v>
      </c>
      <c r="K317" s="4">
        <v>336038.33199999999</v>
      </c>
      <c r="L317" s="4">
        <v>2719737.0729999999</v>
      </c>
      <c r="M317" s="5">
        <v>99</v>
      </c>
      <c r="N317" s="5" t="s">
        <v>2005</v>
      </c>
      <c r="O317" s="29">
        <v>40472.5</v>
      </c>
      <c r="P317" s="15" t="s">
        <v>2052</v>
      </c>
      <c r="Q317" s="4"/>
      <c r="R317" s="16" t="s">
        <v>2007</v>
      </c>
      <c r="S317" s="16" t="s">
        <v>2008</v>
      </c>
      <c r="T317" s="5">
        <v>45.5</v>
      </c>
      <c r="U317" s="5">
        <v>438</v>
      </c>
      <c r="V317" s="16">
        <v>600</v>
      </c>
      <c r="W317" s="8">
        <f t="shared" si="8"/>
        <v>0</v>
      </c>
      <c r="Y317" s="8"/>
      <c r="Z317" s="8"/>
      <c r="AC317" s="8" t="str">
        <f>IF(COUNTIFS(作業區!$W$2:$W$2000, T317, 作業區!$X$2:$X$2000, U317)&gt;0, "已存在", "未擴充")</f>
        <v>已存在</v>
      </c>
    </row>
    <row r="318" spans="1:29" ht="97.5">
      <c r="A318" s="8">
        <f t="shared" si="9"/>
        <v>317</v>
      </c>
      <c r="B318" s="5" t="s">
        <v>893</v>
      </c>
      <c r="C318" s="5"/>
      <c r="D318" s="4" t="s">
        <v>2053</v>
      </c>
      <c r="E318" s="5" t="s">
        <v>1349</v>
      </c>
      <c r="F318" s="5" t="s">
        <v>2003</v>
      </c>
      <c r="G318" s="5" t="s">
        <v>2038</v>
      </c>
      <c r="H318" s="5"/>
      <c r="I318" s="4">
        <v>336987</v>
      </c>
      <c r="J318" s="4">
        <v>2719031</v>
      </c>
      <c r="K318" s="4">
        <v>336158.33299999998</v>
      </c>
      <c r="L318" s="4">
        <v>2719237.0720000002</v>
      </c>
      <c r="M318" s="5">
        <v>99</v>
      </c>
      <c r="N318" s="5" t="s">
        <v>2005</v>
      </c>
      <c r="O318" s="29">
        <v>40472.5</v>
      </c>
      <c r="P318" s="15" t="s">
        <v>2054</v>
      </c>
      <c r="Q318" s="4"/>
      <c r="R318" s="16" t="s">
        <v>2029</v>
      </c>
      <c r="S318" s="16" t="s">
        <v>2008</v>
      </c>
      <c r="T318" s="5">
        <v>45.5</v>
      </c>
      <c r="U318" s="5">
        <v>438</v>
      </c>
      <c r="V318" s="16">
        <v>600</v>
      </c>
      <c r="W318" s="8">
        <f t="shared" si="8"/>
        <v>0</v>
      </c>
      <c r="Y318" s="8"/>
      <c r="Z318" s="8"/>
      <c r="AC318" s="8" t="str">
        <f>IF(COUNTIFS(作業區!$W$2:$W$2000, T318, 作業區!$X$2:$X$2000, U318)&gt;0, "已存在", "未擴充")</f>
        <v>已存在</v>
      </c>
    </row>
    <row r="319" spans="1:29" ht="66">
      <c r="A319" s="8">
        <f t="shared" si="9"/>
        <v>318</v>
      </c>
      <c r="B319" s="5" t="s">
        <v>893</v>
      </c>
      <c r="C319" s="5"/>
      <c r="D319" s="4" t="s">
        <v>2055</v>
      </c>
      <c r="E319" s="5" t="s">
        <v>1349</v>
      </c>
      <c r="F319" s="5" t="s">
        <v>2003</v>
      </c>
      <c r="G319" s="5" t="s">
        <v>2038</v>
      </c>
      <c r="H319" s="5"/>
      <c r="I319" s="4">
        <v>336987</v>
      </c>
      <c r="J319" s="4">
        <v>2719031</v>
      </c>
      <c r="K319" s="4">
        <v>336158.33299999998</v>
      </c>
      <c r="L319" s="4">
        <v>2719237.0720000002</v>
      </c>
      <c r="M319" s="5">
        <v>99</v>
      </c>
      <c r="N319" s="5" t="s">
        <v>2005</v>
      </c>
      <c r="O319" s="29">
        <v>40472.5</v>
      </c>
      <c r="P319" s="15" t="s">
        <v>2056</v>
      </c>
      <c r="Q319" s="4"/>
      <c r="R319" s="16" t="s">
        <v>2029</v>
      </c>
      <c r="S319" s="16" t="s">
        <v>2008</v>
      </c>
      <c r="T319" s="5">
        <v>45.5</v>
      </c>
      <c r="U319" s="5">
        <v>438</v>
      </c>
      <c r="V319" s="16">
        <v>600</v>
      </c>
      <c r="W319" s="8">
        <f t="shared" si="8"/>
        <v>0</v>
      </c>
      <c r="Y319" s="8"/>
      <c r="Z319" s="8"/>
      <c r="AC319" s="8" t="str">
        <f>IF(COUNTIFS(作業區!$W$2:$W$2000, T319, 作業區!$X$2:$X$2000, U319)&gt;0, "已存在", "未擴充")</f>
        <v>已存在</v>
      </c>
    </row>
    <row r="320" spans="1:29">
      <c r="A320" s="8">
        <f t="shared" si="9"/>
        <v>319</v>
      </c>
      <c r="B320" s="5" t="s">
        <v>893</v>
      </c>
      <c r="C320" s="5"/>
      <c r="D320" s="4" t="s">
        <v>2057</v>
      </c>
      <c r="E320" s="5" t="s">
        <v>1349</v>
      </c>
      <c r="F320" s="5" t="s">
        <v>2003</v>
      </c>
      <c r="G320" s="5" t="s">
        <v>2058</v>
      </c>
      <c r="H320" s="5"/>
      <c r="I320" s="4">
        <v>337400</v>
      </c>
      <c r="J320" s="4">
        <v>2719869</v>
      </c>
      <c r="K320" s="4">
        <v>336571.33399999997</v>
      </c>
      <c r="L320" s="4">
        <v>2720075.0750000002</v>
      </c>
      <c r="M320" s="5">
        <v>99</v>
      </c>
      <c r="N320" s="5" t="s">
        <v>2005</v>
      </c>
      <c r="O320" s="29">
        <v>40472.583333333336</v>
      </c>
      <c r="P320" s="4" t="s">
        <v>2059</v>
      </c>
      <c r="Q320" s="4"/>
      <c r="R320" s="16" t="s">
        <v>2007</v>
      </c>
      <c r="S320" s="16" t="s">
        <v>2008</v>
      </c>
      <c r="T320" s="5">
        <v>80</v>
      </c>
      <c r="U320" s="5">
        <v>593.5</v>
      </c>
      <c r="V320" s="16">
        <v>600</v>
      </c>
      <c r="W320" s="8">
        <f t="shared" si="8"/>
        <v>0</v>
      </c>
      <c r="Y320" s="8"/>
      <c r="Z320" s="8"/>
      <c r="AC320" s="8" t="str">
        <f>IF(COUNTIFS(作業區!$W$2:$W$2000, T320, 作業區!$X$2:$X$2000, U320)&gt;0, "已存在", "未擴充")</f>
        <v>已存在</v>
      </c>
    </row>
    <row r="321" spans="1:29" ht="66">
      <c r="A321" s="8">
        <f t="shared" si="9"/>
        <v>320</v>
      </c>
      <c r="B321" s="5" t="s">
        <v>893</v>
      </c>
      <c r="C321" s="5"/>
      <c r="D321" s="4" t="s">
        <v>2060</v>
      </c>
      <c r="E321" s="5" t="s">
        <v>1349</v>
      </c>
      <c r="F321" s="5" t="s">
        <v>2003</v>
      </c>
      <c r="G321" s="5" t="s">
        <v>2058</v>
      </c>
      <c r="H321" s="5"/>
      <c r="I321" s="4">
        <v>337536</v>
      </c>
      <c r="J321" s="4">
        <v>2720000</v>
      </c>
      <c r="K321" s="4">
        <v>336707.33399999997</v>
      </c>
      <c r="L321" s="4">
        <v>2720206.0750000002</v>
      </c>
      <c r="M321" s="5">
        <v>99</v>
      </c>
      <c r="N321" s="5" t="s">
        <v>2005</v>
      </c>
      <c r="O321" s="29">
        <v>40472.583333333336</v>
      </c>
      <c r="P321" s="15" t="s">
        <v>2061</v>
      </c>
      <c r="Q321" s="4"/>
      <c r="R321" s="16" t="s">
        <v>2029</v>
      </c>
      <c r="S321" s="16" t="s">
        <v>2008</v>
      </c>
      <c r="T321" s="5">
        <v>80</v>
      </c>
      <c r="U321" s="5">
        <v>593.5</v>
      </c>
      <c r="V321" s="16">
        <v>600</v>
      </c>
      <c r="W321" s="8">
        <f t="shared" si="8"/>
        <v>0</v>
      </c>
      <c r="Y321" s="8"/>
      <c r="Z321" s="8"/>
      <c r="AC321" s="8" t="str">
        <f>IF(COUNTIFS(作業區!$W$2:$W$2000, T321, 作業區!$X$2:$X$2000, U321)&gt;0, "已存在", "未擴充")</f>
        <v>已存在</v>
      </c>
    </row>
    <row r="322" spans="1:29">
      <c r="A322" s="8">
        <f t="shared" si="9"/>
        <v>321</v>
      </c>
      <c r="B322" s="5" t="s">
        <v>893</v>
      </c>
      <c r="C322" s="5"/>
      <c r="D322" s="4" t="s">
        <v>2062</v>
      </c>
      <c r="E322" s="5" t="s">
        <v>1349</v>
      </c>
      <c r="F322" s="5" t="s">
        <v>2003</v>
      </c>
      <c r="G322" s="5" t="s">
        <v>2063</v>
      </c>
      <c r="H322" s="5"/>
      <c r="I322" s="4">
        <v>337533</v>
      </c>
      <c r="J322" s="4">
        <v>2719385</v>
      </c>
      <c r="K322" s="4">
        <v>336704.33399999997</v>
      </c>
      <c r="L322" s="4">
        <v>2719591.0729999999</v>
      </c>
      <c r="M322" s="5">
        <v>99</v>
      </c>
      <c r="N322" s="5" t="s">
        <v>2005</v>
      </c>
      <c r="O322" s="29">
        <v>40472.5</v>
      </c>
      <c r="P322" s="4" t="s">
        <v>2064</v>
      </c>
      <c r="Q322" s="4"/>
      <c r="R322" s="16" t="s">
        <v>2029</v>
      </c>
      <c r="S322" s="16" t="s">
        <v>2008</v>
      </c>
      <c r="T322" s="5">
        <v>45.5</v>
      </c>
      <c r="U322" s="5">
        <v>438</v>
      </c>
      <c r="V322" s="16">
        <v>600</v>
      </c>
      <c r="W322" s="8">
        <f t="shared" ref="W322:W385" si="10">IF(IF(ISERROR(SEARCH("-",P322))=TRUE,0,1)=1,IF(H322&lt;&gt;"",0,1),0)</f>
        <v>0</v>
      </c>
      <c r="Y322" s="8"/>
      <c r="Z322" s="8"/>
      <c r="AC322" s="8" t="str">
        <f>IF(COUNTIFS(作業區!$W$2:$W$2000, T322, 作業區!$X$2:$X$2000, U322)&gt;0, "已存在", "未擴充")</f>
        <v>已存在</v>
      </c>
    </row>
    <row r="323" spans="1:29" ht="66">
      <c r="A323" s="8">
        <f t="shared" si="9"/>
        <v>322</v>
      </c>
      <c r="B323" s="5" t="s">
        <v>893</v>
      </c>
      <c r="C323" s="5"/>
      <c r="D323" s="4" t="s">
        <v>2065</v>
      </c>
      <c r="E323" s="5" t="s">
        <v>1349</v>
      </c>
      <c r="F323" s="5" t="s">
        <v>2003</v>
      </c>
      <c r="G323" s="5" t="s">
        <v>2004</v>
      </c>
      <c r="H323" s="5"/>
      <c r="I323" s="4">
        <v>336091</v>
      </c>
      <c r="J323" s="4">
        <v>2721785</v>
      </c>
      <c r="K323" s="4">
        <v>335262.32900000003</v>
      </c>
      <c r="L323" s="4">
        <v>2721991.0809999998</v>
      </c>
      <c r="M323" s="5">
        <v>99</v>
      </c>
      <c r="N323" s="5" t="s">
        <v>2005</v>
      </c>
      <c r="O323" s="29">
        <v>40472.583333333336</v>
      </c>
      <c r="P323" s="15" t="s">
        <v>2066</v>
      </c>
      <c r="Q323" s="4"/>
      <c r="R323" s="16" t="s">
        <v>2007</v>
      </c>
      <c r="S323" s="16" t="s">
        <v>2008</v>
      </c>
      <c r="T323" s="5">
        <v>87</v>
      </c>
      <c r="U323" s="5">
        <v>636</v>
      </c>
      <c r="V323" s="16">
        <v>600</v>
      </c>
      <c r="W323" s="8">
        <f t="shared" si="10"/>
        <v>0</v>
      </c>
      <c r="Y323" s="8"/>
      <c r="Z323" s="8"/>
      <c r="AC323" s="8" t="str">
        <f>IF(COUNTIFS(作業區!$W$2:$W$2000, T323, 作業區!$X$2:$X$2000, U323)&gt;0, "已存在", "未擴充")</f>
        <v>已存在</v>
      </c>
    </row>
    <row r="324" spans="1:29">
      <c r="A324" s="8">
        <f t="shared" si="9"/>
        <v>323</v>
      </c>
      <c r="B324" s="5" t="s">
        <v>893</v>
      </c>
      <c r="C324" s="5"/>
      <c r="D324" s="4" t="s">
        <v>2067</v>
      </c>
      <c r="E324" s="5" t="s">
        <v>1349</v>
      </c>
      <c r="F324" s="5" t="s">
        <v>2003</v>
      </c>
      <c r="G324" s="5" t="s">
        <v>2041</v>
      </c>
      <c r="H324" s="5"/>
      <c r="I324" s="4">
        <v>335577</v>
      </c>
      <c r="J324" s="4">
        <v>2721342</v>
      </c>
      <c r="K324" s="4">
        <v>334748.32799999998</v>
      </c>
      <c r="L324" s="4">
        <v>2721548.0789999999</v>
      </c>
      <c r="M324" s="5">
        <v>99</v>
      </c>
      <c r="N324" s="5" t="s">
        <v>2005</v>
      </c>
      <c r="O324" s="29">
        <v>40472.5</v>
      </c>
      <c r="P324" s="4" t="s">
        <v>2068</v>
      </c>
      <c r="Q324" s="4"/>
      <c r="R324" s="16" t="s">
        <v>2029</v>
      </c>
      <c r="S324" s="16" t="s">
        <v>2008</v>
      </c>
      <c r="T324" s="5">
        <v>87</v>
      </c>
      <c r="U324" s="5">
        <v>636</v>
      </c>
      <c r="V324" s="16">
        <v>600</v>
      </c>
      <c r="W324" s="8">
        <f t="shared" si="10"/>
        <v>0</v>
      </c>
      <c r="Y324" s="8"/>
      <c r="Z324" s="8"/>
      <c r="AC324" s="8" t="str">
        <f>IF(COUNTIFS(作業區!$W$2:$W$2000, T324, 作業區!$X$2:$X$2000, U324)&gt;0, "已存在", "未擴充")</f>
        <v>已存在</v>
      </c>
    </row>
    <row r="325" spans="1:29" ht="65.25">
      <c r="A325" s="8">
        <f t="shared" si="9"/>
        <v>324</v>
      </c>
      <c r="B325" s="5" t="s">
        <v>893</v>
      </c>
      <c r="C325" s="5"/>
      <c r="D325" s="4" t="s">
        <v>2069</v>
      </c>
      <c r="E325" s="5" t="s">
        <v>1349</v>
      </c>
      <c r="F325" s="5" t="s">
        <v>2003</v>
      </c>
      <c r="G325" s="5" t="s">
        <v>2070</v>
      </c>
      <c r="H325" s="5"/>
      <c r="I325" s="4">
        <v>336496</v>
      </c>
      <c r="J325" s="4">
        <v>2721738</v>
      </c>
      <c r="K325" s="4">
        <v>335667.33</v>
      </c>
      <c r="L325" s="4">
        <v>2721944.0809999998</v>
      </c>
      <c r="M325" s="5">
        <v>99</v>
      </c>
      <c r="N325" s="5" t="s">
        <v>2005</v>
      </c>
      <c r="O325" s="29">
        <v>40472.583333333336</v>
      </c>
      <c r="P325" s="15" t="s">
        <v>2071</v>
      </c>
      <c r="Q325" s="4"/>
      <c r="R325" s="16" t="s">
        <v>2007</v>
      </c>
      <c r="S325" s="16" t="s">
        <v>2008</v>
      </c>
      <c r="T325" s="5">
        <v>45.5</v>
      </c>
      <c r="U325" s="5">
        <v>438</v>
      </c>
      <c r="V325" s="16">
        <v>600</v>
      </c>
      <c r="W325" s="8">
        <f t="shared" si="10"/>
        <v>0</v>
      </c>
      <c r="Y325" s="8"/>
      <c r="Z325" s="8"/>
      <c r="AC325" s="8" t="str">
        <f>IF(COUNTIFS(作業區!$W$2:$W$2000, T325, 作業區!$X$2:$X$2000, U325)&gt;0, "已存在", "未擴充")</f>
        <v>已存在</v>
      </c>
    </row>
    <row r="326" spans="1:29" ht="49.5">
      <c r="A326" s="8">
        <f t="shared" si="9"/>
        <v>325</v>
      </c>
      <c r="B326" s="5" t="s">
        <v>2072</v>
      </c>
      <c r="C326" s="5"/>
      <c r="D326" s="4" t="s">
        <v>2073</v>
      </c>
      <c r="E326" s="5" t="s">
        <v>1349</v>
      </c>
      <c r="F326" s="5" t="s">
        <v>2003</v>
      </c>
      <c r="G326" s="5" t="s">
        <v>2063</v>
      </c>
      <c r="H326" s="5"/>
      <c r="I326" s="4">
        <v>337348</v>
      </c>
      <c r="J326" s="4">
        <v>2719517</v>
      </c>
      <c r="K326" s="4">
        <v>336519.33399999997</v>
      </c>
      <c r="L326" s="4">
        <v>2719723.0729999999</v>
      </c>
      <c r="M326" s="5">
        <v>99</v>
      </c>
      <c r="N326" s="5" t="s">
        <v>2005</v>
      </c>
      <c r="O326" s="13">
        <v>40472.5</v>
      </c>
      <c r="P326" s="15" t="s">
        <v>2074</v>
      </c>
      <c r="Q326" s="4"/>
      <c r="R326" s="16" t="s">
        <v>2029</v>
      </c>
      <c r="S326" s="16" t="s">
        <v>2008</v>
      </c>
      <c r="T326" s="5">
        <v>45.5</v>
      </c>
      <c r="U326" s="5">
        <v>438</v>
      </c>
      <c r="V326" s="16">
        <v>600</v>
      </c>
      <c r="W326" s="8">
        <f t="shared" si="10"/>
        <v>0</v>
      </c>
      <c r="Y326" s="8"/>
      <c r="Z326" s="8"/>
      <c r="AC326" s="8" t="str">
        <f>IF(COUNTIFS(作業區!$W$2:$W$2000, T326, 作業區!$X$2:$X$2000, U326)&gt;0, "已存在", "未擴充")</f>
        <v>已存在</v>
      </c>
    </row>
    <row r="327" spans="1:29" ht="66">
      <c r="A327" s="8">
        <f t="shared" si="9"/>
        <v>326</v>
      </c>
      <c r="B327" s="5" t="s">
        <v>2072</v>
      </c>
      <c r="C327" s="5"/>
      <c r="D327" s="4" t="s">
        <v>2075</v>
      </c>
      <c r="E327" s="5" t="s">
        <v>1349</v>
      </c>
      <c r="F327" s="5" t="s">
        <v>2003</v>
      </c>
      <c r="G327" s="5" t="s">
        <v>2004</v>
      </c>
      <c r="H327" s="5" t="s">
        <v>2076</v>
      </c>
      <c r="I327" s="4">
        <v>336005</v>
      </c>
      <c r="J327" s="4">
        <v>2721870</v>
      </c>
      <c r="K327" s="4">
        <v>335176.32900000003</v>
      </c>
      <c r="L327" s="4">
        <v>2722076.0809999998</v>
      </c>
      <c r="M327" s="5">
        <v>99</v>
      </c>
      <c r="N327" s="5" t="s">
        <v>2005</v>
      </c>
      <c r="O327" s="13">
        <v>40472.604166666664</v>
      </c>
      <c r="P327" s="15" t="s">
        <v>2077</v>
      </c>
      <c r="Q327" s="4"/>
      <c r="R327" s="16" t="s">
        <v>2007</v>
      </c>
      <c r="S327" s="16" t="s">
        <v>2008</v>
      </c>
      <c r="T327" s="5">
        <v>87</v>
      </c>
      <c r="U327" s="5">
        <v>636</v>
      </c>
      <c r="V327" s="16">
        <v>600</v>
      </c>
      <c r="W327" s="8">
        <f t="shared" si="10"/>
        <v>0</v>
      </c>
      <c r="Y327" s="8"/>
      <c r="Z327" s="8"/>
      <c r="AC327" s="8" t="str">
        <f>IF(COUNTIFS(作業區!$W$2:$W$2000, T327, 作業區!$X$2:$X$2000, U327)&gt;0, "已存在", "未擴充")</f>
        <v>已存在</v>
      </c>
    </row>
    <row r="328" spans="1:29" ht="49.5">
      <c r="A328" s="8">
        <f t="shared" si="9"/>
        <v>327</v>
      </c>
      <c r="B328" s="5" t="s">
        <v>1871</v>
      </c>
      <c r="C328" s="5"/>
      <c r="D328" s="4" t="s">
        <v>2078</v>
      </c>
      <c r="E328" s="5" t="s">
        <v>1349</v>
      </c>
      <c r="F328" s="5" t="s">
        <v>2003</v>
      </c>
      <c r="G328" s="5" t="s">
        <v>2038</v>
      </c>
      <c r="H328" s="5"/>
      <c r="I328" s="4">
        <v>336446</v>
      </c>
      <c r="J328" s="4">
        <v>2719508</v>
      </c>
      <c r="K328" s="4">
        <v>335617.33100000001</v>
      </c>
      <c r="L328" s="4">
        <v>2719714.0729999999</v>
      </c>
      <c r="M328" s="5">
        <v>99</v>
      </c>
      <c r="N328" s="5" t="s">
        <v>2005</v>
      </c>
      <c r="O328" s="29">
        <v>40472.416666666664</v>
      </c>
      <c r="P328" s="15" t="s">
        <v>2079</v>
      </c>
      <c r="Q328" s="4"/>
      <c r="R328" s="16" t="s">
        <v>2029</v>
      </c>
      <c r="S328" s="16" t="s">
        <v>2008</v>
      </c>
      <c r="T328" s="5">
        <v>13</v>
      </c>
      <c r="U328" s="5">
        <v>338</v>
      </c>
      <c r="V328" s="16">
        <v>600</v>
      </c>
      <c r="W328" s="8">
        <f t="shared" si="10"/>
        <v>0</v>
      </c>
      <c r="Y328" s="8"/>
      <c r="Z328" s="8"/>
      <c r="AC328" s="8" t="str">
        <f>IF(COUNTIFS(作業區!$W$2:$W$2000, T328, 作業區!$X$2:$X$2000, U328)&gt;0, "已存在", "未擴充")</f>
        <v>已存在</v>
      </c>
    </row>
    <row r="329" spans="1:29" ht="49.5">
      <c r="A329" s="8">
        <f t="shared" ref="A329:A392" si="11">ROW(A329)-1</f>
        <v>328</v>
      </c>
      <c r="B329" s="5" t="s">
        <v>1871</v>
      </c>
      <c r="C329" s="5"/>
      <c r="D329" s="4" t="s">
        <v>2080</v>
      </c>
      <c r="E329" s="5" t="s">
        <v>1349</v>
      </c>
      <c r="F329" s="5" t="s">
        <v>2003</v>
      </c>
      <c r="G329" s="5" t="s">
        <v>2038</v>
      </c>
      <c r="H329" s="5"/>
      <c r="I329" s="4">
        <v>336155</v>
      </c>
      <c r="J329" s="4">
        <v>2718629</v>
      </c>
      <c r="K329" s="4">
        <v>335326.33100000001</v>
      </c>
      <c r="L329" s="4">
        <v>2718835.07</v>
      </c>
      <c r="M329" s="5">
        <v>99</v>
      </c>
      <c r="N329" s="5" t="s">
        <v>2005</v>
      </c>
      <c r="O329" s="29">
        <v>40472.583333333336</v>
      </c>
      <c r="P329" s="15" t="s">
        <v>2081</v>
      </c>
      <c r="Q329" s="4"/>
      <c r="R329" s="16" t="s">
        <v>2007</v>
      </c>
      <c r="S329" s="16" t="s">
        <v>2008</v>
      </c>
      <c r="T329" s="5">
        <v>80</v>
      </c>
      <c r="U329" s="5">
        <v>593.5</v>
      </c>
      <c r="V329" s="16">
        <v>600</v>
      </c>
      <c r="W329" s="8">
        <f t="shared" si="10"/>
        <v>0</v>
      </c>
      <c r="Y329" s="8"/>
      <c r="Z329" s="8"/>
      <c r="AC329" s="8" t="str">
        <f>IF(COUNTIFS(作業區!$W$2:$W$2000, T329, 作業區!$X$2:$X$2000, U329)&gt;0, "已存在", "未擴充")</f>
        <v>已存在</v>
      </c>
    </row>
    <row r="330" spans="1:29" ht="49.5">
      <c r="A330" s="8">
        <f t="shared" si="11"/>
        <v>329</v>
      </c>
      <c r="B330" s="5" t="s">
        <v>1871</v>
      </c>
      <c r="C330" s="5"/>
      <c r="D330" s="4" t="s">
        <v>2082</v>
      </c>
      <c r="E330" s="5" t="s">
        <v>1349</v>
      </c>
      <c r="F330" s="5" t="s">
        <v>2003</v>
      </c>
      <c r="G330" s="5" t="s">
        <v>2038</v>
      </c>
      <c r="H330" s="5"/>
      <c r="I330" s="4">
        <v>335578</v>
      </c>
      <c r="J330" s="4">
        <v>2719812</v>
      </c>
      <c r="K330" s="4">
        <v>334749.32900000003</v>
      </c>
      <c r="L330" s="4">
        <v>2720018.074</v>
      </c>
      <c r="M330" s="5">
        <v>99</v>
      </c>
      <c r="N330" s="5" t="s">
        <v>2005</v>
      </c>
      <c r="O330" s="29">
        <v>40472.458333333336</v>
      </c>
      <c r="P330" s="15" t="s">
        <v>2083</v>
      </c>
      <c r="Q330" s="4"/>
      <c r="R330" s="16" t="s">
        <v>2029</v>
      </c>
      <c r="S330" s="16" t="s">
        <v>2008</v>
      </c>
      <c r="T330" s="5">
        <v>54.5</v>
      </c>
      <c r="U330" s="5">
        <v>392.5</v>
      </c>
      <c r="V330" s="16">
        <v>600</v>
      </c>
      <c r="W330" s="8">
        <f t="shared" si="10"/>
        <v>0</v>
      </c>
      <c r="Y330" s="8"/>
      <c r="Z330" s="8"/>
      <c r="AC330" s="8" t="str">
        <f>IF(COUNTIFS(作業區!$W$2:$W$2000, T330, 作業區!$X$2:$X$2000, U330)&gt;0, "已存在", "未擴充")</f>
        <v>已存在</v>
      </c>
    </row>
    <row r="331" spans="1:29" ht="82.5">
      <c r="A331" s="8">
        <f t="shared" si="11"/>
        <v>330</v>
      </c>
      <c r="B331" s="5" t="s">
        <v>1871</v>
      </c>
      <c r="C331" s="5"/>
      <c r="D331" s="4" t="s">
        <v>2084</v>
      </c>
      <c r="E331" s="5" t="s">
        <v>1349</v>
      </c>
      <c r="F331" s="5" t="s">
        <v>2003</v>
      </c>
      <c r="G331" s="5" t="s">
        <v>2034</v>
      </c>
      <c r="H331" s="5" t="s">
        <v>2085</v>
      </c>
      <c r="I331" s="4">
        <v>334851</v>
      </c>
      <c r="J331" s="4">
        <v>2719171</v>
      </c>
      <c r="K331" s="4">
        <v>334022.32699999999</v>
      </c>
      <c r="L331" s="4">
        <v>2719377.071</v>
      </c>
      <c r="M331" s="5">
        <v>99</v>
      </c>
      <c r="N331" s="5" t="s">
        <v>2005</v>
      </c>
      <c r="O331" s="29">
        <v>40472.583333333336</v>
      </c>
      <c r="P331" s="15" t="s">
        <v>2086</v>
      </c>
      <c r="Q331" s="4"/>
      <c r="R331" s="16" t="s">
        <v>2029</v>
      </c>
      <c r="S331" s="16" t="s">
        <v>2008</v>
      </c>
      <c r="T331" s="5">
        <v>80</v>
      </c>
      <c r="U331" s="5">
        <v>593.5</v>
      </c>
      <c r="V331" s="16">
        <v>600</v>
      </c>
      <c r="W331" s="8">
        <f t="shared" si="10"/>
        <v>0</v>
      </c>
      <c r="Y331" s="8"/>
      <c r="Z331" s="8"/>
      <c r="AC331" s="8" t="str">
        <f>IF(COUNTIFS(作業區!$W$2:$W$2000, T331, 作業區!$X$2:$X$2000, U331)&gt;0, "已存在", "未擴充")</f>
        <v>已存在</v>
      </c>
    </row>
    <row r="332" spans="1:29">
      <c r="A332" s="8">
        <f t="shared" si="11"/>
        <v>331</v>
      </c>
      <c r="B332" s="5" t="s">
        <v>1871</v>
      </c>
      <c r="C332" s="5"/>
      <c r="D332" s="4" t="s">
        <v>2087</v>
      </c>
      <c r="E332" s="5" t="s">
        <v>1349</v>
      </c>
      <c r="F332" s="5" t="s">
        <v>2003</v>
      </c>
      <c r="G332" s="5" t="s">
        <v>2034</v>
      </c>
      <c r="H332" s="5"/>
      <c r="I332" s="4">
        <v>335347</v>
      </c>
      <c r="J332" s="4">
        <v>2718092</v>
      </c>
      <c r="K332" s="4">
        <v>334518.32900000003</v>
      </c>
      <c r="L332" s="4">
        <v>2718298.068</v>
      </c>
      <c r="M332" s="5">
        <v>99</v>
      </c>
      <c r="N332" s="5" t="s">
        <v>2005</v>
      </c>
      <c r="O332" s="29">
        <v>40472.416666666664</v>
      </c>
      <c r="P332" s="4" t="s">
        <v>2088</v>
      </c>
      <c r="Q332" s="4"/>
      <c r="R332" s="16" t="s">
        <v>2029</v>
      </c>
      <c r="S332" s="16" t="s">
        <v>2008</v>
      </c>
      <c r="T332" s="5">
        <v>13</v>
      </c>
      <c r="U332" s="5">
        <v>338</v>
      </c>
      <c r="V332" s="16">
        <v>600</v>
      </c>
      <c r="W332" s="8">
        <f t="shared" si="10"/>
        <v>0</v>
      </c>
      <c r="Y332" s="8"/>
      <c r="Z332" s="8"/>
      <c r="AC332" s="8" t="str">
        <f>IF(COUNTIFS(作業區!$W$2:$W$2000, T332, 作業區!$X$2:$X$2000, U332)&gt;0, "已存在", "未擴充")</f>
        <v>已存在</v>
      </c>
    </row>
    <row r="333" spans="1:29" ht="66">
      <c r="A333" s="8">
        <f t="shared" si="11"/>
        <v>332</v>
      </c>
      <c r="B333" s="5" t="s">
        <v>1871</v>
      </c>
      <c r="C333" s="5"/>
      <c r="D333" s="4" t="s">
        <v>2089</v>
      </c>
      <c r="E333" s="5" t="s">
        <v>1349</v>
      </c>
      <c r="F333" s="5" t="s">
        <v>2003</v>
      </c>
      <c r="G333" s="5" t="s">
        <v>2058</v>
      </c>
      <c r="H333" s="5"/>
      <c r="I333" s="4">
        <v>337519</v>
      </c>
      <c r="J333" s="4">
        <v>2720079</v>
      </c>
      <c r="K333" s="4">
        <v>336690.33399999997</v>
      </c>
      <c r="L333" s="4">
        <v>2720285.0750000002</v>
      </c>
      <c r="M333" s="5">
        <v>99</v>
      </c>
      <c r="N333" s="5" t="s">
        <v>2005</v>
      </c>
      <c r="O333" s="29">
        <v>40472.5</v>
      </c>
      <c r="P333" s="15" t="s">
        <v>2090</v>
      </c>
      <c r="Q333" s="4"/>
      <c r="R333" s="16" t="s">
        <v>2029</v>
      </c>
      <c r="S333" s="16" t="s">
        <v>2008</v>
      </c>
      <c r="T333" s="5">
        <v>45.5</v>
      </c>
      <c r="U333" s="5">
        <v>438</v>
      </c>
      <c r="V333" s="16">
        <v>600</v>
      </c>
      <c r="W333" s="8">
        <f t="shared" si="10"/>
        <v>0</v>
      </c>
      <c r="Y333" s="8"/>
      <c r="Z333" s="8"/>
      <c r="AC333" s="8" t="str">
        <f>IF(COUNTIFS(作業區!$W$2:$W$2000, T333, 作業區!$X$2:$X$2000, U333)&gt;0, "已存在", "未擴充")</f>
        <v>已存在</v>
      </c>
    </row>
    <row r="334" spans="1:29" ht="49.5">
      <c r="A334" s="8">
        <f t="shared" si="11"/>
        <v>333</v>
      </c>
      <c r="B334" s="5" t="s">
        <v>1871</v>
      </c>
      <c r="C334" s="5"/>
      <c r="D334" s="4" t="s">
        <v>2091</v>
      </c>
      <c r="E334" s="5" t="s">
        <v>1349</v>
      </c>
      <c r="F334" s="5" t="s">
        <v>2003</v>
      </c>
      <c r="G334" s="5" t="s">
        <v>2063</v>
      </c>
      <c r="H334" s="5"/>
      <c r="I334" s="4">
        <v>337457</v>
      </c>
      <c r="J334" s="4">
        <v>2719362</v>
      </c>
      <c r="K334" s="4">
        <v>336628.33399999997</v>
      </c>
      <c r="L334" s="4">
        <v>2719568.0729999999</v>
      </c>
      <c r="M334" s="5">
        <v>99</v>
      </c>
      <c r="N334" s="5" t="s">
        <v>2005</v>
      </c>
      <c r="O334" s="29">
        <v>40472.5</v>
      </c>
      <c r="P334" s="15" t="s">
        <v>2092</v>
      </c>
      <c r="Q334" s="4"/>
      <c r="R334" s="16" t="s">
        <v>2029</v>
      </c>
      <c r="S334" s="16" t="s">
        <v>2008</v>
      </c>
      <c r="T334" s="5">
        <v>45.5</v>
      </c>
      <c r="U334" s="5">
        <v>438</v>
      </c>
      <c r="V334" s="16">
        <v>600</v>
      </c>
      <c r="W334" s="8">
        <f t="shared" si="10"/>
        <v>0</v>
      </c>
      <c r="Y334" s="8"/>
      <c r="Z334" s="8"/>
      <c r="AC334" s="8" t="str">
        <f>IF(COUNTIFS(作業區!$W$2:$W$2000, T334, 作業區!$X$2:$X$2000, U334)&gt;0, "已存在", "未擴充")</f>
        <v>已存在</v>
      </c>
    </row>
    <row r="335" spans="1:29" ht="49.5">
      <c r="A335" s="8">
        <f t="shared" si="11"/>
        <v>334</v>
      </c>
      <c r="B335" s="5" t="s">
        <v>1871</v>
      </c>
      <c r="C335" s="5"/>
      <c r="D335" s="4" t="s">
        <v>2093</v>
      </c>
      <c r="E335" s="5" t="s">
        <v>1349</v>
      </c>
      <c r="F335" s="5" t="s">
        <v>2003</v>
      </c>
      <c r="G335" s="5" t="s">
        <v>2094</v>
      </c>
      <c r="H335" s="5"/>
      <c r="I335" s="4">
        <v>334663</v>
      </c>
      <c r="J335" s="4">
        <v>2721612</v>
      </c>
      <c r="K335" s="4">
        <v>333834.326</v>
      </c>
      <c r="L335" s="4">
        <v>2721818.0789999999</v>
      </c>
      <c r="M335" s="5">
        <v>99</v>
      </c>
      <c r="N335" s="5" t="s">
        <v>2005</v>
      </c>
      <c r="O335" s="29">
        <v>40472.5</v>
      </c>
      <c r="P335" s="15" t="s">
        <v>2095</v>
      </c>
      <c r="Q335" s="4"/>
      <c r="R335" s="16" t="s">
        <v>2007</v>
      </c>
      <c r="S335" s="16" t="s">
        <v>2008</v>
      </c>
      <c r="T335" s="5">
        <v>45.5</v>
      </c>
      <c r="U335" s="5">
        <v>438</v>
      </c>
      <c r="V335" s="16">
        <v>600</v>
      </c>
      <c r="W335" s="8">
        <f t="shared" si="10"/>
        <v>0</v>
      </c>
      <c r="Y335" s="8"/>
      <c r="Z335" s="8"/>
      <c r="AC335" s="8" t="str">
        <f>IF(COUNTIFS(作業區!$W$2:$W$2000, T335, 作業區!$X$2:$X$2000, U335)&gt;0, "已存在", "未擴充")</f>
        <v>已存在</v>
      </c>
    </row>
    <row r="336" spans="1:29" ht="66">
      <c r="A336" s="8">
        <f t="shared" si="11"/>
        <v>335</v>
      </c>
      <c r="B336" s="5" t="s">
        <v>2096</v>
      </c>
      <c r="C336" s="5"/>
      <c r="D336" s="4" t="s">
        <v>2097</v>
      </c>
      <c r="E336" s="5" t="s">
        <v>1349</v>
      </c>
      <c r="F336" s="5" t="s">
        <v>2003</v>
      </c>
      <c r="G336" s="5" t="s">
        <v>2063</v>
      </c>
      <c r="H336" s="5" t="s">
        <v>2098</v>
      </c>
      <c r="I336" s="4">
        <v>338007</v>
      </c>
      <c r="J336" s="4">
        <v>2719076</v>
      </c>
      <c r="K336" s="4">
        <v>337178.33600000001</v>
      </c>
      <c r="L336" s="4">
        <v>2719282.0720000002</v>
      </c>
      <c r="M336" s="5">
        <v>99</v>
      </c>
      <c r="N336" s="5" t="s">
        <v>2005</v>
      </c>
      <c r="O336" s="13">
        <v>40472.458333333336</v>
      </c>
      <c r="P336" s="15" t="s">
        <v>2099</v>
      </c>
      <c r="Q336" s="4"/>
      <c r="R336" s="16" t="s">
        <v>2029</v>
      </c>
      <c r="S336" s="16" t="s">
        <v>2008</v>
      </c>
      <c r="T336" s="5">
        <v>54.5</v>
      </c>
      <c r="U336" s="5">
        <v>392.5</v>
      </c>
      <c r="V336" s="16">
        <v>600</v>
      </c>
      <c r="W336" s="8">
        <f t="shared" si="10"/>
        <v>0</v>
      </c>
      <c r="Y336" s="8"/>
      <c r="Z336" s="8"/>
      <c r="AC336" s="8" t="str">
        <f>IF(COUNTIFS(作業區!$W$2:$W$2000, T336, 作業區!$X$2:$X$2000, U336)&gt;0, "已存在", "未擴充")</f>
        <v>已存在</v>
      </c>
    </row>
    <row r="337" spans="1:29" ht="66">
      <c r="A337" s="8">
        <f t="shared" si="11"/>
        <v>336</v>
      </c>
      <c r="B337" s="5" t="s">
        <v>1866</v>
      </c>
      <c r="C337" s="5"/>
      <c r="D337" s="4" t="s">
        <v>2100</v>
      </c>
      <c r="E337" s="5" t="s">
        <v>922</v>
      </c>
      <c r="F337" s="5" t="s">
        <v>2101</v>
      </c>
      <c r="G337" s="5" t="s">
        <v>1504</v>
      </c>
      <c r="H337" s="5" t="s">
        <v>1757</v>
      </c>
      <c r="I337" s="4">
        <v>242117</v>
      </c>
      <c r="J337" s="4">
        <v>2483642</v>
      </c>
      <c r="K337" s="4">
        <v>241288.06599999999</v>
      </c>
      <c r="L337" s="4">
        <v>2483847.1170000001</v>
      </c>
      <c r="M337" s="5">
        <v>99</v>
      </c>
      <c r="N337" s="5" t="s">
        <v>2102</v>
      </c>
      <c r="O337" s="29">
        <v>40422.5</v>
      </c>
      <c r="P337" s="15" t="s">
        <v>2103</v>
      </c>
      <c r="Q337" s="4"/>
      <c r="R337" s="16" t="s">
        <v>621</v>
      </c>
      <c r="S337" s="16" t="s">
        <v>1507</v>
      </c>
      <c r="T337" s="5">
        <v>7</v>
      </c>
      <c r="U337" s="5">
        <v>175</v>
      </c>
      <c r="V337" s="16">
        <v>450</v>
      </c>
      <c r="W337" s="8">
        <f t="shared" si="10"/>
        <v>0</v>
      </c>
      <c r="Y337" s="8"/>
      <c r="Z337" s="8"/>
      <c r="AC337" s="8" t="str">
        <f>IF(COUNTIFS(作業區!$W$2:$W$2000, T337, 作業區!$X$2:$X$2000, U337)&gt;0, "已存在", "未擴充")</f>
        <v>已存在</v>
      </c>
    </row>
    <row r="338" spans="1:29" ht="66">
      <c r="A338" s="8">
        <f t="shared" si="11"/>
        <v>337</v>
      </c>
      <c r="B338" s="5" t="s">
        <v>1073</v>
      </c>
      <c r="C338" s="5"/>
      <c r="D338" s="15" t="s">
        <v>2104</v>
      </c>
      <c r="E338" s="5" t="s">
        <v>1482</v>
      </c>
      <c r="F338" s="5" t="s">
        <v>1491</v>
      </c>
      <c r="G338" s="5" t="s">
        <v>2105</v>
      </c>
      <c r="H338" s="5" t="s">
        <v>2106</v>
      </c>
      <c r="I338" s="4">
        <v>304270</v>
      </c>
      <c r="J338" s="4">
        <v>2720880</v>
      </c>
      <c r="K338" s="4">
        <v>303441.24400000001</v>
      </c>
      <c r="L338" s="4">
        <v>2721086.0669999998</v>
      </c>
      <c r="M338" s="5">
        <v>99</v>
      </c>
      <c r="N338" s="5" t="s">
        <v>2005</v>
      </c>
      <c r="O338" s="29">
        <v>40472.708333333336</v>
      </c>
      <c r="P338" s="15" t="s">
        <v>2107</v>
      </c>
      <c r="Q338" s="4"/>
      <c r="R338" s="16" t="s">
        <v>2108</v>
      </c>
      <c r="S338" s="16" t="s">
        <v>2109</v>
      </c>
      <c r="T338" s="5">
        <v>9</v>
      </c>
      <c r="U338" s="5">
        <v>318</v>
      </c>
      <c r="V338" s="16">
        <v>550</v>
      </c>
      <c r="W338" s="8">
        <f t="shared" si="10"/>
        <v>0</v>
      </c>
      <c r="Y338" s="8"/>
      <c r="Z338" s="8"/>
      <c r="AC338" s="8" t="str">
        <f>IF(COUNTIFS(作業區!$W$2:$W$2000, T338, 作業區!$X$2:$X$2000, U338)&gt;0, "已存在", "未擴充")</f>
        <v>已存在</v>
      </c>
    </row>
    <row r="339" spans="1:29">
      <c r="A339" s="8">
        <f t="shared" si="11"/>
        <v>338</v>
      </c>
      <c r="B339" s="5" t="s">
        <v>739</v>
      </c>
      <c r="C339" s="5"/>
      <c r="D339" s="30" t="s">
        <v>2110</v>
      </c>
      <c r="E339" s="31" t="s">
        <v>785</v>
      </c>
      <c r="F339" s="31" t="s">
        <v>1213</v>
      </c>
      <c r="G339" s="31" t="s">
        <v>1571</v>
      </c>
      <c r="H339" s="5" t="s">
        <v>1575</v>
      </c>
      <c r="I339" s="4">
        <v>235152</v>
      </c>
      <c r="J339" s="4">
        <v>2602755</v>
      </c>
      <c r="K339" s="4">
        <v>234323.04800000001</v>
      </c>
      <c r="L339" s="4">
        <v>2602960.625</v>
      </c>
      <c r="M339" s="5">
        <v>100</v>
      </c>
      <c r="N339" s="2" t="s">
        <v>2111</v>
      </c>
      <c r="O339" s="13">
        <v>40742.958333333336</v>
      </c>
      <c r="P339" s="4" t="s">
        <v>2112</v>
      </c>
      <c r="Q339" s="4"/>
      <c r="R339" s="16" t="s">
        <v>147</v>
      </c>
      <c r="S339" s="16" t="s">
        <v>1573</v>
      </c>
      <c r="T339" s="5">
        <v>14</v>
      </c>
      <c r="U339" s="5">
        <v>97.6</v>
      </c>
      <c r="V339" s="16">
        <v>250</v>
      </c>
      <c r="W339" s="8">
        <f t="shared" si="10"/>
        <v>0</v>
      </c>
      <c r="Y339" s="8"/>
      <c r="Z339" s="8"/>
      <c r="AC339" s="8" t="str">
        <f>IF(COUNTIFS(作業區!$W$2:$W$2000, T339, 作業區!$X$2:$X$2000, U339)&gt;0, "已存在", "未擴充")</f>
        <v>已存在</v>
      </c>
    </row>
    <row r="340" spans="1:29" ht="66">
      <c r="A340" s="8">
        <f t="shared" si="11"/>
        <v>339</v>
      </c>
      <c r="B340" s="5" t="s">
        <v>2072</v>
      </c>
      <c r="C340" s="5"/>
      <c r="D340" s="4" t="s">
        <v>2113</v>
      </c>
      <c r="E340" s="5" t="s">
        <v>780</v>
      </c>
      <c r="F340" s="5" t="s">
        <v>2114</v>
      </c>
      <c r="G340" s="5" t="s">
        <v>1593</v>
      </c>
      <c r="H340" s="5"/>
      <c r="I340" s="4">
        <v>222154</v>
      </c>
      <c r="J340" s="4">
        <v>2605798</v>
      </c>
      <c r="K340" s="4">
        <v>221325.005</v>
      </c>
      <c r="L340" s="4">
        <v>2606003.639</v>
      </c>
      <c r="M340" s="5">
        <v>100</v>
      </c>
      <c r="N340" s="5" t="s">
        <v>2115</v>
      </c>
      <c r="O340" s="13">
        <v>40743.166666666664</v>
      </c>
      <c r="P340" s="15" t="s">
        <v>2116</v>
      </c>
      <c r="Q340" s="4"/>
      <c r="R340" s="16" t="s">
        <v>1596</v>
      </c>
      <c r="S340" s="16" t="s">
        <v>1591</v>
      </c>
      <c r="T340" s="5">
        <v>42</v>
      </c>
      <c r="U340" s="5">
        <v>156.19999999999999</v>
      </c>
      <c r="V340" s="16">
        <v>300</v>
      </c>
      <c r="W340" s="8">
        <f t="shared" si="10"/>
        <v>0</v>
      </c>
      <c r="Y340" s="8"/>
      <c r="Z340" s="8"/>
      <c r="AC340" s="8" t="str">
        <f>IF(COUNTIFS(作業區!$W$2:$W$2000, T340, 作業區!$X$2:$X$2000, U340)&gt;0, "已存在", "未擴充")</f>
        <v>已存在</v>
      </c>
    </row>
    <row r="341" spans="1:29" ht="66" hidden="1">
      <c r="A341" s="8">
        <f t="shared" si="11"/>
        <v>340</v>
      </c>
      <c r="B341" s="5" t="s">
        <v>739</v>
      </c>
      <c r="C341" s="5"/>
      <c r="D341" s="30" t="s">
        <v>2117</v>
      </c>
      <c r="E341" s="2" t="s">
        <v>1482</v>
      </c>
      <c r="F341" s="2" t="s">
        <v>1491</v>
      </c>
      <c r="G341" s="2" t="s">
        <v>2118</v>
      </c>
      <c r="H341" s="2" t="s">
        <v>2119</v>
      </c>
      <c r="I341" s="4">
        <v>308166</v>
      </c>
      <c r="J341" s="4">
        <v>2724936</v>
      </c>
      <c r="K341" s="4">
        <v>307337.25300000003</v>
      </c>
      <c r="L341" s="4">
        <v>2725142.0819999999</v>
      </c>
      <c r="M341" s="5">
        <v>100</v>
      </c>
      <c r="N341" s="2" t="s">
        <v>2120</v>
      </c>
      <c r="O341" s="13">
        <v>40819.208333333336</v>
      </c>
      <c r="P341" s="15" t="s">
        <v>2121</v>
      </c>
      <c r="Q341" s="4"/>
      <c r="R341" s="16" t="s">
        <v>305</v>
      </c>
      <c r="S341" s="16" t="s">
        <v>2109</v>
      </c>
      <c r="T341" s="5">
        <v>14.5</v>
      </c>
      <c r="U341" s="5">
        <v>422.8</v>
      </c>
      <c r="V341" s="16">
        <v>550</v>
      </c>
      <c r="W341" s="8">
        <f t="shared" si="10"/>
        <v>0</v>
      </c>
      <c r="Y341" s="8"/>
      <c r="Z341" s="8"/>
      <c r="AC341" s="8" t="str">
        <f>IF(COUNTIFS(作業區!$W$2:$W$2000, T341, 作業區!$X$2:$X$2000, U341)&gt;0, "已存在", "未擴充")</f>
        <v>已存在</v>
      </c>
    </row>
    <row r="342" spans="1:29" ht="81.75" hidden="1">
      <c r="A342" s="8">
        <f t="shared" si="11"/>
        <v>341</v>
      </c>
      <c r="B342" s="5" t="s">
        <v>739</v>
      </c>
      <c r="C342" s="5"/>
      <c r="D342" s="30" t="s">
        <v>2122</v>
      </c>
      <c r="E342" s="2" t="s">
        <v>1482</v>
      </c>
      <c r="F342" s="2" t="s">
        <v>1483</v>
      </c>
      <c r="G342" s="2" t="s">
        <v>2123</v>
      </c>
      <c r="H342" s="5" t="s">
        <v>2124</v>
      </c>
      <c r="I342" s="4">
        <v>308508</v>
      </c>
      <c r="J342" s="4">
        <v>2725717</v>
      </c>
      <c r="K342" s="4">
        <v>307679.25400000002</v>
      </c>
      <c r="L342" s="4">
        <v>2725923.0839999998</v>
      </c>
      <c r="M342" s="5">
        <v>100</v>
      </c>
      <c r="N342" s="2" t="s">
        <v>2120</v>
      </c>
      <c r="O342" s="13">
        <v>40819.208333333336</v>
      </c>
      <c r="P342" s="15" t="s">
        <v>2125</v>
      </c>
      <c r="Q342" s="4"/>
      <c r="R342" s="16" t="s">
        <v>2126</v>
      </c>
      <c r="S342" s="16" t="s">
        <v>2109</v>
      </c>
      <c r="T342" s="5">
        <v>14.5</v>
      </c>
      <c r="U342" s="5">
        <v>422.8</v>
      </c>
      <c r="V342" s="16">
        <v>550</v>
      </c>
      <c r="W342" s="8">
        <f t="shared" si="10"/>
        <v>0</v>
      </c>
      <c r="Y342" s="8"/>
      <c r="Z342" s="8"/>
      <c r="AC342" s="8" t="str">
        <f>IF(COUNTIFS(作業區!$W$2:$W$2000, T342, 作業區!$X$2:$X$2000, U342)&gt;0, "已存在", "未擴充")</f>
        <v>已存在</v>
      </c>
    </row>
    <row r="343" spans="1:29" ht="66" hidden="1">
      <c r="A343" s="8">
        <f t="shared" si="11"/>
        <v>342</v>
      </c>
      <c r="B343" s="5" t="s">
        <v>1248</v>
      </c>
      <c r="C343" s="5"/>
      <c r="D343" s="30" t="s">
        <v>2127</v>
      </c>
      <c r="E343" s="2" t="s">
        <v>1482</v>
      </c>
      <c r="F343" s="2" t="s">
        <v>1491</v>
      </c>
      <c r="G343" s="2" t="s">
        <v>2013</v>
      </c>
      <c r="H343" s="2" t="s">
        <v>2128</v>
      </c>
      <c r="I343" s="4">
        <v>319315</v>
      </c>
      <c r="J343" s="4">
        <v>2722337</v>
      </c>
      <c r="K343" s="4">
        <v>318486.28399999999</v>
      </c>
      <c r="L343" s="4">
        <v>2722543.0759999999</v>
      </c>
      <c r="M343" s="5">
        <v>100</v>
      </c>
      <c r="N343" s="2" t="s">
        <v>2120</v>
      </c>
      <c r="O343" s="13">
        <v>40819.125</v>
      </c>
      <c r="P343" s="15" t="s">
        <v>2129</v>
      </c>
      <c r="Q343" s="4"/>
      <c r="R343" s="16" t="s">
        <v>301</v>
      </c>
      <c r="S343" s="16" t="s">
        <v>2015</v>
      </c>
      <c r="T343" s="5">
        <v>96.5</v>
      </c>
      <c r="U343" s="5">
        <v>1105</v>
      </c>
      <c r="V343" s="16">
        <v>550</v>
      </c>
      <c r="W343" s="8">
        <f t="shared" si="10"/>
        <v>0</v>
      </c>
      <c r="Y343" s="8"/>
      <c r="Z343" s="8"/>
      <c r="AC343" s="8" t="str">
        <f>IF(COUNTIFS(作業區!$W$2:$W$2000, T343, 作業區!$X$2:$X$2000, U343)&gt;0, "已存在", "未擴充")</f>
        <v>已存在</v>
      </c>
    </row>
    <row r="344" spans="1:29" ht="66">
      <c r="A344" s="8">
        <f t="shared" si="11"/>
        <v>343</v>
      </c>
      <c r="B344" s="2" t="s">
        <v>1073</v>
      </c>
      <c r="C344" s="2"/>
      <c r="D344" s="4" t="s">
        <v>2130</v>
      </c>
      <c r="E344" s="5" t="s">
        <v>1349</v>
      </c>
      <c r="F344" s="5" t="s">
        <v>2131</v>
      </c>
      <c r="G344" s="5" t="s">
        <v>2132</v>
      </c>
      <c r="H344" s="5" t="s">
        <v>2106</v>
      </c>
      <c r="I344" s="4">
        <v>304329</v>
      </c>
      <c r="J344" s="4">
        <v>2720778</v>
      </c>
      <c r="K344" s="4">
        <v>303500.24400000001</v>
      </c>
      <c r="L344" s="4">
        <v>2720984.0669999998</v>
      </c>
      <c r="M344" s="5">
        <v>100</v>
      </c>
      <c r="N344" s="5" t="s">
        <v>2133</v>
      </c>
      <c r="O344" s="29">
        <v>40818.833333333336</v>
      </c>
      <c r="P344" s="15" t="s">
        <v>2134</v>
      </c>
      <c r="Q344" s="4"/>
      <c r="R344" s="16" t="s">
        <v>2135</v>
      </c>
      <c r="S344" s="16" t="s">
        <v>2109</v>
      </c>
      <c r="T344" s="5">
        <v>30</v>
      </c>
      <c r="U344" s="5">
        <v>904.5</v>
      </c>
      <c r="V344" s="16">
        <v>550</v>
      </c>
      <c r="W344" s="8">
        <f t="shared" si="10"/>
        <v>0</v>
      </c>
      <c r="Y344" s="8"/>
      <c r="Z344" s="8"/>
      <c r="AC344" s="8" t="str">
        <f>IF(COUNTIFS(作業區!$W$2:$W$2000, T344, 作業區!$X$2:$X$2000, U344)&gt;0, "已存在", "未擴充")</f>
        <v>已存在</v>
      </c>
    </row>
    <row r="345" spans="1:29" ht="49.5">
      <c r="A345" s="8">
        <f t="shared" si="11"/>
        <v>344</v>
      </c>
      <c r="B345" s="2" t="s">
        <v>1073</v>
      </c>
      <c r="C345" s="2"/>
      <c r="D345" s="4" t="s">
        <v>2136</v>
      </c>
      <c r="E345" s="5" t="s">
        <v>1349</v>
      </c>
      <c r="F345" s="2" t="s">
        <v>2137</v>
      </c>
      <c r="G345" s="2" t="s">
        <v>2138</v>
      </c>
      <c r="H345" s="5"/>
      <c r="I345" s="4">
        <v>334244</v>
      </c>
      <c r="J345" s="4">
        <v>2713322</v>
      </c>
      <c r="K345" s="4">
        <v>333415.32799999998</v>
      </c>
      <c r="L345" s="4">
        <v>2713528.051</v>
      </c>
      <c r="M345" s="5">
        <v>100</v>
      </c>
      <c r="N345" s="5" t="s">
        <v>2133</v>
      </c>
      <c r="O345" s="29">
        <v>40819.083333333336</v>
      </c>
      <c r="P345" s="15" t="s">
        <v>2139</v>
      </c>
      <c r="Q345" s="4"/>
      <c r="R345" s="16" t="s">
        <v>2135</v>
      </c>
      <c r="S345" s="16" t="s">
        <v>2140</v>
      </c>
      <c r="T345" s="5">
        <v>29.5</v>
      </c>
      <c r="U345" s="5">
        <v>451.6</v>
      </c>
      <c r="V345" s="16">
        <v>500</v>
      </c>
      <c r="W345" s="8">
        <f t="shared" si="10"/>
        <v>0</v>
      </c>
      <c r="Y345" s="8"/>
      <c r="Z345" s="8"/>
      <c r="AC345" s="8" t="str">
        <f>IF(COUNTIFS(作業區!$W$2:$W$2000, T345, 作業區!$X$2:$X$2000, U345)&gt;0, "已存在", "未擴充")</f>
        <v>已存在</v>
      </c>
    </row>
    <row r="346" spans="1:29">
      <c r="A346" s="8">
        <f t="shared" si="11"/>
        <v>345</v>
      </c>
      <c r="B346" s="2" t="s">
        <v>1073</v>
      </c>
      <c r="C346" s="2"/>
      <c r="D346" s="4" t="s">
        <v>2141</v>
      </c>
      <c r="E346" s="5" t="s">
        <v>1349</v>
      </c>
      <c r="F346" s="2" t="s">
        <v>2137</v>
      </c>
      <c r="G346" s="2" t="s">
        <v>2138</v>
      </c>
      <c r="H346" s="5" t="s">
        <v>2142</v>
      </c>
      <c r="I346" s="4">
        <v>332660</v>
      </c>
      <c r="J346" s="4">
        <v>2713185</v>
      </c>
      <c r="K346" s="4">
        <v>331831.32400000002</v>
      </c>
      <c r="L346" s="4">
        <v>2713391.05</v>
      </c>
      <c r="M346" s="5">
        <v>100</v>
      </c>
      <c r="N346" s="5" t="s">
        <v>2133</v>
      </c>
      <c r="O346" s="29">
        <v>40819.083333333336</v>
      </c>
      <c r="P346" s="4" t="s">
        <v>2143</v>
      </c>
      <c r="Q346" s="4"/>
      <c r="R346" s="16" t="s">
        <v>2144</v>
      </c>
      <c r="S346" s="16" t="s">
        <v>2140</v>
      </c>
      <c r="T346" s="5">
        <v>29.5</v>
      </c>
      <c r="U346" s="5">
        <v>451.6</v>
      </c>
      <c r="V346" s="16">
        <v>500</v>
      </c>
      <c r="W346" s="8">
        <f t="shared" si="10"/>
        <v>0</v>
      </c>
      <c r="Y346" s="8"/>
      <c r="Z346" s="8"/>
      <c r="AC346" s="8" t="str">
        <f>IF(COUNTIFS(作業區!$W$2:$W$2000, T346, 作業區!$X$2:$X$2000, U346)&gt;0, "已存在", "未擴充")</f>
        <v>已存在</v>
      </c>
    </row>
    <row r="347" spans="1:29" ht="66">
      <c r="A347" s="8">
        <f t="shared" si="11"/>
        <v>346</v>
      </c>
      <c r="B347" s="5" t="s">
        <v>893</v>
      </c>
      <c r="C347" s="5"/>
      <c r="D347" s="4" t="s">
        <v>2145</v>
      </c>
      <c r="E347" s="5" t="s">
        <v>1349</v>
      </c>
      <c r="F347" s="5" t="s">
        <v>2131</v>
      </c>
      <c r="G347" s="5" t="s">
        <v>2132</v>
      </c>
      <c r="H347" s="5"/>
      <c r="I347" s="4">
        <v>305512</v>
      </c>
      <c r="J347" s="4">
        <v>2724002</v>
      </c>
      <c r="K347" s="4">
        <v>304683.24599999998</v>
      </c>
      <c r="L347" s="4">
        <v>2724208.0780000002</v>
      </c>
      <c r="M347" s="5">
        <v>100</v>
      </c>
      <c r="N347" s="5" t="s">
        <v>2133</v>
      </c>
      <c r="O347" s="29">
        <v>40818.166666666664</v>
      </c>
      <c r="P347" s="15" t="s">
        <v>2146</v>
      </c>
      <c r="Q347" s="4"/>
      <c r="R347" s="16" t="s">
        <v>305</v>
      </c>
      <c r="S347" s="16" t="s">
        <v>2109</v>
      </c>
      <c r="T347" s="5">
        <v>11</v>
      </c>
      <c r="U347" s="5">
        <v>415.1</v>
      </c>
      <c r="V347" s="16">
        <v>550</v>
      </c>
      <c r="W347" s="8">
        <f t="shared" si="10"/>
        <v>0</v>
      </c>
      <c r="Y347" s="8"/>
      <c r="Z347" s="8"/>
      <c r="AC347" s="8" t="str">
        <f>IF(COUNTIFS(作業區!$W$2:$W$2000, T347, 作業區!$X$2:$X$2000, U347)&gt;0, "已存在", "未擴充")</f>
        <v>已存在</v>
      </c>
    </row>
    <row r="348" spans="1:29" ht="49.5">
      <c r="A348" s="8">
        <f t="shared" si="11"/>
        <v>347</v>
      </c>
      <c r="B348" s="5" t="s">
        <v>893</v>
      </c>
      <c r="C348" s="5"/>
      <c r="D348" s="4" t="s">
        <v>2147</v>
      </c>
      <c r="E348" s="5" t="s">
        <v>1349</v>
      </c>
      <c r="F348" s="5" t="s">
        <v>2148</v>
      </c>
      <c r="G348" s="5" t="s">
        <v>2149</v>
      </c>
      <c r="H348" s="5"/>
      <c r="I348" s="4">
        <v>316027</v>
      </c>
      <c r="J348" s="4">
        <v>2738441</v>
      </c>
      <c r="K348" s="4">
        <v>315198.27</v>
      </c>
      <c r="L348" s="4">
        <v>2738647.1290000002</v>
      </c>
      <c r="M348" s="5">
        <v>100</v>
      </c>
      <c r="N348" s="5" t="s">
        <v>2133</v>
      </c>
      <c r="O348" s="29">
        <v>40818.166666666664</v>
      </c>
      <c r="P348" s="15" t="s">
        <v>2150</v>
      </c>
      <c r="Q348" s="4"/>
      <c r="R348" s="16" t="s">
        <v>2151</v>
      </c>
      <c r="S348" s="16" t="s">
        <v>2152</v>
      </c>
      <c r="T348" s="5">
        <v>0.5</v>
      </c>
      <c r="U348" s="5">
        <v>172.7</v>
      </c>
      <c r="V348" s="16">
        <v>550</v>
      </c>
      <c r="W348" s="8">
        <f t="shared" si="10"/>
        <v>0</v>
      </c>
      <c r="Y348" s="8"/>
      <c r="Z348" s="8"/>
      <c r="AC348" s="8" t="str">
        <f>IF(COUNTIFS(作業區!$W$2:$W$2000, T348, 作業區!$X$2:$X$2000, U348)&gt;0, "已存在", "未擴充")</f>
        <v>已存在</v>
      </c>
    </row>
    <row r="349" spans="1:29" ht="49.5">
      <c r="A349" s="8">
        <f t="shared" si="11"/>
        <v>348</v>
      </c>
      <c r="B349" s="5" t="s">
        <v>2153</v>
      </c>
      <c r="C349" s="5"/>
      <c r="D349" s="4" t="s">
        <v>2154</v>
      </c>
      <c r="E349" s="5" t="s">
        <v>1349</v>
      </c>
      <c r="F349" s="5" t="s">
        <v>2026</v>
      </c>
      <c r="G349" s="5" t="s">
        <v>2155</v>
      </c>
      <c r="H349" s="5"/>
      <c r="I349" s="4">
        <v>336604</v>
      </c>
      <c r="J349" s="4">
        <v>2713873</v>
      </c>
      <c r="K349" s="4">
        <v>335775.33399999997</v>
      </c>
      <c r="L349" s="4">
        <v>2714079.054</v>
      </c>
      <c r="M349" s="5">
        <v>100</v>
      </c>
      <c r="N349" s="5" t="s">
        <v>2133</v>
      </c>
      <c r="O349" s="13">
        <v>40825.208333333336</v>
      </c>
      <c r="P349" s="15" t="s">
        <v>2156</v>
      </c>
      <c r="Q349" s="4"/>
      <c r="R349" s="16" t="s">
        <v>2135</v>
      </c>
      <c r="S349" s="16" t="s">
        <v>2140</v>
      </c>
      <c r="T349" s="5">
        <v>30.5</v>
      </c>
      <c r="U349" s="5">
        <v>418.9</v>
      </c>
      <c r="V349" s="16" t="s">
        <v>1668</v>
      </c>
      <c r="W349" s="8">
        <f t="shared" si="10"/>
        <v>0</v>
      </c>
      <c r="Y349" s="8"/>
      <c r="Z349" s="8"/>
      <c r="AC349" s="8" t="str">
        <f>IF(COUNTIFS(作業區!$W$2:$W$2000, T349, 作業區!$X$2:$X$2000, U349)&gt;0, "已存在", "未擴充")</f>
        <v>已存在</v>
      </c>
    </row>
    <row r="350" spans="1:29" ht="66">
      <c r="A350" s="8">
        <f t="shared" si="11"/>
        <v>349</v>
      </c>
      <c r="B350" s="5" t="s">
        <v>1856</v>
      </c>
      <c r="C350" s="5"/>
      <c r="D350" s="4" t="s">
        <v>2157</v>
      </c>
      <c r="E350" s="5" t="s">
        <v>1349</v>
      </c>
      <c r="F350" s="5" t="s">
        <v>2131</v>
      </c>
      <c r="G350" s="5" t="s">
        <v>2158</v>
      </c>
      <c r="H350" s="5"/>
      <c r="I350" s="4">
        <v>303765</v>
      </c>
      <c r="J350" s="4">
        <v>2723392</v>
      </c>
      <c r="K350" s="4">
        <v>302936.24200000003</v>
      </c>
      <c r="L350" s="4">
        <v>2723598.0750000002</v>
      </c>
      <c r="M350" s="5">
        <v>100</v>
      </c>
      <c r="N350" s="5" t="s">
        <v>2133</v>
      </c>
      <c r="O350" s="13">
        <v>40818.416666666664</v>
      </c>
      <c r="P350" s="15" t="s">
        <v>2159</v>
      </c>
      <c r="Q350" s="4"/>
      <c r="R350" s="16" t="s">
        <v>305</v>
      </c>
      <c r="S350" s="16" t="s">
        <v>2109</v>
      </c>
      <c r="T350" s="5">
        <v>28.5</v>
      </c>
      <c r="U350" s="5">
        <v>513.4</v>
      </c>
      <c r="V350" s="16">
        <v>550</v>
      </c>
      <c r="W350" s="8">
        <f t="shared" si="10"/>
        <v>0</v>
      </c>
      <c r="Y350" s="8"/>
      <c r="Z350" s="8"/>
      <c r="AC350" s="8" t="str">
        <f>IF(COUNTIFS(作業區!$W$2:$W$2000, T350, 作業區!$X$2:$X$2000, U350)&gt;0, "已存在", "未擴充")</f>
        <v>已存在</v>
      </c>
    </row>
    <row r="351" spans="1:29" ht="66">
      <c r="A351" s="8">
        <f t="shared" si="11"/>
        <v>350</v>
      </c>
      <c r="B351" s="5" t="s">
        <v>1856</v>
      </c>
      <c r="C351" s="5"/>
      <c r="D351" s="4" t="s">
        <v>2160</v>
      </c>
      <c r="E351" s="5" t="s">
        <v>1349</v>
      </c>
      <c r="F351" s="5" t="s">
        <v>2131</v>
      </c>
      <c r="G351" s="5" t="s">
        <v>2158</v>
      </c>
      <c r="H351" s="5"/>
      <c r="I351" s="4">
        <v>304055</v>
      </c>
      <c r="J351" s="4">
        <v>2723659</v>
      </c>
      <c r="K351" s="4">
        <v>303226.24300000002</v>
      </c>
      <c r="L351" s="4">
        <v>2723865.0759999999</v>
      </c>
      <c r="M351" s="5">
        <v>100</v>
      </c>
      <c r="N351" s="5" t="s">
        <v>2133</v>
      </c>
      <c r="O351" s="13">
        <v>40818.416666666664</v>
      </c>
      <c r="P351" s="15" t="s">
        <v>2161</v>
      </c>
      <c r="Q351" s="4"/>
      <c r="R351" s="16" t="s">
        <v>2108</v>
      </c>
      <c r="S351" s="16" t="s">
        <v>2109</v>
      </c>
      <c r="T351" s="5">
        <v>28.5</v>
      </c>
      <c r="U351" s="5">
        <v>513.4</v>
      </c>
      <c r="V351" s="16">
        <v>550</v>
      </c>
      <c r="W351" s="8">
        <f t="shared" si="10"/>
        <v>0</v>
      </c>
      <c r="Y351" s="8"/>
      <c r="Z351" s="8"/>
      <c r="AC351" s="8" t="str">
        <f>IF(COUNTIFS(作業區!$W$2:$W$2000, T351, 作業區!$X$2:$X$2000, U351)&gt;0, "已存在", "未擴充")</f>
        <v>已存在</v>
      </c>
    </row>
    <row r="352" spans="1:29" ht="49.5" hidden="1">
      <c r="A352" s="8">
        <f t="shared" si="11"/>
        <v>351</v>
      </c>
      <c r="B352" s="5" t="s">
        <v>1856</v>
      </c>
      <c r="C352" s="5"/>
      <c r="D352" s="4" t="s">
        <v>2162</v>
      </c>
      <c r="E352" s="5" t="s">
        <v>825</v>
      </c>
      <c r="F352" s="5" t="s">
        <v>2163</v>
      </c>
      <c r="G352" s="5" t="s">
        <v>2164</v>
      </c>
      <c r="H352" s="5" t="s">
        <v>2165</v>
      </c>
      <c r="I352" s="4">
        <v>279207</v>
      </c>
      <c r="J352" s="4">
        <v>2563724</v>
      </c>
      <c r="K352" s="4">
        <v>278378.201</v>
      </c>
      <c r="L352" s="4">
        <v>2563929.4679999999</v>
      </c>
      <c r="M352" s="5">
        <v>100</v>
      </c>
      <c r="N352" s="5" t="s">
        <v>2133</v>
      </c>
      <c r="O352" s="13">
        <v>40818.791666666664</v>
      </c>
      <c r="P352" s="15" t="s">
        <v>2166</v>
      </c>
      <c r="Q352" s="4"/>
      <c r="R352" s="16" t="s">
        <v>2167</v>
      </c>
      <c r="S352" s="16" t="s">
        <v>2168</v>
      </c>
      <c r="T352" s="5">
        <v>29</v>
      </c>
      <c r="U352" s="5">
        <v>323.5</v>
      </c>
      <c r="V352" s="16">
        <v>600</v>
      </c>
      <c r="W352" s="8">
        <f t="shared" si="10"/>
        <v>0</v>
      </c>
      <c r="Y352" s="8"/>
      <c r="Z352" s="8"/>
      <c r="AC352" s="8" t="str">
        <f>IF(COUNTIFS(作業區!$W$2:$W$2000, T352, 作業區!$X$2:$X$2000, U352)&gt;0, "已存在", "未擴充")</f>
        <v>已存在</v>
      </c>
    </row>
    <row r="353" spans="1:29" ht="49.5">
      <c r="A353" s="8">
        <f t="shared" si="11"/>
        <v>352</v>
      </c>
      <c r="B353" s="5" t="s">
        <v>1871</v>
      </c>
      <c r="C353" s="5"/>
      <c r="D353" s="4" t="s">
        <v>2169</v>
      </c>
      <c r="E353" s="5" t="s">
        <v>1349</v>
      </c>
      <c r="F353" s="5" t="s">
        <v>2131</v>
      </c>
      <c r="G353" s="5" t="s">
        <v>2170</v>
      </c>
      <c r="H353" s="5"/>
      <c r="I353" s="4">
        <v>312526</v>
      </c>
      <c r="J353" s="4">
        <v>2725365</v>
      </c>
      <c r="K353" s="4">
        <v>311697.26500000001</v>
      </c>
      <c r="L353" s="4">
        <v>2725571.0839999998</v>
      </c>
      <c r="M353" s="5">
        <v>100</v>
      </c>
      <c r="N353" s="5" t="s">
        <v>2133</v>
      </c>
      <c r="O353" s="29">
        <v>40819.208333333336</v>
      </c>
      <c r="P353" s="15" t="s">
        <v>2171</v>
      </c>
      <c r="Q353" s="4"/>
      <c r="R353" s="16" t="s">
        <v>2135</v>
      </c>
      <c r="S353" s="16" t="s">
        <v>2109</v>
      </c>
      <c r="T353" s="5">
        <v>65.5</v>
      </c>
      <c r="U353" s="5">
        <v>1471</v>
      </c>
      <c r="V353" s="16">
        <v>550</v>
      </c>
      <c r="W353" s="8">
        <f t="shared" si="10"/>
        <v>0</v>
      </c>
      <c r="Y353" s="8"/>
      <c r="Z353" s="8"/>
      <c r="AC353" s="8" t="str">
        <f>IF(COUNTIFS(作業區!$W$2:$W$2000, T353, 作業區!$X$2:$X$2000, U353)&gt;0, "已存在", "未擴充")</f>
        <v>已存在</v>
      </c>
    </row>
    <row r="354" spans="1:29" ht="66" hidden="1">
      <c r="A354" s="8">
        <f t="shared" si="11"/>
        <v>353</v>
      </c>
      <c r="B354" s="5" t="s">
        <v>739</v>
      </c>
      <c r="C354" s="5"/>
      <c r="D354" s="30" t="s">
        <v>2172</v>
      </c>
      <c r="E354" s="21" t="s">
        <v>790</v>
      </c>
      <c r="F354" s="5" t="s">
        <v>1683</v>
      </c>
      <c r="G354" s="21" t="s">
        <v>2173</v>
      </c>
      <c r="H354" s="5" t="s">
        <v>2174</v>
      </c>
      <c r="I354" s="4">
        <v>230940</v>
      </c>
      <c r="J354" s="4">
        <v>2437874</v>
      </c>
      <c r="K354" s="4">
        <v>230111.016</v>
      </c>
      <c r="L354" s="4">
        <v>2438078.9040000001</v>
      </c>
      <c r="M354" s="5">
        <v>100</v>
      </c>
      <c r="N354" s="2" t="s">
        <v>2175</v>
      </c>
      <c r="O354" s="13">
        <v>40784.291666666664</v>
      </c>
      <c r="P354" s="15" t="s">
        <v>2176</v>
      </c>
      <c r="Q354" s="4"/>
      <c r="R354" s="16" t="s">
        <v>615</v>
      </c>
      <c r="S354" s="16" t="s">
        <v>1686</v>
      </c>
      <c r="T354" s="5">
        <v>15.5</v>
      </c>
      <c r="U354" s="5">
        <v>518.9</v>
      </c>
      <c r="V354" s="16" t="s">
        <v>1668</v>
      </c>
      <c r="W354" s="8">
        <f t="shared" si="10"/>
        <v>0</v>
      </c>
      <c r="Y354" s="8"/>
      <c r="Z354" s="8"/>
      <c r="AC354" s="8" t="str">
        <f>IF(COUNTIFS(作業區!$W$2:$W$2000, T354, 作業區!$X$2:$X$2000, U354)&gt;0, "已存在", "未擴充")</f>
        <v>已存在</v>
      </c>
    </row>
    <row r="355" spans="1:29" ht="66">
      <c r="A355" s="8">
        <f t="shared" si="11"/>
        <v>354</v>
      </c>
      <c r="B355" s="5" t="s">
        <v>881</v>
      </c>
      <c r="C355" s="5"/>
      <c r="D355" s="4" t="s">
        <v>2177</v>
      </c>
      <c r="E355" s="5" t="s">
        <v>790</v>
      </c>
      <c r="F355" s="5" t="s">
        <v>1663</v>
      </c>
      <c r="G355" s="5" t="s">
        <v>2178</v>
      </c>
      <c r="H355" s="5"/>
      <c r="I355" s="4">
        <v>231443</v>
      </c>
      <c r="J355" s="4">
        <v>2442037</v>
      </c>
      <c r="K355" s="4">
        <v>230614.019</v>
      </c>
      <c r="L355" s="4">
        <v>2442241.9240000001</v>
      </c>
      <c r="M355" s="5">
        <v>100</v>
      </c>
      <c r="N355" s="5" t="s">
        <v>2179</v>
      </c>
      <c r="O355" s="29">
        <v>40784.166666666664</v>
      </c>
      <c r="P355" s="15" t="s">
        <v>2180</v>
      </c>
      <c r="Q355" s="4"/>
      <c r="R355" s="16" t="s">
        <v>615</v>
      </c>
      <c r="S355" s="16" t="s">
        <v>1686</v>
      </c>
      <c r="T355" s="5">
        <v>108.5</v>
      </c>
      <c r="U355" s="5">
        <v>450</v>
      </c>
      <c r="V355" s="16" t="s">
        <v>1668</v>
      </c>
      <c r="W355" s="8">
        <f t="shared" si="10"/>
        <v>0</v>
      </c>
      <c r="Y355" s="8"/>
      <c r="Z355" s="8"/>
      <c r="AC355" s="8" t="str">
        <f>IF(COUNTIFS(作業區!$W$2:$W$2000, T355, 作業區!$X$2:$X$2000, U355)&gt;0, "已存在", "未擴充")</f>
        <v>已存在</v>
      </c>
    </row>
    <row r="356" spans="1:29" ht="66">
      <c r="A356" s="8">
        <f t="shared" si="11"/>
        <v>355</v>
      </c>
      <c r="B356" s="5" t="s">
        <v>1687</v>
      </c>
      <c r="C356" s="5"/>
      <c r="D356" s="4" t="s">
        <v>2181</v>
      </c>
      <c r="E356" s="5" t="s">
        <v>790</v>
      </c>
      <c r="F356" s="5" t="s">
        <v>1663</v>
      </c>
      <c r="G356" s="5" t="s">
        <v>2178</v>
      </c>
      <c r="H356" s="5"/>
      <c r="I356" s="4">
        <v>230932</v>
      </c>
      <c r="J356" s="4">
        <v>2441749</v>
      </c>
      <c r="K356" s="4">
        <v>230103.01699999999</v>
      </c>
      <c r="L356" s="4">
        <v>2441953.923</v>
      </c>
      <c r="M356" s="5">
        <v>100</v>
      </c>
      <c r="N356" s="5" t="s">
        <v>2179</v>
      </c>
      <c r="O356" s="29">
        <v>40783.958333333336</v>
      </c>
      <c r="P356" s="15" t="s">
        <v>2182</v>
      </c>
      <c r="Q356" s="4"/>
      <c r="R356" s="16" t="s">
        <v>2183</v>
      </c>
      <c r="S356" s="16" t="s">
        <v>1686</v>
      </c>
      <c r="T356" s="5">
        <v>4.5</v>
      </c>
      <c r="U356" s="5">
        <v>268.5</v>
      </c>
      <c r="V356" s="16" t="s">
        <v>1668</v>
      </c>
      <c r="W356" s="8">
        <f t="shared" si="10"/>
        <v>0</v>
      </c>
      <c r="Y356" s="8"/>
      <c r="Z356" s="8"/>
      <c r="AC356" s="8" t="str">
        <f>IF(COUNTIFS(作業區!$W$2:$W$2000, T356, 作業區!$X$2:$X$2000, U356)&gt;0, "已存在", "未擴充")</f>
        <v>已存在</v>
      </c>
    </row>
    <row r="357" spans="1:29" ht="66">
      <c r="A357" s="8">
        <f t="shared" si="11"/>
        <v>356</v>
      </c>
      <c r="B357" s="2" t="s">
        <v>1073</v>
      </c>
      <c r="C357" s="2"/>
      <c r="D357" s="4" t="s">
        <v>2184</v>
      </c>
      <c r="E357" s="5" t="s">
        <v>790</v>
      </c>
      <c r="F357" s="5" t="s">
        <v>1993</v>
      </c>
      <c r="G357" s="5" t="s">
        <v>1754</v>
      </c>
      <c r="H357" s="5"/>
      <c r="I357" s="4">
        <v>216435</v>
      </c>
      <c r="J357" s="4">
        <v>2491970</v>
      </c>
      <c r="K357" s="4">
        <v>215605.965</v>
      </c>
      <c r="L357" s="4">
        <v>2492175.1579999998</v>
      </c>
      <c r="M357" s="5">
        <v>100</v>
      </c>
      <c r="N357" s="5" t="s">
        <v>2179</v>
      </c>
      <c r="O357" s="29">
        <v>40784.25</v>
      </c>
      <c r="P357" s="15" t="s">
        <v>2185</v>
      </c>
      <c r="Q357" s="4"/>
      <c r="R357" s="16" t="s">
        <v>1527</v>
      </c>
      <c r="S357" s="16" t="s">
        <v>1528</v>
      </c>
      <c r="T357" s="5">
        <v>71.5</v>
      </c>
      <c r="U357" s="5">
        <v>227.2</v>
      </c>
      <c r="V357" s="16">
        <v>450</v>
      </c>
      <c r="W357" s="8">
        <f t="shared" si="10"/>
        <v>0</v>
      </c>
      <c r="Y357" s="8"/>
      <c r="Z357" s="8"/>
      <c r="AC357" s="8" t="str">
        <f>IF(COUNTIFS(作業區!$W$2:$W$2000, T357, 作業區!$X$2:$X$2000, U357)&gt;0, "已存在", "未擴充")</f>
        <v>已存在</v>
      </c>
    </row>
    <row r="358" spans="1:29" ht="49.5">
      <c r="A358" s="8">
        <f t="shared" si="11"/>
        <v>357</v>
      </c>
      <c r="B358" s="2" t="s">
        <v>1073</v>
      </c>
      <c r="C358" s="2"/>
      <c r="D358" s="4" t="s">
        <v>2186</v>
      </c>
      <c r="E358" s="5" t="s">
        <v>790</v>
      </c>
      <c r="F358" s="5" t="s">
        <v>1993</v>
      </c>
      <c r="G358" s="2" t="s">
        <v>1747</v>
      </c>
      <c r="H358" s="5" t="s">
        <v>2187</v>
      </c>
      <c r="I358" s="4">
        <v>214923</v>
      </c>
      <c r="J358" s="4">
        <v>2491962</v>
      </c>
      <c r="K358" s="4">
        <v>214093.959</v>
      </c>
      <c r="L358" s="4">
        <v>2492167.1579999998</v>
      </c>
      <c r="M358" s="5">
        <v>100</v>
      </c>
      <c r="N358" s="5" t="s">
        <v>2179</v>
      </c>
      <c r="O358" s="29">
        <v>40784.25</v>
      </c>
      <c r="P358" s="15" t="s">
        <v>2188</v>
      </c>
      <c r="Q358" s="4"/>
      <c r="R358" s="16" t="s">
        <v>2189</v>
      </c>
      <c r="S358" s="16" t="s">
        <v>1528</v>
      </c>
      <c r="T358" s="5">
        <v>71.5</v>
      </c>
      <c r="U358" s="5">
        <v>227.2</v>
      </c>
      <c r="V358" s="16">
        <v>450</v>
      </c>
      <c r="W358" s="8">
        <f t="shared" si="10"/>
        <v>0</v>
      </c>
      <c r="Y358" s="8"/>
      <c r="Z358" s="8"/>
      <c r="AC358" s="8" t="str">
        <f>IF(COUNTIFS(作業區!$W$2:$W$2000, T358, 作業區!$X$2:$X$2000, U358)&gt;0, "已存在", "未擴充")</f>
        <v>已存在</v>
      </c>
    </row>
    <row r="359" spans="1:29">
      <c r="A359" s="8">
        <f t="shared" si="11"/>
        <v>358</v>
      </c>
      <c r="B359" s="5" t="s">
        <v>2072</v>
      </c>
      <c r="C359" s="5"/>
      <c r="D359" s="4" t="s">
        <v>2190</v>
      </c>
      <c r="E359" s="5" t="s">
        <v>790</v>
      </c>
      <c r="F359" s="5" t="s">
        <v>2191</v>
      </c>
      <c r="G359" s="5" t="s">
        <v>2192</v>
      </c>
      <c r="H359" s="5"/>
      <c r="I359" s="4">
        <v>230132</v>
      </c>
      <c r="J359" s="4">
        <v>2449265</v>
      </c>
      <c r="K359" s="4">
        <v>229303.014</v>
      </c>
      <c r="L359" s="4">
        <v>2449469.9589999998</v>
      </c>
      <c r="M359" s="5">
        <v>100</v>
      </c>
      <c r="N359" s="5" t="s">
        <v>2179</v>
      </c>
      <c r="O359" s="29">
        <v>40784.583333333336</v>
      </c>
      <c r="P359" s="4" t="s">
        <v>2193</v>
      </c>
      <c r="Q359" s="4"/>
      <c r="R359" s="16" t="s">
        <v>2194</v>
      </c>
      <c r="S359" s="16" t="s">
        <v>2195</v>
      </c>
      <c r="T359" s="5">
        <v>20.5</v>
      </c>
      <c r="U359" s="5">
        <v>576.5</v>
      </c>
      <c r="V359" s="16">
        <v>600</v>
      </c>
      <c r="W359" s="8">
        <f t="shared" si="10"/>
        <v>0</v>
      </c>
      <c r="Y359" s="8"/>
      <c r="Z359" s="8"/>
      <c r="AC359" s="8" t="str">
        <f>IF(COUNTIFS(作業區!$W$2:$W$2000, T359, 作業區!$X$2:$X$2000, U359)&gt;0, "已存在", "未擴充")</f>
        <v>已存在</v>
      </c>
    </row>
    <row r="360" spans="1:29" ht="49.5">
      <c r="A360" s="8">
        <f t="shared" si="11"/>
        <v>359</v>
      </c>
      <c r="B360" s="5" t="s">
        <v>1871</v>
      </c>
      <c r="C360" s="5"/>
      <c r="D360" s="4" t="s">
        <v>2196</v>
      </c>
      <c r="E360" s="5" t="s">
        <v>790</v>
      </c>
      <c r="F360" s="5" t="s">
        <v>2197</v>
      </c>
      <c r="G360" s="5" t="s">
        <v>2198</v>
      </c>
      <c r="H360" s="5"/>
      <c r="I360" s="4">
        <v>227193</v>
      </c>
      <c r="J360" s="4">
        <v>2428067</v>
      </c>
      <c r="K360" s="4">
        <v>226363.99900000001</v>
      </c>
      <c r="L360" s="4">
        <v>2428271.858</v>
      </c>
      <c r="M360" s="5">
        <v>100</v>
      </c>
      <c r="N360" s="5" t="s">
        <v>2179</v>
      </c>
      <c r="O360" s="29">
        <v>40785.458333333336</v>
      </c>
      <c r="P360" s="15" t="s">
        <v>2199</v>
      </c>
      <c r="Q360" s="4"/>
      <c r="R360" s="16" t="s">
        <v>2200</v>
      </c>
      <c r="S360" s="16" t="s">
        <v>2201</v>
      </c>
      <c r="T360" s="5">
        <v>41</v>
      </c>
      <c r="U360" s="5">
        <v>628.5</v>
      </c>
      <c r="V360" s="16" t="s">
        <v>1668</v>
      </c>
      <c r="W360" s="8">
        <f t="shared" si="10"/>
        <v>0</v>
      </c>
      <c r="Y360" s="8"/>
      <c r="Z360" s="8"/>
      <c r="AC360" s="8" t="str">
        <f>IF(COUNTIFS(作業區!$W$2:$W$2000, T360, 作業區!$X$2:$X$2000, U360)&gt;0, "已存在", "未擴充")</f>
        <v>已存在</v>
      </c>
    </row>
    <row r="361" spans="1:29" ht="49.5" hidden="1">
      <c r="A361" s="8">
        <f t="shared" si="11"/>
        <v>360</v>
      </c>
      <c r="B361" s="5" t="s">
        <v>739</v>
      </c>
      <c r="C361" s="5"/>
      <c r="D361" s="4" t="s">
        <v>2202</v>
      </c>
      <c r="E361" s="5" t="s">
        <v>785</v>
      </c>
      <c r="F361" s="5" t="s">
        <v>1213</v>
      </c>
      <c r="G361" s="5" t="s">
        <v>2203</v>
      </c>
      <c r="H361" s="5" t="s">
        <v>2204</v>
      </c>
      <c r="I361" s="4">
        <v>237257</v>
      </c>
      <c r="J361" s="4">
        <v>2618139</v>
      </c>
      <c r="K361" s="4">
        <v>236428.05600000001</v>
      </c>
      <c r="L361" s="4">
        <v>2618344.6860000002</v>
      </c>
      <c r="M361" s="5">
        <v>101</v>
      </c>
      <c r="N361" s="5" t="s">
        <v>2205</v>
      </c>
      <c r="O361" s="29">
        <v>41032.666666666664</v>
      </c>
      <c r="P361" s="15" t="s">
        <v>2206</v>
      </c>
      <c r="Q361" s="4"/>
      <c r="R361" s="16" t="s">
        <v>135</v>
      </c>
      <c r="S361" s="16" t="s">
        <v>1569</v>
      </c>
      <c r="T361" s="5">
        <v>38.5</v>
      </c>
      <c r="U361" s="5">
        <v>121.4</v>
      </c>
      <c r="V361" s="16">
        <v>250</v>
      </c>
      <c r="W361" s="8">
        <f t="shared" si="10"/>
        <v>0</v>
      </c>
      <c r="Y361" s="8"/>
      <c r="Z361" s="8"/>
      <c r="AC361" s="8" t="str">
        <f>IF(COUNTIFS(作業區!$W$2:$W$2000, T361, 作業區!$X$2:$X$2000, U361)&gt;0, "已存在", "未擴充")</f>
        <v>已存在</v>
      </c>
    </row>
    <row r="362" spans="1:29" ht="33" hidden="1">
      <c r="A362" s="8">
        <f t="shared" si="11"/>
        <v>361</v>
      </c>
      <c r="B362" s="5" t="s">
        <v>920</v>
      </c>
      <c r="C362" s="5"/>
      <c r="D362" s="4" t="s">
        <v>2207</v>
      </c>
      <c r="E362" s="5" t="s">
        <v>785</v>
      </c>
      <c r="F362" s="5" t="s">
        <v>773</v>
      </c>
      <c r="G362" s="5" t="s">
        <v>2208</v>
      </c>
      <c r="H362" s="5" t="s">
        <v>2209</v>
      </c>
      <c r="I362" s="4">
        <v>258340</v>
      </c>
      <c r="J362" s="4">
        <v>2649545</v>
      </c>
      <c r="K362" s="4">
        <v>257511.12299999999</v>
      </c>
      <c r="L362" s="4">
        <v>2649750.8059999999</v>
      </c>
      <c r="M362" s="5">
        <v>101</v>
      </c>
      <c r="N362" s="5" t="s">
        <v>2210</v>
      </c>
      <c r="O362" s="29">
        <v>41070.75</v>
      </c>
      <c r="P362" s="15" t="s">
        <v>2211</v>
      </c>
      <c r="Q362" s="4"/>
      <c r="R362" s="16" t="s">
        <v>391</v>
      </c>
      <c r="S362" s="16" t="s">
        <v>1211</v>
      </c>
      <c r="T362" s="5">
        <v>44.5</v>
      </c>
      <c r="U362" s="5">
        <v>247.1</v>
      </c>
      <c r="V362" s="16">
        <v>250</v>
      </c>
      <c r="W362" s="8">
        <f t="shared" si="10"/>
        <v>0</v>
      </c>
      <c r="Y362" s="8"/>
      <c r="Z362" s="8"/>
      <c r="AC362" s="8" t="str">
        <f>IF(COUNTIFS(作業區!$W$2:$W$2000, T362, 作業區!$X$2:$X$2000, U362)&gt;0, "已存在", "未擴充")</f>
        <v>已存在</v>
      </c>
    </row>
    <row r="363" spans="1:29" ht="33">
      <c r="A363" s="8">
        <f t="shared" si="11"/>
        <v>362</v>
      </c>
      <c r="B363" s="5" t="s">
        <v>739</v>
      </c>
      <c r="C363" s="5"/>
      <c r="D363" s="4" t="s">
        <v>2212</v>
      </c>
      <c r="E363" s="5" t="s">
        <v>802</v>
      </c>
      <c r="F363" s="5" t="s">
        <v>803</v>
      </c>
      <c r="G363" s="5" t="s">
        <v>1317</v>
      </c>
      <c r="H363" s="5" t="s">
        <v>2213</v>
      </c>
      <c r="I363" s="4">
        <v>216247</v>
      </c>
      <c r="J363" s="4">
        <v>2545577</v>
      </c>
      <c r="K363" s="4">
        <v>215417.97399999999</v>
      </c>
      <c r="L363" s="4">
        <v>2545782.3930000002</v>
      </c>
      <c r="M363" s="5">
        <v>101</v>
      </c>
      <c r="N363" s="5" t="s">
        <v>2210</v>
      </c>
      <c r="O363" s="29">
        <v>41070.583333333336</v>
      </c>
      <c r="P363" s="15" t="s">
        <v>2214</v>
      </c>
      <c r="Q363" s="4"/>
      <c r="R363" s="16" t="s">
        <v>225</v>
      </c>
      <c r="S363" s="16" t="s">
        <v>1224</v>
      </c>
      <c r="T363" s="5">
        <v>13.6</v>
      </c>
      <c r="U363" s="5">
        <v>312.60000000000002</v>
      </c>
      <c r="V363" s="16">
        <v>250</v>
      </c>
      <c r="W363" s="8">
        <f t="shared" si="10"/>
        <v>0</v>
      </c>
      <c r="Y363" s="8"/>
      <c r="Z363" s="8"/>
      <c r="AC363" s="8" t="str">
        <f>IF(COUNTIFS(作業區!$W$2:$W$2000, T363, 作業區!$X$2:$X$2000, U363)&gt;0, "已存在", "未擴充")</f>
        <v>已存在</v>
      </c>
    </row>
    <row r="364" spans="1:29" ht="49.5" hidden="1">
      <c r="A364" s="8">
        <f t="shared" si="11"/>
        <v>363</v>
      </c>
      <c r="B364" s="5" t="s">
        <v>1248</v>
      </c>
      <c r="C364" s="5"/>
      <c r="D364" s="4" t="s">
        <v>2215</v>
      </c>
      <c r="E364" s="5" t="s">
        <v>780</v>
      </c>
      <c r="F364" s="5" t="s">
        <v>1556</v>
      </c>
      <c r="G364" s="5" t="s">
        <v>1557</v>
      </c>
      <c r="H364" s="5" t="s">
        <v>1611</v>
      </c>
      <c r="I364" s="4">
        <v>222990</v>
      </c>
      <c r="J364" s="4">
        <v>2603056</v>
      </c>
      <c r="K364" s="4">
        <v>222161.00700000001</v>
      </c>
      <c r="L364" s="4">
        <v>2603261.628</v>
      </c>
      <c r="M364" s="5">
        <v>101</v>
      </c>
      <c r="N364" s="5" t="s">
        <v>2210</v>
      </c>
      <c r="O364" s="29">
        <v>41072.458333333336</v>
      </c>
      <c r="P364" s="15" t="s">
        <v>2216</v>
      </c>
      <c r="Q364" s="4"/>
      <c r="R364" s="16" t="s">
        <v>206</v>
      </c>
      <c r="S364" s="16" t="s">
        <v>1559</v>
      </c>
      <c r="T364" s="5">
        <v>32.5</v>
      </c>
      <c r="U364" s="5">
        <v>607</v>
      </c>
      <c r="V364" s="16">
        <v>250</v>
      </c>
      <c r="W364" s="8">
        <f t="shared" si="10"/>
        <v>0</v>
      </c>
      <c r="Y364" s="8"/>
      <c r="Z364" s="8"/>
      <c r="AC364" s="8" t="str">
        <f>IF(COUNTIFS(作業區!$W$2:$W$2000, T364, 作業區!$X$2:$X$2000, U364)&gt;0, "已存在", "未擴充")</f>
        <v>已存在</v>
      </c>
    </row>
    <row r="365" spans="1:29" ht="33" hidden="1">
      <c r="A365" s="8">
        <f t="shared" si="11"/>
        <v>364</v>
      </c>
      <c r="B365" s="5" t="s">
        <v>1248</v>
      </c>
      <c r="C365" s="5"/>
      <c r="D365" s="4" t="s">
        <v>2217</v>
      </c>
      <c r="E365" s="5" t="s">
        <v>802</v>
      </c>
      <c r="F365" s="5" t="s">
        <v>803</v>
      </c>
      <c r="G365" s="5" t="s">
        <v>808</v>
      </c>
      <c r="H365" s="5" t="s">
        <v>2218</v>
      </c>
      <c r="I365" s="4">
        <v>215578</v>
      </c>
      <c r="J365" s="4">
        <v>2547965</v>
      </c>
      <c r="K365" s="4">
        <v>214748.97200000001</v>
      </c>
      <c r="L365" s="4">
        <v>2548170.4029999999</v>
      </c>
      <c r="M365" s="5">
        <v>101</v>
      </c>
      <c r="N365" s="5" t="s">
        <v>2210</v>
      </c>
      <c r="O365" s="29">
        <v>41070.666666666664</v>
      </c>
      <c r="P365" s="15" t="s">
        <v>2219</v>
      </c>
      <c r="Q365" s="4"/>
      <c r="R365" s="16" t="s">
        <v>225</v>
      </c>
      <c r="S365" s="16" t="s">
        <v>1224</v>
      </c>
      <c r="T365" s="5">
        <v>26</v>
      </c>
      <c r="U365" s="5">
        <v>358.6</v>
      </c>
      <c r="V365" s="16">
        <v>250</v>
      </c>
      <c r="W365" s="8">
        <f t="shared" si="10"/>
        <v>0</v>
      </c>
      <c r="Y365" s="8"/>
      <c r="Z365" s="8"/>
      <c r="AC365" s="8" t="str">
        <f>IF(COUNTIFS(作業區!$W$2:$W$2000, T365, 作業區!$X$2:$X$2000, U365)&gt;0, "已存在", "未擴充")</f>
        <v>已存在</v>
      </c>
    </row>
    <row r="366" spans="1:29" ht="33" hidden="1">
      <c r="A366" s="8">
        <f t="shared" si="11"/>
        <v>365</v>
      </c>
      <c r="B366" s="5" t="s">
        <v>2220</v>
      </c>
      <c r="C366" s="5"/>
      <c r="D366" s="4" t="s">
        <v>2221</v>
      </c>
      <c r="E366" s="5" t="s">
        <v>769</v>
      </c>
      <c r="F366" s="5" t="s">
        <v>859</v>
      </c>
      <c r="G366" s="5" t="s">
        <v>1573</v>
      </c>
      <c r="H366" s="5" t="s">
        <v>1637</v>
      </c>
      <c r="I366" s="4">
        <v>236873</v>
      </c>
      <c r="J366" s="4">
        <v>2607205</v>
      </c>
      <c r="K366" s="4">
        <v>236044.054</v>
      </c>
      <c r="L366" s="4">
        <v>2607410.6430000002</v>
      </c>
      <c r="M366" s="5">
        <v>101</v>
      </c>
      <c r="N366" s="5" t="s">
        <v>2210</v>
      </c>
      <c r="O366" s="29">
        <v>41071.791666666664</v>
      </c>
      <c r="P366" s="15" t="s">
        <v>2222</v>
      </c>
      <c r="Q366" s="4"/>
      <c r="R366" s="16" t="s">
        <v>2223</v>
      </c>
      <c r="S366" s="16" t="s">
        <v>2224</v>
      </c>
      <c r="T366" s="5">
        <v>18.5</v>
      </c>
      <c r="U366" s="5">
        <v>434.8</v>
      </c>
      <c r="V366" s="16">
        <v>250</v>
      </c>
      <c r="W366" s="8">
        <f t="shared" si="10"/>
        <v>0</v>
      </c>
      <c r="Y366" s="8"/>
      <c r="Z366" s="8"/>
      <c r="AC366" s="8" t="str">
        <f>IF(COUNTIFS(作業區!$W$2:$W$2000, T366, 作業區!$X$2:$X$2000, U366)&gt;0, "已存在", "未擴充")</f>
        <v>已存在</v>
      </c>
    </row>
    <row r="367" spans="1:29" ht="33">
      <c r="A367" s="8">
        <f t="shared" si="11"/>
        <v>366</v>
      </c>
      <c r="B367" s="5" t="s">
        <v>2225</v>
      </c>
      <c r="C367" s="5"/>
      <c r="D367" s="4" t="s">
        <v>2226</v>
      </c>
      <c r="E367" s="5" t="s">
        <v>1001</v>
      </c>
      <c r="F367" s="5" t="s">
        <v>1398</v>
      </c>
      <c r="G367" s="5" t="s">
        <v>2227</v>
      </c>
      <c r="H367" s="5"/>
      <c r="I367" s="4">
        <v>307217</v>
      </c>
      <c r="J367" s="4">
        <v>2762277</v>
      </c>
      <c r="K367" s="4">
        <v>306388.239</v>
      </c>
      <c r="L367" s="4">
        <v>2762483.2039999999</v>
      </c>
      <c r="M367" s="5">
        <v>101</v>
      </c>
      <c r="N367" s="5" t="s">
        <v>2210</v>
      </c>
      <c r="O367" s="29">
        <v>41072.354166666664</v>
      </c>
      <c r="P367" s="15" t="s">
        <v>2228</v>
      </c>
      <c r="Q367" s="4"/>
      <c r="R367" s="16" t="s">
        <v>2229</v>
      </c>
      <c r="S367" s="16" t="s">
        <v>2230</v>
      </c>
      <c r="T367" s="5">
        <v>52</v>
      </c>
      <c r="U367" s="5">
        <v>355.2</v>
      </c>
      <c r="V367" s="16">
        <v>500</v>
      </c>
      <c r="W367" s="8">
        <f t="shared" si="10"/>
        <v>0</v>
      </c>
      <c r="Y367" s="8"/>
      <c r="Z367" s="8"/>
      <c r="AC367" s="8" t="str">
        <f>IF(COUNTIFS(作業區!$W$2:$W$2000, T367, 作業區!$X$2:$X$2000, U367)&gt;0, "已存在", "未擴充")</f>
        <v>已存在</v>
      </c>
    </row>
    <row r="368" spans="1:29" ht="66">
      <c r="A368" s="8">
        <f t="shared" si="11"/>
        <v>367</v>
      </c>
      <c r="B368" s="5" t="s">
        <v>881</v>
      </c>
      <c r="C368" s="5"/>
      <c r="D368" s="4" t="s">
        <v>2231</v>
      </c>
      <c r="E368" s="5" t="s">
        <v>869</v>
      </c>
      <c r="F368" s="5" t="s">
        <v>2232</v>
      </c>
      <c r="G368" s="5" t="s">
        <v>2233</v>
      </c>
      <c r="H368" s="5"/>
      <c r="I368" s="4">
        <v>213613</v>
      </c>
      <c r="J368" s="4">
        <v>2610489</v>
      </c>
      <c r="K368" s="4">
        <v>212783.97700000001</v>
      </c>
      <c r="L368" s="4">
        <v>2610694.659</v>
      </c>
      <c r="M368" s="5">
        <v>101</v>
      </c>
      <c r="N368" s="5" t="s">
        <v>2210</v>
      </c>
      <c r="O368" s="29">
        <v>41072.5</v>
      </c>
      <c r="P368" s="15" t="s">
        <v>2234</v>
      </c>
      <c r="Q368" s="4"/>
      <c r="R368" s="16" t="s">
        <v>2235</v>
      </c>
      <c r="S368" s="16" t="s">
        <v>1585</v>
      </c>
      <c r="T368" s="5">
        <v>20.5</v>
      </c>
      <c r="U368" s="5">
        <v>442.6</v>
      </c>
      <c r="V368" s="16">
        <v>350</v>
      </c>
      <c r="W368" s="8">
        <f t="shared" si="10"/>
        <v>1</v>
      </c>
      <c r="Y368" s="8"/>
      <c r="Z368" s="8"/>
      <c r="AC368" s="8" t="str">
        <f>IF(COUNTIFS(作業區!$W$2:$W$2000, T368, 作業區!$X$2:$X$2000, U368)&gt;0, "已存在", "未擴充")</f>
        <v>已存在</v>
      </c>
    </row>
    <row r="369" spans="1:29">
      <c r="A369" s="8">
        <f t="shared" si="11"/>
        <v>368</v>
      </c>
      <c r="B369" s="5" t="s">
        <v>881</v>
      </c>
      <c r="C369" s="5"/>
      <c r="D369" s="4" t="s">
        <v>2236</v>
      </c>
      <c r="E369" s="5" t="s">
        <v>769</v>
      </c>
      <c r="F369" s="5" t="s">
        <v>1760</v>
      </c>
      <c r="G369" s="5" t="s">
        <v>2237</v>
      </c>
      <c r="H369" s="5"/>
      <c r="I369" s="4">
        <v>236869</v>
      </c>
      <c r="J369" s="4">
        <v>2661402</v>
      </c>
      <c r="K369" s="4">
        <v>236040.05799999999</v>
      </c>
      <c r="L369" s="4">
        <v>2661607.85</v>
      </c>
      <c r="M369" s="5">
        <v>101</v>
      </c>
      <c r="N369" s="5" t="s">
        <v>2210</v>
      </c>
      <c r="O369" s="29">
        <v>41071.5</v>
      </c>
      <c r="P369" s="15" t="s">
        <v>2238</v>
      </c>
      <c r="Q369" s="4"/>
      <c r="R369" s="16" t="s">
        <v>1160</v>
      </c>
      <c r="S369" s="16" t="s">
        <v>1161</v>
      </c>
      <c r="T369" s="5">
        <v>1</v>
      </c>
      <c r="U369" s="5">
        <v>359.3</v>
      </c>
      <c r="V369" s="16">
        <v>300</v>
      </c>
      <c r="W369" s="8">
        <f t="shared" si="10"/>
        <v>0</v>
      </c>
      <c r="Y369" s="8"/>
      <c r="Z369" s="8"/>
      <c r="AC369" s="8" t="str">
        <f>IF(COUNTIFS(作業區!$W$2:$W$2000, T369, 作業區!$X$2:$X$2000, U369)&gt;0, "已存在", "未擴充")</f>
        <v>已存在</v>
      </c>
    </row>
    <row r="370" spans="1:29">
      <c r="A370" s="8">
        <f t="shared" si="11"/>
        <v>369</v>
      </c>
      <c r="B370" s="5" t="s">
        <v>1713</v>
      </c>
      <c r="C370" s="5"/>
      <c r="D370" s="4" t="s">
        <v>2239</v>
      </c>
      <c r="E370" s="5" t="s">
        <v>790</v>
      </c>
      <c r="F370" s="5" t="s">
        <v>1993</v>
      </c>
      <c r="G370" s="5" t="s">
        <v>1525</v>
      </c>
      <c r="H370" s="5"/>
      <c r="I370" s="4">
        <v>215131</v>
      </c>
      <c r="J370" s="4">
        <v>2495719</v>
      </c>
      <c r="K370" s="4">
        <v>214301.96100000001</v>
      </c>
      <c r="L370" s="4">
        <v>2495924.1749999998</v>
      </c>
      <c r="M370" s="5">
        <v>101</v>
      </c>
      <c r="N370" s="5" t="s">
        <v>2210</v>
      </c>
      <c r="O370" s="29">
        <v>41072.416666666664</v>
      </c>
      <c r="P370" s="15" t="s">
        <v>2240</v>
      </c>
      <c r="Q370" s="4"/>
      <c r="R370" s="16" t="s">
        <v>1527</v>
      </c>
      <c r="S370" s="16" t="s">
        <v>1528</v>
      </c>
      <c r="T370" s="5">
        <v>44</v>
      </c>
      <c r="U370" s="5">
        <v>633.1</v>
      </c>
      <c r="V370" s="16">
        <v>350</v>
      </c>
      <c r="W370" s="8">
        <f t="shared" si="10"/>
        <v>0</v>
      </c>
      <c r="Y370" s="8"/>
      <c r="Z370" s="8"/>
      <c r="AC370" s="8" t="str">
        <f>IF(COUNTIFS(作業區!$W$2:$W$2000, T370, 作業區!$X$2:$X$2000, U370)&gt;0, "已存在", "未擴充")</f>
        <v>已存在</v>
      </c>
    </row>
    <row r="371" spans="1:29" ht="33">
      <c r="A371" s="8">
        <f t="shared" si="11"/>
        <v>370</v>
      </c>
      <c r="B371" s="5" t="s">
        <v>1713</v>
      </c>
      <c r="C371" s="5"/>
      <c r="D371" s="4" t="s">
        <v>2241</v>
      </c>
      <c r="E371" s="5" t="s">
        <v>790</v>
      </c>
      <c r="F371" s="5" t="s">
        <v>1993</v>
      </c>
      <c r="G371" s="5" t="s">
        <v>1754</v>
      </c>
      <c r="H371" s="5"/>
      <c r="I371" s="4">
        <v>217520</v>
      </c>
      <c r="J371" s="4">
        <v>2491937</v>
      </c>
      <c r="K371" s="4">
        <v>216690.96900000001</v>
      </c>
      <c r="L371" s="4">
        <v>2492142.1570000001</v>
      </c>
      <c r="M371" s="5">
        <v>101</v>
      </c>
      <c r="N371" s="5" t="s">
        <v>2210</v>
      </c>
      <c r="O371" s="29">
        <v>41070.583333333336</v>
      </c>
      <c r="P371" s="15" t="s">
        <v>2242</v>
      </c>
      <c r="Q371" s="4"/>
      <c r="R371" s="16" t="s">
        <v>1527</v>
      </c>
      <c r="S371" s="16" t="s">
        <v>1528</v>
      </c>
      <c r="T371" s="5">
        <v>67</v>
      </c>
      <c r="U371" s="5">
        <v>385.36</v>
      </c>
      <c r="V371" s="16">
        <v>350</v>
      </c>
      <c r="W371" s="8">
        <f t="shared" si="10"/>
        <v>0</v>
      </c>
      <c r="Y371" s="8"/>
      <c r="Z371" s="8"/>
      <c r="AC371" s="8" t="str">
        <f>IF(COUNTIFS(作業區!$W$2:$W$2000, T371, 作業區!$X$2:$X$2000, U371)&gt;0, "已存在", "未擴充")</f>
        <v>已存在</v>
      </c>
    </row>
    <row r="372" spans="1:29" ht="33">
      <c r="A372" s="8">
        <f t="shared" si="11"/>
        <v>371</v>
      </c>
      <c r="B372" s="5" t="s">
        <v>2243</v>
      </c>
      <c r="C372" s="5"/>
      <c r="D372" s="4" t="s">
        <v>2244</v>
      </c>
      <c r="E372" s="2" t="s">
        <v>756</v>
      </c>
      <c r="F372" s="5" t="s">
        <v>757</v>
      </c>
      <c r="G372" s="5" t="s">
        <v>2245</v>
      </c>
      <c r="H372" s="5"/>
      <c r="I372" s="4">
        <v>241805</v>
      </c>
      <c r="J372" s="4">
        <v>2675731</v>
      </c>
      <c r="K372" s="4">
        <v>240976.073</v>
      </c>
      <c r="L372" s="4">
        <v>2675936.9019999998</v>
      </c>
      <c r="M372" s="5">
        <v>101</v>
      </c>
      <c r="N372" s="5" t="s">
        <v>2210</v>
      </c>
      <c r="O372" s="29">
        <v>41074.5</v>
      </c>
      <c r="P372" s="15" t="s">
        <v>2246</v>
      </c>
      <c r="Q372" s="4"/>
      <c r="R372" s="16" t="s">
        <v>2247</v>
      </c>
      <c r="S372" s="16" t="s">
        <v>2248</v>
      </c>
      <c r="T372" s="5">
        <v>0.5</v>
      </c>
      <c r="U372" s="5">
        <v>601.01</v>
      </c>
      <c r="V372" s="16">
        <v>300</v>
      </c>
      <c r="W372" s="8">
        <f t="shared" si="10"/>
        <v>0</v>
      </c>
      <c r="Y372" s="8"/>
      <c r="Z372" s="8"/>
      <c r="AC372" s="8" t="str">
        <f>IF(COUNTIFS(作業區!$W$2:$W$2000, T372, 作業區!$X$2:$X$2000, U372)&gt;0, "已存在", "未擴充")</f>
        <v>已存在</v>
      </c>
    </row>
    <row r="373" spans="1:29">
      <c r="A373" s="8">
        <f t="shared" si="11"/>
        <v>372</v>
      </c>
      <c r="B373" s="5" t="s">
        <v>2243</v>
      </c>
      <c r="C373" s="5"/>
      <c r="D373" s="4" t="s">
        <v>2249</v>
      </c>
      <c r="E373" s="2" t="s">
        <v>756</v>
      </c>
      <c r="F373" s="5" t="s">
        <v>2250</v>
      </c>
      <c r="G373" s="5" t="s">
        <v>2251</v>
      </c>
      <c r="H373" s="5"/>
      <c r="I373" s="4">
        <v>227610</v>
      </c>
      <c r="J373" s="4">
        <v>2671496</v>
      </c>
      <c r="K373" s="4">
        <v>226781.03099999999</v>
      </c>
      <c r="L373" s="4">
        <v>2671701.8879999998</v>
      </c>
      <c r="M373" s="5">
        <v>101</v>
      </c>
      <c r="N373" s="5" t="s">
        <v>2210</v>
      </c>
      <c r="O373" s="29">
        <v>41072.416666666664</v>
      </c>
      <c r="P373" s="15" t="s">
        <v>2252</v>
      </c>
      <c r="Q373" s="4"/>
      <c r="R373" s="16" t="s">
        <v>2253</v>
      </c>
      <c r="S373" s="16" t="s">
        <v>2254</v>
      </c>
      <c r="T373" s="5">
        <v>24.5</v>
      </c>
      <c r="U373" s="5">
        <v>175.7</v>
      </c>
      <c r="V373" s="16">
        <v>400</v>
      </c>
      <c r="W373" s="8">
        <f t="shared" si="10"/>
        <v>0</v>
      </c>
      <c r="Y373" s="8"/>
      <c r="Z373" s="8"/>
      <c r="AC373" s="8" t="str">
        <f>IF(COUNTIFS(作業區!$W$2:$W$2000, T373, 作業區!$X$2:$X$2000, U373)&gt;0, "已存在", "未擴充")</f>
        <v>已存在</v>
      </c>
    </row>
    <row r="374" spans="1:29">
      <c r="A374" s="8">
        <f t="shared" si="11"/>
        <v>373</v>
      </c>
      <c r="B374" s="5" t="s">
        <v>2243</v>
      </c>
      <c r="C374" s="5"/>
      <c r="D374" s="4" t="s">
        <v>2255</v>
      </c>
      <c r="E374" s="5" t="s">
        <v>785</v>
      </c>
      <c r="F374" s="5" t="s">
        <v>773</v>
      </c>
      <c r="G374" s="5" t="s">
        <v>1166</v>
      </c>
      <c r="H374" s="5"/>
      <c r="I374" s="4">
        <v>248019</v>
      </c>
      <c r="J374" s="4">
        <v>2663828</v>
      </c>
      <c r="K374" s="4">
        <v>247190.092</v>
      </c>
      <c r="L374" s="4">
        <v>2664033.858</v>
      </c>
      <c r="M374" s="5">
        <v>101</v>
      </c>
      <c r="N374" s="5" t="s">
        <v>2210</v>
      </c>
      <c r="O374" s="29">
        <v>41070.708333333336</v>
      </c>
      <c r="P374" s="15" t="s">
        <v>2256</v>
      </c>
      <c r="Q374" s="4"/>
      <c r="R374" s="16" t="s">
        <v>2257</v>
      </c>
      <c r="S374" s="16" t="s">
        <v>2258</v>
      </c>
      <c r="T374" s="5">
        <v>42</v>
      </c>
      <c r="U374" s="5">
        <v>310.3</v>
      </c>
      <c r="V374" s="16">
        <v>250</v>
      </c>
      <c r="W374" s="8">
        <f t="shared" si="10"/>
        <v>0</v>
      </c>
      <c r="Y374" s="8"/>
      <c r="Z374" s="8"/>
      <c r="AC374" s="8" t="str">
        <f>IF(COUNTIFS(作業區!$W$2:$W$2000, T374, 作業區!$X$2:$X$2000, U374)&gt;0, "已存在", "未擴充")</f>
        <v>已存在</v>
      </c>
    </row>
    <row r="375" spans="1:29" ht="49.5">
      <c r="A375" s="8">
        <f t="shared" si="11"/>
        <v>374</v>
      </c>
      <c r="B375" s="5" t="s">
        <v>893</v>
      </c>
      <c r="C375" s="5"/>
      <c r="D375" s="4" t="s">
        <v>2259</v>
      </c>
      <c r="E375" s="5" t="s">
        <v>922</v>
      </c>
      <c r="F375" s="5" t="s">
        <v>2101</v>
      </c>
      <c r="G375" s="5" t="s">
        <v>1509</v>
      </c>
      <c r="H375" s="5"/>
      <c r="I375" s="4">
        <v>240768</v>
      </c>
      <c r="J375" s="4">
        <v>2475055</v>
      </c>
      <c r="K375" s="4">
        <v>239939.06</v>
      </c>
      <c r="L375" s="4">
        <v>2475260.0780000002</v>
      </c>
      <c r="M375" s="5">
        <v>101</v>
      </c>
      <c r="N375" s="5" t="s">
        <v>2210</v>
      </c>
      <c r="O375" s="29">
        <v>41074.583333333336</v>
      </c>
      <c r="P375" s="15" t="s">
        <v>2260</v>
      </c>
      <c r="Q375" s="4"/>
      <c r="R375" s="16">
        <v>46754</v>
      </c>
      <c r="S375" s="16" t="s">
        <v>2261</v>
      </c>
      <c r="T375" s="5">
        <v>22</v>
      </c>
      <c r="U375" s="5">
        <v>399.5</v>
      </c>
      <c r="V375" s="16">
        <v>450</v>
      </c>
      <c r="W375" s="8">
        <f t="shared" si="10"/>
        <v>0</v>
      </c>
      <c r="Y375" s="8"/>
      <c r="Z375" s="8"/>
      <c r="AC375" s="8" t="str">
        <f>IF(COUNTIFS(作業區!$W$2:$W$2000, T375, 作業區!$X$2:$X$2000, U375)&gt;0, "已存在", "未擴充")</f>
        <v>已存在</v>
      </c>
    </row>
    <row r="376" spans="1:29" ht="33">
      <c r="A376" s="8">
        <f t="shared" si="11"/>
        <v>375</v>
      </c>
      <c r="B376" s="5" t="s">
        <v>893</v>
      </c>
      <c r="C376" s="5"/>
      <c r="D376" s="4" t="s">
        <v>2262</v>
      </c>
      <c r="E376" s="5" t="s">
        <v>785</v>
      </c>
      <c r="F376" s="5" t="s">
        <v>1760</v>
      </c>
      <c r="G376" s="5" t="s">
        <v>1761</v>
      </c>
      <c r="H376" s="5" t="s">
        <v>2263</v>
      </c>
      <c r="I376" s="4">
        <v>235926</v>
      </c>
      <c r="J376" s="4">
        <v>2645592</v>
      </c>
      <c r="K376" s="4">
        <v>235097.054</v>
      </c>
      <c r="L376" s="4">
        <v>2645797.7910000002</v>
      </c>
      <c r="M376" s="5">
        <v>101</v>
      </c>
      <c r="N376" s="5" t="s">
        <v>2210</v>
      </c>
      <c r="O376" s="29">
        <v>41072.458333333336</v>
      </c>
      <c r="P376" s="15" t="s">
        <v>2264</v>
      </c>
      <c r="Q376" s="4"/>
      <c r="R376" s="16" t="s">
        <v>911</v>
      </c>
      <c r="S376" s="16" t="s">
        <v>912</v>
      </c>
      <c r="T376" s="5">
        <v>69</v>
      </c>
      <c r="U376" s="5">
        <v>535.29999999999995</v>
      </c>
      <c r="V376" s="16">
        <v>300</v>
      </c>
      <c r="W376" s="8">
        <f t="shared" si="10"/>
        <v>0</v>
      </c>
      <c r="Y376" s="8"/>
      <c r="Z376" s="8"/>
      <c r="AC376" s="8" t="str">
        <f>IF(COUNTIFS(作業區!$W$2:$W$2000, T376, 作業區!$X$2:$X$2000, U376)&gt;0, "已存在", "未擴充")</f>
        <v>已存在</v>
      </c>
    </row>
    <row r="377" spans="1:29" ht="33">
      <c r="A377" s="8">
        <f t="shared" si="11"/>
        <v>376</v>
      </c>
      <c r="B377" s="5" t="s">
        <v>893</v>
      </c>
      <c r="C377" s="5"/>
      <c r="D377" s="4" t="s">
        <v>2265</v>
      </c>
      <c r="E377" s="5" t="s">
        <v>1001</v>
      </c>
      <c r="F377" s="5" t="s">
        <v>2266</v>
      </c>
      <c r="G377" s="5" t="s">
        <v>2267</v>
      </c>
      <c r="H377" s="5"/>
      <c r="I377" s="4">
        <v>308658</v>
      </c>
      <c r="J377" s="4">
        <v>2769588</v>
      </c>
      <c r="K377" s="4">
        <v>307829.24099999998</v>
      </c>
      <c r="L377" s="4">
        <v>2769794.2280000001</v>
      </c>
      <c r="M377" s="5">
        <v>101</v>
      </c>
      <c r="N377" s="5" t="s">
        <v>2210</v>
      </c>
      <c r="O377" s="29">
        <v>41072.208333333336</v>
      </c>
      <c r="P377" s="15" t="s">
        <v>2268</v>
      </c>
      <c r="Q377" s="4"/>
      <c r="R377" s="16" t="s">
        <v>2269</v>
      </c>
      <c r="S377" s="16" t="s">
        <v>2270</v>
      </c>
      <c r="T377" s="5">
        <v>26</v>
      </c>
      <c r="U377" s="5">
        <v>184</v>
      </c>
      <c r="V377" s="16">
        <v>600</v>
      </c>
      <c r="W377" s="8">
        <f t="shared" si="10"/>
        <v>0</v>
      </c>
      <c r="Y377" s="8"/>
      <c r="Z377" s="8"/>
      <c r="AC377" s="8" t="str">
        <f>IF(COUNTIFS(作業區!$W$2:$W$2000, T377, 作業區!$X$2:$X$2000, U377)&gt;0, "已存在", "未擴充")</f>
        <v>已存在</v>
      </c>
    </row>
    <row r="378" spans="1:29" ht="33">
      <c r="A378" s="8">
        <f t="shared" si="11"/>
        <v>377</v>
      </c>
      <c r="B378" s="5" t="s">
        <v>893</v>
      </c>
      <c r="C378" s="5"/>
      <c r="D378" s="4" t="s">
        <v>2271</v>
      </c>
      <c r="E378" s="2" t="s">
        <v>756</v>
      </c>
      <c r="F378" s="5" t="s">
        <v>2272</v>
      </c>
      <c r="G378" s="5" t="s">
        <v>2273</v>
      </c>
      <c r="H378" s="5"/>
      <c r="I378" s="4">
        <v>236048</v>
      </c>
      <c r="J378" s="4">
        <v>2679013</v>
      </c>
      <c r="K378" s="4">
        <v>235219.057</v>
      </c>
      <c r="L378" s="4">
        <v>2679218.9139999999</v>
      </c>
      <c r="M378" s="5">
        <v>101</v>
      </c>
      <c r="N378" s="5" t="s">
        <v>2210</v>
      </c>
      <c r="O378" s="29">
        <v>41072.125</v>
      </c>
      <c r="P378" s="15" t="s">
        <v>2274</v>
      </c>
      <c r="Q378" s="4"/>
      <c r="R378" s="16" t="s">
        <v>1122</v>
      </c>
      <c r="S378" s="16" t="s">
        <v>2275</v>
      </c>
      <c r="T378" s="5">
        <v>43.5</v>
      </c>
      <c r="U378" s="5">
        <v>300.60000000000002</v>
      </c>
      <c r="V378" s="16">
        <v>300</v>
      </c>
      <c r="W378" s="8">
        <f t="shared" si="10"/>
        <v>0</v>
      </c>
      <c r="Y378" s="8"/>
      <c r="Z378" s="8"/>
      <c r="AC378" s="8" t="str">
        <f>IF(COUNTIFS(作業區!$W$2:$W$2000, T378, 作業區!$X$2:$X$2000, U378)&gt;0, "已存在", "未擴充")</f>
        <v>已存在</v>
      </c>
    </row>
    <row r="379" spans="1:29" ht="49.5">
      <c r="A379" s="8">
        <f t="shared" si="11"/>
        <v>378</v>
      </c>
      <c r="B379" s="5" t="s">
        <v>893</v>
      </c>
      <c r="C379" s="5"/>
      <c r="D379" s="4" t="s">
        <v>2276</v>
      </c>
      <c r="E379" s="5" t="s">
        <v>1001</v>
      </c>
      <c r="F379" s="5" t="s">
        <v>2277</v>
      </c>
      <c r="G379" s="5" t="s">
        <v>2278</v>
      </c>
      <c r="H379" s="5"/>
      <c r="I379" s="4">
        <v>305246</v>
      </c>
      <c r="J379" s="4">
        <v>2767083</v>
      </c>
      <c r="K379" s="4">
        <v>304417.23300000001</v>
      </c>
      <c r="L379" s="4">
        <v>2767289.219</v>
      </c>
      <c r="M379" s="5">
        <v>101</v>
      </c>
      <c r="N379" s="5" t="s">
        <v>2210</v>
      </c>
      <c r="O379" s="29">
        <v>41072</v>
      </c>
      <c r="P379" s="15" t="s">
        <v>2279</v>
      </c>
      <c r="Q379" s="4"/>
      <c r="R379" s="16" t="s">
        <v>2280</v>
      </c>
      <c r="S379" s="16" t="s">
        <v>2281</v>
      </c>
      <c r="T379" s="5">
        <v>43.5</v>
      </c>
      <c r="U379" s="5">
        <v>70.2</v>
      </c>
      <c r="V379" s="16" t="s">
        <v>1668</v>
      </c>
      <c r="W379" s="8">
        <f t="shared" si="10"/>
        <v>0</v>
      </c>
      <c r="Y379" s="8"/>
      <c r="Z379" s="8"/>
      <c r="AC379" s="8" t="str">
        <f>IF(COUNTIFS(作業區!$W$2:$W$2000, T379, 作業區!$X$2:$X$2000, U379)&gt;0, "已存在", "未擴充")</f>
        <v>已存在</v>
      </c>
    </row>
    <row r="380" spans="1:29" ht="49.5">
      <c r="A380" s="8">
        <f t="shared" si="11"/>
        <v>379</v>
      </c>
      <c r="B380" s="5" t="s">
        <v>893</v>
      </c>
      <c r="C380" s="5"/>
      <c r="D380" s="4" t="s">
        <v>2282</v>
      </c>
      <c r="E380" s="2" t="s">
        <v>756</v>
      </c>
      <c r="F380" s="5" t="s">
        <v>816</v>
      </c>
      <c r="G380" s="5" t="s">
        <v>2283</v>
      </c>
      <c r="H380" s="5"/>
      <c r="I380" s="4">
        <v>271204</v>
      </c>
      <c r="J380" s="4">
        <v>2683566</v>
      </c>
      <c r="K380" s="4">
        <v>270375.15899999999</v>
      </c>
      <c r="L380" s="4">
        <v>2683771.9309999999</v>
      </c>
      <c r="M380" s="5">
        <v>101</v>
      </c>
      <c r="N380" s="5" t="s">
        <v>2210</v>
      </c>
      <c r="O380" s="29">
        <v>41071.75</v>
      </c>
      <c r="P380" s="15" t="s">
        <v>2284</v>
      </c>
      <c r="Q380" s="4"/>
      <c r="R380" s="16" t="s">
        <v>2285</v>
      </c>
      <c r="S380" s="16" t="s">
        <v>2286</v>
      </c>
      <c r="T380" s="5">
        <v>7.5</v>
      </c>
      <c r="U380" s="5">
        <v>317.5</v>
      </c>
      <c r="V380" s="16">
        <v>300</v>
      </c>
      <c r="W380" s="8">
        <f t="shared" si="10"/>
        <v>0</v>
      </c>
      <c r="Y380" s="8"/>
      <c r="Z380" s="8"/>
      <c r="AC380" s="8" t="str">
        <f>IF(COUNTIFS(作業區!$W$2:$W$2000, T380, 作業區!$X$2:$X$2000, U380)&gt;0, "已存在", "未擴充")</f>
        <v>已存在</v>
      </c>
    </row>
    <row r="381" spans="1:29" ht="49.5">
      <c r="A381" s="8">
        <f t="shared" si="11"/>
        <v>380</v>
      </c>
      <c r="B381" s="5" t="s">
        <v>893</v>
      </c>
      <c r="C381" s="5"/>
      <c r="D381" s="4" t="s">
        <v>2287</v>
      </c>
      <c r="E381" s="5" t="s">
        <v>785</v>
      </c>
      <c r="F381" s="5" t="s">
        <v>773</v>
      </c>
      <c r="G381" s="5" t="s">
        <v>774</v>
      </c>
      <c r="H381" s="5"/>
      <c r="I381" s="4">
        <v>270809</v>
      </c>
      <c r="J381" s="4">
        <v>2663222</v>
      </c>
      <c r="K381" s="4">
        <v>269980.15999999997</v>
      </c>
      <c r="L381" s="4">
        <v>2663427.8569999998</v>
      </c>
      <c r="M381" s="5">
        <v>101</v>
      </c>
      <c r="N381" s="5" t="s">
        <v>2210</v>
      </c>
      <c r="O381" s="29">
        <v>41070.916666666664</v>
      </c>
      <c r="P381" s="15" t="s">
        <v>2288</v>
      </c>
      <c r="Q381" s="4"/>
      <c r="R381" s="16" t="s">
        <v>2289</v>
      </c>
      <c r="S381" s="16" t="s">
        <v>1428</v>
      </c>
      <c r="T381" s="5">
        <v>16.5</v>
      </c>
      <c r="U381" s="5">
        <v>259.39999999999998</v>
      </c>
      <c r="V381" s="16" t="s">
        <v>1668</v>
      </c>
      <c r="W381" s="8">
        <f t="shared" si="10"/>
        <v>0</v>
      </c>
      <c r="Y381" s="8"/>
      <c r="Z381" s="8"/>
      <c r="AC381" s="8" t="str">
        <f>IF(COUNTIFS(作業區!$W$2:$W$2000, T381, 作業區!$X$2:$X$2000, U381)&gt;0, "已存在", "未擴充")</f>
        <v>已存在</v>
      </c>
    </row>
    <row r="382" spans="1:29" ht="33">
      <c r="A382" s="8">
        <f t="shared" si="11"/>
        <v>381</v>
      </c>
      <c r="B382" s="5" t="s">
        <v>893</v>
      </c>
      <c r="C382" s="5"/>
      <c r="D382" s="4" t="s">
        <v>2290</v>
      </c>
      <c r="E382" s="2" t="s">
        <v>756</v>
      </c>
      <c r="F382" s="5" t="s">
        <v>1245</v>
      </c>
      <c r="G382" s="5" t="s">
        <v>2291</v>
      </c>
      <c r="H382" s="5"/>
      <c r="I382" s="4">
        <v>237827</v>
      </c>
      <c r="J382" s="4">
        <v>2669772</v>
      </c>
      <c r="K382" s="4">
        <v>236998.06099999999</v>
      </c>
      <c r="L382" s="4">
        <v>2669977.88</v>
      </c>
      <c r="M382" s="5">
        <v>101</v>
      </c>
      <c r="N382" s="5" t="s">
        <v>2210</v>
      </c>
      <c r="O382" s="29">
        <v>41070.708333333336</v>
      </c>
      <c r="P382" s="15" t="s">
        <v>2292</v>
      </c>
      <c r="Q382" s="4"/>
      <c r="R382" s="16" t="s">
        <v>2293</v>
      </c>
      <c r="S382" s="16" t="s">
        <v>2294</v>
      </c>
      <c r="T382" s="5">
        <v>5</v>
      </c>
      <c r="U382" s="5">
        <v>299.10000000000002</v>
      </c>
      <c r="V382" s="16">
        <v>350</v>
      </c>
      <c r="W382" s="8">
        <f t="shared" si="10"/>
        <v>0</v>
      </c>
      <c r="Y382" s="8"/>
      <c r="Z382" s="8"/>
      <c r="AC382" s="8" t="str">
        <f>IF(COUNTIFS(作業區!$W$2:$W$2000, T382, 作業區!$X$2:$X$2000, U382)&gt;0, "已存在", "未擴充")</f>
        <v>已存在</v>
      </c>
    </row>
    <row r="383" spans="1:29" ht="33" hidden="1">
      <c r="A383" s="8">
        <f t="shared" si="11"/>
        <v>382</v>
      </c>
      <c r="B383" s="5" t="s">
        <v>1641</v>
      </c>
      <c r="C383" s="5"/>
      <c r="D383" s="4" t="s">
        <v>2295</v>
      </c>
      <c r="E383" s="5" t="s">
        <v>790</v>
      </c>
      <c r="F383" s="5" t="s">
        <v>1683</v>
      </c>
      <c r="G383" s="5" t="s">
        <v>792</v>
      </c>
      <c r="H383" s="5" t="s">
        <v>793</v>
      </c>
      <c r="I383" s="4">
        <v>233765</v>
      </c>
      <c r="J383" s="4">
        <v>2432399</v>
      </c>
      <c r="K383" s="4">
        <v>232936.02799999999</v>
      </c>
      <c r="L383" s="4">
        <v>2432603.878</v>
      </c>
      <c r="M383" s="2">
        <v>101</v>
      </c>
      <c r="N383" s="5" t="s">
        <v>2296</v>
      </c>
      <c r="O383" s="29">
        <v>41145.291666666664</v>
      </c>
      <c r="P383" s="15" t="s">
        <v>2297</v>
      </c>
      <c r="Q383" s="4"/>
      <c r="R383" s="16" t="s">
        <v>269</v>
      </c>
      <c r="S383" s="16" t="s">
        <v>2298</v>
      </c>
      <c r="T383" s="5">
        <v>78.5</v>
      </c>
      <c r="U383" s="5">
        <v>220.5</v>
      </c>
      <c r="V383" s="16">
        <v>600</v>
      </c>
      <c r="W383" s="8">
        <f t="shared" si="10"/>
        <v>0</v>
      </c>
      <c r="Y383" s="8"/>
      <c r="Z383" s="8"/>
      <c r="AC383" s="8" t="str">
        <f>IF(COUNTIFS(作業區!$W$2:$W$2000, T383, 作業區!$X$2:$X$2000, U383)&gt;0, "已存在", "未擴充")</f>
        <v>已存在</v>
      </c>
    </row>
    <row r="384" spans="1:29" ht="66" hidden="1">
      <c r="A384" s="8">
        <f t="shared" si="11"/>
        <v>383</v>
      </c>
      <c r="B384" s="5" t="s">
        <v>920</v>
      </c>
      <c r="C384" s="5"/>
      <c r="D384" s="4" t="s">
        <v>2299</v>
      </c>
      <c r="E384" s="5" t="s">
        <v>1482</v>
      </c>
      <c r="F384" s="5" t="s">
        <v>2137</v>
      </c>
      <c r="G384" s="5" t="s">
        <v>2300</v>
      </c>
      <c r="H384" s="5" t="s">
        <v>2301</v>
      </c>
      <c r="I384" s="4">
        <v>329805</v>
      </c>
      <c r="J384" s="4">
        <v>2707731</v>
      </c>
      <c r="K384" s="4">
        <v>328976.31800000003</v>
      </c>
      <c r="L384" s="4">
        <v>2707937.03</v>
      </c>
      <c r="M384" s="2">
        <v>101</v>
      </c>
      <c r="N384" s="5" t="s">
        <v>2302</v>
      </c>
      <c r="O384" s="29">
        <v>41123.083333333336</v>
      </c>
      <c r="P384" s="15" t="s">
        <v>2303</v>
      </c>
      <c r="Q384" s="4"/>
      <c r="R384" s="16" t="s">
        <v>52</v>
      </c>
      <c r="S384" s="16" t="s">
        <v>2304</v>
      </c>
      <c r="T384" s="5">
        <v>74.5</v>
      </c>
      <c r="U384" s="5">
        <v>668.9</v>
      </c>
      <c r="V384" s="16">
        <v>450</v>
      </c>
      <c r="W384" s="8">
        <f t="shared" si="10"/>
        <v>0</v>
      </c>
      <c r="Y384" s="8"/>
      <c r="Z384" s="8"/>
      <c r="AC384" s="8" t="str">
        <f>IF(COUNTIFS(作業區!$W$2:$W$2000, T384, 作業區!$X$2:$X$2000, U384)&gt;0, "已存在", "未擴充")</f>
        <v>已存在</v>
      </c>
    </row>
    <row r="385" spans="1:29" ht="33">
      <c r="A385" s="8">
        <f t="shared" si="11"/>
        <v>384</v>
      </c>
      <c r="B385" s="5" t="s">
        <v>739</v>
      </c>
      <c r="C385" s="5"/>
      <c r="D385" s="4" t="s">
        <v>2305</v>
      </c>
      <c r="E385" s="5" t="s">
        <v>2306</v>
      </c>
      <c r="F385" s="5" t="s">
        <v>2307</v>
      </c>
      <c r="G385" s="5" t="s">
        <v>2308</v>
      </c>
      <c r="H385" s="5"/>
      <c r="I385" s="4">
        <v>293494</v>
      </c>
      <c r="J385" s="4">
        <v>2752697</v>
      </c>
      <c r="K385" s="4">
        <v>292665.20799999998</v>
      </c>
      <c r="L385" s="4">
        <v>2752903.17</v>
      </c>
      <c r="M385" s="2">
        <v>101</v>
      </c>
      <c r="N385" s="5" t="s">
        <v>2302</v>
      </c>
      <c r="O385" s="29">
        <v>41123.333333333336</v>
      </c>
      <c r="P385" s="15" t="s">
        <v>2309</v>
      </c>
      <c r="Q385" s="4"/>
      <c r="R385" s="16" t="s">
        <v>2310</v>
      </c>
      <c r="S385" s="16" t="s">
        <v>2311</v>
      </c>
      <c r="T385" s="5">
        <v>66</v>
      </c>
      <c r="U385" s="5">
        <v>595.6</v>
      </c>
      <c r="V385" s="16">
        <v>550</v>
      </c>
      <c r="W385" s="8">
        <f t="shared" si="10"/>
        <v>0</v>
      </c>
      <c r="Y385" s="8"/>
      <c r="Z385" s="8"/>
      <c r="AC385" s="8" t="str">
        <f>IF(COUNTIFS(作業區!$W$2:$W$2000, T385, 作業區!$X$2:$X$2000, U385)&gt;0, "已存在", "未擴充")</f>
        <v>已存在</v>
      </c>
    </row>
    <row r="386" spans="1:29" ht="33" hidden="1">
      <c r="A386" s="8">
        <f t="shared" si="11"/>
        <v>385</v>
      </c>
      <c r="B386" s="5" t="s">
        <v>920</v>
      </c>
      <c r="C386" s="5"/>
      <c r="D386" s="4" t="s">
        <v>2312</v>
      </c>
      <c r="E386" s="5" t="s">
        <v>985</v>
      </c>
      <c r="F386" s="5" t="s">
        <v>2313</v>
      </c>
      <c r="G386" s="5" t="s">
        <v>2314</v>
      </c>
      <c r="H386" s="5" t="s">
        <v>2315</v>
      </c>
      <c r="I386" s="4">
        <v>322954</v>
      </c>
      <c r="J386" s="4">
        <v>2682570</v>
      </c>
      <c r="K386" s="4">
        <v>322125.30900000001</v>
      </c>
      <c r="L386" s="4">
        <v>2682775.9389999998</v>
      </c>
      <c r="M386" s="2">
        <v>101</v>
      </c>
      <c r="N386" s="5" t="s">
        <v>2302</v>
      </c>
      <c r="O386" s="29">
        <v>41123.166666666664</v>
      </c>
      <c r="P386" s="15" t="s">
        <v>2316</v>
      </c>
      <c r="Q386" s="4"/>
      <c r="R386" s="16" t="s">
        <v>2317</v>
      </c>
      <c r="S386" s="16" t="s">
        <v>2318</v>
      </c>
      <c r="T386" s="5">
        <v>120</v>
      </c>
      <c r="U386" s="5">
        <v>717.6</v>
      </c>
      <c r="V386" s="16">
        <v>450</v>
      </c>
      <c r="W386" s="8">
        <f t="shared" ref="W386:W449" si="12">IF(IF(ISERROR(SEARCH("-",P386))=TRUE,0,1)=1,IF(H386&lt;&gt;"",0,1),0)</f>
        <v>0</v>
      </c>
      <c r="Y386" s="8"/>
      <c r="Z386" s="8">
        <v>70000</v>
      </c>
      <c r="AC386" s="8" t="str">
        <f>IF(COUNTIFS(作業區!$W$2:$W$2000, T386, 作業區!$X$2:$X$2000, U386)&gt;0, "已存在", "未擴充")</f>
        <v>已存在</v>
      </c>
    </row>
    <row r="387" spans="1:29" ht="33" hidden="1">
      <c r="A387" s="8">
        <f t="shared" si="11"/>
        <v>386</v>
      </c>
      <c r="B387" s="5" t="s">
        <v>920</v>
      </c>
      <c r="C387" s="5"/>
      <c r="D387" s="4" t="s">
        <v>2319</v>
      </c>
      <c r="E387" s="5" t="s">
        <v>985</v>
      </c>
      <c r="F387" s="5" t="s">
        <v>2313</v>
      </c>
      <c r="G387" s="5" t="s">
        <v>2314</v>
      </c>
      <c r="H387" s="5" t="s">
        <v>2320</v>
      </c>
      <c r="I387" s="4">
        <v>325310</v>
      </c>
      <c r="J387" s="4">
        <v>2685220</v>
      </c>
      <c r="K387" s="4">
        <v>324481.315</v>
      </c>
      <c r="L387" s="4">
        <v>2685425.949</v>
      </c>
      <c r="M387" s="2">
        <v>101</v>
      </c>
      <c r="N387" s="5" t="s">
        <v>2302</v>
      </c>
      <c r="O387" s="29">
        <v>41123.166666666664</v>
      </c>
      <c r="P387" s="15" t="s">
        <v>2321</v>
      </c>
      <c r="Q387" s="4"/>
      <c r="R387" s="16" t="s">
        <v>2322</v>
      </c>
      <c r="S387" s="16" t="s">
        <v>2318</v>
      </c>
      <c r="T387" s="5">
        <v>120</v>
      </c>
      <c r="U387" s="5">
        <v>717.6</v>
      </c>
      <c r="V387" s="16">
        <v>450</v>
      </c>
      <c r="W387" s="8">
        <f t="shared" si="12"/>
        <v>0</v>
      </c>
      <c r="Y387" s="8"/>
      <c r="Z387" s="8">
        <v>315000</v>
      </c>
      <c r="AC387" s="8" t="str">
        <f>IF(COUNTIFS(作業區!$W$2:$W$2000, T387, 作業區!$X$2:$X$2000, U387)&gt;0, "已存在", "未擴充")</f>
        <v>已存在</v>
      </c>
    </row>
    <row r="388" spans="1:29" ht="33" hidden="1">
      <c r="A388" s="8">
        <f t="shared" si="11"/>
        <v>387</v>
      </c>
      <c r="B388" s="5" t="s">
        <v>920</v>
      </c>
      <c r="C388" s="5"/>
      <c r="D388" s="4" t="s">
        <v>2323</v>
      </c>
      <c r="E388" s="5" t="s">
        <v>985</v>
      </c>
      <c r="F388" s="5" t="s">
        <v>2313</v>
      </c>
      <c r="G388" s="5" t="s">
        <v>2314</v>
      </c>
      <c r="H388" s="5" t="s">
        <v>2324</v>
      </c>
      <c r="I388" s="4">
        <v>325135</v>
      </c>
      <c r="J388" s="4">
        <v>2684676</v>
      </c>
      <c r="K388" s="4">
        <v>324306.315</v>
      </c>
      <c r="L388" s="4">
        <v>2684881.9470000002</v>
      </c>
      <c r="M388" s="2">
        <v>101</v>
      </c>
      <c r="N388" s="5" t="s">
        <v>2302</v>
      </c>
      <c r="O388" s="29">
        <v>41123.166666666664</v>
      </c>
      <c r="P388" s="15" t="s">
        <v>2325</v>
      </c>
      <c r="Q388" s="4"/>
      <c r="R388" s="16" t="s">
        <v>2322</v>
      </c>
      <c r="S388" s="16" t="s">
        <v>2318</v>
      </c>
      <c r="T388" s="5">
        <v>120</v>
      </c>
      <c r="U388" s="5">
        <v>717.6</v>
      </c>
      <c r="V388" s="16">
        <v>450</v>
      </c>
      <c r="W388" s="8">
        <f t="shared" si="12"/>
        <v>0</v>
      </c>
      <c r="Y388" s="8"/>
      <c r="Z388" s="8">
        <v>120000</v>
      </c>
      <c r="AC388" s="8" t="str">
        <f>IF(COUNTIFS(作業區!$W$2:$W$2000, T388, 作業區!$X$2:$X$2000, U388)&gt;0, "已存在", "未擴充")</f>
        <v>已存在</v>
      </c>
    </row>
    <row r="389" spans="1:29" ht="33">
      <c r="A389" s="8">
        <f t="shared" si="11"/>
        <v>388</v>
      </c>
      <c r="B389" s="5" t="s">
        <v>1713</v>
      </c>
      <c r="C389" s="5"/>
      <c r="D389" s="4" t="s">
        <v>2326</v>
      </c>
      <c r="E389" s="5" t="s">
        <v>1482</v>
      </c>
      <c r="F389" s="5" t="s">
        <v>2131</v>
      </c>
      <c r="G389" s="5" t="s">
        <v>2327</v>
      </c>
      <c r="H389" s="5" t="s">
        <v>2328</v>
      </c>
      <c r="I389" s="4">
        <v>288386</v>
      </c>
      <c r="J389" s="4">
        <v>2703602</v>
      </c>
      <c r="K389" s="4">
        <v>287557.20500000002</v>
      </c>
      <c r="L389" s="4">
        <v>2703808.0040000002</v>
      </c>
      <c r="M389" s="2">
        <v>101</v>
      </c>
      <c r="N389" s="5" t="s">
        <v>2302</v>
      </c>
      <c r="O389" s="29">
        <v>41124</v>
      </c>
      <c r="P389" s="15" t="s">
        <v>2329</v>
      </c>
      <c r="Q389" s="4"/>
      <c r="R389" s="16" t="s">
        <v>2330</v>
      </c>
      <c r="S389" s="16" t="s">
        <v>2331</v>
      </c>
      <c r="T389" s="5">
        <v>39.5</v>
      </c>
      <c r="U389" s="5">
        <v>602.6</v>
      </c>
      <c r="V389" s="16">
        <v>550</v>
      </c>
      <c r="W389" s="8">
        <f t="shared" si="12"/>
        <v>0</v>
      </c>
      <c r="Y389" s="8"/>
      <c r="Z389" s="8"/>
      <c r="AC389" s="8" t="str">
        <f>IF(COUNTIFS(作業區!$W$2:$W$2000, T389, 作業區!$X$2:$X$2000, U389)&gt;0, "已存在", "未擴充")</f>
        <v>已存在</v>
      </c>
    </row>
    <row r="390" spans="1:29">
      <c r="A390" s="8">
        <f t="shared" si="11"/>
        <v>389</v>
      </c>
      <c r="B390" s="5" t="s">
        <v>1713</v>
      </c>
      <c r="C390" s="5"/>
      <c r="D390" s="4" t="s">
        <v>2332</v>
      </c>
      <c r="E390" s="5" t="s">
        <v>1482</v>
      </c>
      <c r="F390" s="5" t="s">
        <v>2131</v>
      </c>
      <c r="G390" s="5" t="s">
        <v>2333</v>
      </c>
      <c r="H390" s="5" t="s">
        <v>2334</v>
      </c>
      <c r="I390" s="4">
        <v>295754</v>
      </c>
      <c r="J390" s="4">
        <v>2713921</v>
      </c>
      <c r="K390" s="4">
        <v>294925.223</v>
      </c>
      <c r="L390" s="4">
        <v>2714127.0410000002</v>
      </c>
      <c r="M390" s="2">
        <v>101</v>
      </c>
      <c r="N390" s="5" t="s">
        <v>2302</v>
      </c>
      <c r="O390" s="29">
        <v>41123.125</v>
      </c>
      <c r="P390" s="32" t="s">
        <v>2335</v>
      </c>
      <c r="Q390" s="4"/>
      <c r="R390" s="16" t="s">
        <v>2336</v>
      </c>
      <c r="S390" s="16" t="s">
        <v>2331</v>
      </c>
      <c r="T390" s="5">
        <v>39.5</v>
      </c>
      <c r="U390" s="5">
        <v>602.6</v>
      </c>
      <c r="V390" s="16">
        <v>550</v>
      </c>
      <c r="W390" s="8">
        <f t="shared" si="12"/>
        <v>0</v>
      </c>
      <c r="Y390" s="8"/>
      <c r="Z390" s="8"/>
      <c r="AC390" s="8" t="str">
        <f>IF(COUNTIFS(作業區!$W$2:$W$2000, T390, 作業區!$X$2:$X$2000, U390)&gt;0, "已存在", "未擴充")</f>
        <v>已存在</v>
      </c>
    </row>
    <row r="391" spans="1:29" ht="33" hidden="1">
      <c r="A391" s="8">
        <f t="shared" si="11"/>
        <v>390</v>
      </c>
      <c r="B391" s="5" t="s">
        <v>1745</v>
      </c>
      <c r="C391" s="5"/>
      <c r="D391" s="4" t="s">
        <v>2337</v>
      </c>
      <c r="E391" s="5" t="s">
        <v>1482</v>
      </c>
      <c r="F391" s="5" t="s">
        <v>2137</v>
      </c>
      <c r="G391" s="5" t="s">
        <v>2300</v>
      </c>
      <c r="H391" s="1" t="s">
        <v>2338</v>
      </c>
      <c r="I391" s="4">
        <v>329527</v>
      </c>
      <c r="J391" s="4">
        <v>2708608</v>
      </c>
      <c r="K391" s="4">
        <v>328698.31699999998</v>
      </c>
      <c r="L391" s="4">
        <v>2708814.0329999998</v>
      </c>
      <c r="M391" s="2">
        <v>101</v>
      </c>
      <c r="N391" s="5" t="s">
        <v>2302</v>
      </c>
      <c r="O391" s="29">
        <v>41123.083333333336</v>
      </c>
      <c r="P391" s="15" t="s">
        <v>2339</v>
      </c>
      <c r="Q391" s="4"/>
      <c r="R391" s="16" t="s">
        <v>52</v>
      </c>
      <c r="S391" s="16" t="s">
        <v>2304</v>
      </c>
      <c r="T391" s="5">
        <v>74.5</v>
      </c>
      <c r="U391" s="5">
        <v>668.9</v>
      </c>
      <c r="V391" s="16">
        <v>450</v>
      </c>
      <c r="W391" s="8">
        <f t="shared" si="12"/>
        <v>0</v>
      </c>
      <c r="Y391" s="8"/>
      <c r="Z391" s="8"/>
      <c r="AC391" s="8" t="str">
        <f>IF(COUNTIFS(作業區!$W$2:$W$2000, T391, 作業區!$X$2:$X$2000, U391)&gt;0, "已存在", "未擴充")</f>
        <v>已存在</v>
      </c>
    </row>
    <row r="392" spans="1:29" ht="49.5">
      <c r="A392" s="8">
        <f t="shared" si="11"/>
        <v>391</v>
      </c>
      <c r="B392" s="5" t="s">
        <v>893</v>
      </c>
      <c r="C392" s="5"/>
      <c r="D392" s="4" t="s">
        <v>2340</v>
      </c>
      <c r="E392" s="5" t="s">
        <v>794</v>
      </c>
      <c r="F392" s="5" t="s">
        <v>2341</v>
      </c>
      <c r="G392" s="5" t="s">
        <v>2342</v>
      </c>
      <c r="H392" s="5"/>
      <c r="I392" s="4">
        <v>250007</v>
      </c>
      <c r="J392" s="4">
        <v>2723968</v>
      </c>
      <c r="K392" s="4">
        <v>249178.098</v>
      </c>
      <c r="L392" s="4">
        <v>2724174.07</v>
      </c>
      <c r="M392" s="2">
        <v>101</v>
      </c>
      <c r="N392" s="5" t="s">
        <v>2302</v>
      </c>
      <c r="O392" s="29">
        <v>41124</v>
      </c>
      <c r="P392" s="15" t="s">
        <v>2343</v>
      </c>
      <c r="Q392" s="4"/>
      <c r="R392" s="16" t="s">
        <v>2344</v>
      </c>
      <c r="S392" s="16" t="s">
        <v>2345</v>
      </c>
      <c r="T392" s="5">
        <v>9</v>
      </c>
      <c r="U392" s="5">
        <v>797.9</v>
      </c>
      <c r="V392" s="16">
        <v>500</v>
      </c>
      <c r="W392" s="8">
        <f t="shared" si="12"/>
        <v>0</v>
      </c>
      <c r="Y392" s="8"/>
      <c r="Z392" s="8"/>
      <c r="AC392" s="8" t="str">
        <f>IF(COUNTIFS(作業區!$W$2:$W$2000, T392, 作業區!$X$2:$X$2000, U392)&gt;0, "已存在", "未擴充")</f>
        <v>已存在</v>
      </c>
    </row>
    <row r="393" spans="1:29" ht="49.5">
      <c r="A393" s="8">
        <f t="shared" ref="A393:A456" si="13">ROW(A393)-1</f>
        <v>392</v>
      </c>
      <c r="B393" s="5" t="s">
        <v>893</v>
      </c>
      <c r="C393" s="5"/>
      <c r="D393" s="4" t="s">
        <v>2346</v>
      </c>
      <c r="E393" s="5" t="s">
        <v>1482</v>
      </c>
      <c r="F393" s="5" t="s">
        <v>2131</v>
      </c>
      <c r="G393" s="5" t="s">
        <v>2327</v>
      </c>
      <c r="H393" s="5"/>
      <c r="I393" s="4">
        <v>288715</v>
      </c>
      <c r="J393" s="4">
        <v>2705232</v>
      </c>
      <c r="K393" s="4">
        <v>287886.20500000002</v>
      </c>
      <c r="L393" s="4">
        <v>2705438.01</v>
      </c>
      <c r="M393" s="2">
        <v>101</v>
      </c>
      <c r="N393" s="5" t="s">
        <v>2302</v>
      </c>
      <c r="O393" s="29">
        <v>41123.5</v>
      </c>
      <c r="P393" s="15" t="s">
        <v>2347</v>
      </c>
      <c r="Q393" s="4"/>
      <c r="R393" s="16" t="s">
        <v>2330</v>
      </c>
      <c r="S393" s="16" t="s">
        <v>2331</v>
      </c>
      <c r="T393" s="5">
        <v>22.5</v>
      </c>
      <c r="U393" s="5">
        <v>733.02</v>
      </c>
      <c r="V393" s="16">
        <v>550</v>
      </c>
      <c r="W393" s="8">
        <f t="shared" si="12"/>
        <v>0</v>
      </c>
      <c r="Y393" s="8"/>
      <c r="Z393" s="8"/>
      <c r="AC393" s="8" t="str">
        <f>IF(COUNTIFS(作業區!$W$2:$W$2000, T393, 作業區!$X$2:$X$2000, U393)&gt;0, "已存在", "未擴充")</f>
        <v>已存在</v>
      </c>
    </row>
    <row r="394" spans="1:29" ht="33">
      <c r="A394" s="8">
        <f t="shared" si="13"/>
        <v>393</v>
      </c>
      <c r="B394" s="5" t="s">
        <v>893</v>
      </c>
      <c r="C394" s="5"/>
      <c r="D394" s="4" t="s">
        <v>2348</v>
      </c>
      <c r="E394" s="5" t="s">
        <v>794</v>
      </c>
      <c r="F394" s="5" t="s">
        <v>1383</v>
      </c>
      <c r="G394" s="5" t="s">
        <v>2349</v>
      </c>
      <c r="H394" s="5"/>
      <c r="I394" s="4">
        <v>236307</v>
      </c>
      <c r="J394" s="4">
        <v>2700456</v>
      </c>
      <c r="K394" s="4">
        <v>235478.05900000001</v>
      </c>
      <c r="L394" s="4">
        <v>2700661.99</v>
      </c>
      <c r="M394" s="2">
        <v>101</v>
      </c>
      <c r="N394" s="5" t="s">
        <v>2302</v>
      </c>
      <c r="O394" s="29">
        <v>41123.666666666664</v>
      </c>
      <c r="P394" s="15" t="s">
        <v>2350</v>
      </c>
      <c r="Q394" s="4"/>
      <c r="R394" s="16" t="s">
        <v>2351</v>
      </c>
      <c r="S394" s="16" t="s">
        <v>1381</v>
      </c>
      <c r="T394" s="5">
        <v>53.5</v>
      </c>
      <c r="U394" s="5">
        <v>570.70000000000005</v>
      </c>
      <c r="V394" s="16">
        <v>500</v>
      </c>
      <c r="W394" s="8">
        <f t="shared" si="12"/>
        <v>0</v>
      </c>
      <c r="Y394" s="8"/>
      <c r="Z394" s="8"/>
      <c r="AC394" s="8" t="str">
        <f>IF(COUNTIFS(作業區!$W$2:$W$2000, T394, 作業區!$X$2:$X$2000, U394)&gt;0, "已存在", "未擴充")</f>
        <v>已存在</v>
      </c>
    </row>
    <row r="395" spans="1:29" ht="98.25">
      <c r="A395" s="8">
        <f t="shared" si="13"/>
        <v>394</v>
      </c>
      <c r="B395" s="5" t="s">
        <v>754</v>
      </c>
      <c r="C395" s="5"/>
      <c r="D395" s="4" t="s">
        <v>2352</v>
      </c>
      <c r="E395" s="5" t="s">
        <v>1061</v>
      </c>
      <c r="F395" s="5" t="s">
        <v>1062</v>
      </c>
      <c r="G395" s="5" t="s">
        <v>2353</v>
      </c>
      <c r="H395" s="5"/>
      <c r="I395" s="4">
        <v>207341</v>
      </c>
      <c r="J395" s="4">
        <v>2597843</v>
      </c>
      <c r="K395" s="4">
        <v>206511.954</v>
      </c>
      <c r="L395" s="4">
        <v>2598048.61</v>
      </c>
      <c r="M395" s="2">
        <v>102</v>
      </c>
      <c r="N395" s="2" t="s">
        <v>2354</v>
      </c>
      <c r="O395" s="29">
        <v>41490.708333333336</v>
      </c>
      <c r="P395" s="15" t="s">
        <v>2355</v>
      </c>
      <c r="Q395" s="4"/>
      <c r="R395" s="16" t="s">
        <v>2356</v>
      </c>
      <c r="S395" s="16" t="s">
        <v>2357</v>
      </c>
      <c r="T395" s="5">
        <v>22.5</v>
      </c>
      <c r="U395" s="5">
        <v>67.5</v>
      </c>
      <c r="V395" s="16">
        <v>350</v>
      </c>
      <c r="W395" s="8">
        <f t="shared" si="12"/>
        <v>0</v>
      </c>
      <c r="Y395" s="8"/>
      <c r="Z395" s="8"/>
      <c r="AC395" s="8" t="str">
        <f>IF(COUNTIFS(作業區!$W$2:$W$2000, T395, 作業區!$X$2:$X$2000, U395)&gt;0, "已存在", "未擴充")</f>
        <v>已存在</v>
      </c>
    </row>
    <row r="396" spans="1:29" ht="97.5">
      <c r="A396" s="8">
        <f t="shared" si="13"/>
        <v>395</v>
      </c>
      <c r="B396" s="5" t="s">
        <v>754</v>
      </c>
      <c r="C396" s="5"/>
      <c r="D396" s="4" t="s">
        <v>2358</v>
      </c>
      <c r="E396" s="5" t="s">
        <v>846</v>
      </c>
      <c r="F396" s="5" t="s">
        <v>1383</v>
      </c>
      <c r="G396" s="5" t="s">
        <v>2359</v>
      </c>
      <c r="H396" s="5"/>
      <c r="I396" s="4">
        <v>237136</v>
      </c>
      <c r="J396" s="4">
        <v>2695313</v>
      </c>
      <c r="K396" s="4">
        <v>236307.06099999999</v>
      </c>
      <c r="L396" s="4">
        <v>2695518.9720000001</v>
      </c>
      <c r="M396" s="2">
        <v>102</v>
      </c>
      <c r="N396" s="2" t="s">
        <v>2360</v>
      </c>
      <c r="O396" s="29">
        <v>41459.041666666664</v>
      </c>
      <c r="P396" s="15" t="s">
        <v>2361</v>
      </c>
      <c r="Q396" s="4"/>
      <c r="R396" s="16" t="s">
        <v>2362</v>
      </c>
      <c r="S396" s="16" t="s">
        <v>2363</v>
      </c>
      <c r="T396" s="5">
        <v>0</v>
      </c>
      <c r="U396" s="5">
        <v>517.4</v>
      </c>
      <c r="V396" s="16">
        <v>500</v>
      </c>
      <c r="W396" s="8">
        <f t="shared" si="12"/>
        <v>0</v>
      </c>
      <c r="Y396" s="8"/>
      <c r="Z396" s="8"/>
      <c r="AC396" s="8" t="str">
        <f>IF(COUNTIFS(作業區!$W$2:$W$2000, T396, 作業區!$X$2:$X$2000, U396)&gt;0, "已存在", "未擴充")</f>
        <v>已存在</v>
      </c>
    </row>
    <row r="397" spans="1:29" ht="97.5" hidden="1">
      <c r="A397" s="8">
        <f t="shared" si="13"/>
        <v>396</v>
      </c>
      <c r="B397" s="5" t="s">
        <v>1073</v>
      </c>
      <c r="C397" s="5"/>
      <c r="D397" s="4" t="s">
        <v>2364</v>
      </c>
      <c r="E397" s="5" t="s">
        <v>1897</v>
      </c>
      <c r="F397" s="5" t="s">
        <v>1908</v>
      </c>
      <c r="G397" s="5" t="s">
        <v>2365</v>
      </c>
      <c r="H397" s="5" t="s">
        <v>1988</v>
      </c>
      <c r="I397" s="4">
        <v>217142</v>
      </c>
      <c r="J397" s="4">
        <v>2553835</v>
      </c>
      <c r="K397" s="4">
        <v>216312.97899999999</v>
      </c>
      <c r="L397" s="4">
        <v>2554040.4270000001</v>
      </c>
      <c r="M397" s="2">
        <v>102</v>
      </c>
      <c r="N397" s="2" t="s">
        <v>2360</v>
      </c>
      <c r="O397" s="29">
        <v>41468.708333333336</v>
      </c>
      <c r="P397" s="15" t="s">
        <v>2366</v>
      </c>
      <c r="Q397" s="4"/>
      <c r="R397" s="16" t="s">
        <v>225</v>
      </c>
      <c r="S397" s="16" t="s">
        <v>1224</v>
      </c>
      <c r="T397" s="5">
        <v>0.5</v>
      </c>
      <c r="U397" s="5">
        <v>344.2</v>
      </c>
      <c r="V397" s="16">
        <v>250</v>
      </c>
      <c r="W397" s="8">
        <f t="shared" si="12"/>
        <v>0</v>
      </c>
      <c r="Y397" s="8"/>
      <c r="Z397" s="8"/>
      <c r="AC397" s="8" t="str">
        <f>IF(COUNTIFS(作業區!$W$2:$W$2000, T397, 作業區!$X$2:$X$2000, U397)&gt;0, "已存在", "未擴充")</f>
        <v>已存在</v>
      </c>
    </row>
    <row r="398" spans="1:29" ht="82.5">
      <c r="A398" s="8">
        <f t="shared" si="13"/>
        <v>397</v>
      </c>
      <c r="B398" s="5" t="s">
        <v>739</v>
      </c>
      <c r="C398" s="5"/>
      <c r="D398" s="4" t="s">
        <v>2367</v>
      </c>
      <c r="E398" s="2" t="s">
        <v>756</v>
      </c>
      <c r="F398" s="5" t="s">
        <v>757</v>
      </c>
      <c r="G398" s="5" t="s">
        <v>2245</v>
      </c>
      <c r="H398" s="5"/>
      <c r="I398" s="4">
        <v>242875</v>
      </c>
      <c r="J398" s="4">
        <v>2675369</v>
      </c>
      <c r="K398" s="4">
        <v>242046.07699999999</v>
      </c>
      <c r="L398" s="4">
        <v>2675574.9010000001</v>
      </c>
      <c r="M398" s="2">
        <v>102</v>
      </c>
      <c r="N398" s="2" t="s">
        <v>2360</v>
      </c>
      <c r="O398" s="29">
        <v>41468.291666666664</v>
      </c>
      <c r="P398" s="15" t="s">
        <v>2368</v>
      </c>
      <c r="Q398" s="4"/>
      <c r="R398" s="16" t="s">
        <v>2369</v>
      </c>
      <c r="S398" s="16" t="s">
        <v>2370</v>
      </c>
      <c r="T398" s="5">
        <v>64</v>
      </c>
      <c r="U398" s="5">
        <v>320.23</v>
      </c>
      <c r="V398" s="16">
        <v>300</v>
      </c>
      <c r="W398" s="8">
        <f t="shared" si="12"/>
        <v>0</v>
      </c>
      <c r="Y398" s="8"/>
      <c r="Z398" s="8"/>
      <c r="AC398" s="8" t="str">
        <f>IF(COUNTIFS(作業區!$W$2:$W$2000, T398, 作業區!$X$2:$X$2000, U398)&gt;0, "已存在", "未擴充")</f>
        <v>已存在</v>
      </c>
    </row>
    <row r="399" spans="1:29" ht="66">
      <c r="A399" s="8">
        <f t="shared" si="13"/>
        <v>398</v>
      </c>
      <c r="B399" s="5" t="s">
        <v>739</v>
      </c>
      <c r="C399" s="5"/>
      <c r="D399" s="4" t="s">
        <v>2371</v>
      </c>
      <c r="E399" s="5" t="s">
        <v>769</v>
      </c>
      <c r="F399" s="5" t="s">
        <v>1290</v>
      </c>
      <c r="G399" s="5" t="s">
        <v>1291</v>
      </c>
      <c r="H399" s="5" t="s">
        <v>2372</v>
      </c>
      <c r="I399" s="4">
        <v>243396</v>
      </c>
      <c r="J399" s="4">
        <v>2637726</v>
      </c>
      <c r="K399" s="4">
        <v>242567.07699999999</v>
      </c>
      <c r="L399" s="4">
        <v>2637931.7609999999</v>
      </c>
      <c r="M399" s="2">
        <v>102</v>
      </c>
      <c r="N399" s="2" t="s">
        <v>2360</v>
      </c>
      <c r="O399" s="29">
        <v>41468.291666666664</v>
      </c>
      <c r="P399" s="15" t="s">
        <v>2373</v>
      </c>
      <c r="Q399" s="4"/>
      <c r="R399" s="16" t="s">
        <v>1294</v>
      </c>
      <c r="S399" s="16" t="s">
        <v>1295</v>
      </c>
      <c r="T399" s="5">
        <v>73.5</v>
      </c>
      <c r="U399" s="5">
        <v>194</v>
      </c>
      <c r="V399" s="16">
        <v>350</v>
      </c>
      <c r="W399" s="8">
        <f t="shared" si="12"/>
        <v>0</v>
      </c>
      <c r="Y399" s="8"/>
      <c r="Z399" s="8"/>
      <c r="AC399" s="8" t="str">
        <f>IF(COUNTIFS(作業區!$W$2:$W$2000, T399, 作業區!$X$2:$X$2000, U399)&gt;0, "已存在", "未擴充")</f>
        <v>已存在</v>
      </c>
    </row>
    <row r="400" spans="1:29" ht="49.5">
      <c r="A400" s="8">
        <f t="shared" si="13"/>
        <v>399</v>
      </c>
      <c r="B400" s="5" t="s">
        <v>739</v>
      </c>
      <c r="C400" s="5"/>
      <c r="D400" s="4" t="s">
        <v>2374</v>
      </c>
      <c r="E400" s="5" t="s">
        <v>1061</v>
      </c>
      <c r="F400" s="5" t="s">
        <v>2375</v>
      </c>
      <c r="G400" s="5" t="s">
        <v>2376</v>
      </c>
      <c r="H400" s="5" t="s">
        <v>2377</v>
      </c>
      <c r="I400" s="4">
        <v>224136</v>
      </c>
      <c r="J400" s="4">
        <v>2609927</v>
      </c>
      <c r="K400" s="4">
        <v>223307.01199999999</v>
      </c>
      <c r="L400" s="4">
        <v>2610132.6549999998</v>
      </c>
      <c r="M400" s="2">
        <v>102</v>
      </c>
      <c r="N400" s="2" t="s">
        <v>2354</v>
      </c>
      <c r="O400" s="29">
        <v>41461.625</v>
      </c>
      <c r="P400" s="15" t="s">
        <v>2378</v>
      </c>
      <c r="Q400" s="4"/>
      <c r="R400" s="16" t="s">
        <v>206</v>
      </c>
      <c r="S400" s="16" t="s">
        <v>1559</v>
      </c>
      <c r="T400" s="5">
        <v>8.5</v>
      </c>
      <c r="U400" s="5">
        <v>55.5</v>
      </c>
      <c r="V400" s="16">
        <v>250</v>
      </c>
      <c r="W400" s="8">
        <f t="shared" si="12"/>
        <v>0</v>
      </c>
      <c r="Y400" s="8"/>
      <c r="Z400" s="8"/>
      <c r="AC400" s="8" t="str">
        <f>IF(COUNTIFS(作業區!$W$2:$W$2000, T400, 作業區!$X$2:$X$2000, U400)&gt;0, "已存在", "未擴充")</f>
        <v>已存在</v>
      </c>
    </row>
    <row r="401" spans="1:29" ht="66">
      <c r="A401" s="8">
        <f t="shared" si="13"/>
        <v>400</v>
      </c>
      <c r="B401" s="5" t="s">
        <v>754</v>
      </c>
      <c r="C401" s="5"/>
      <c r="D401" s="4" t="s">
        <v>2379</v>
      </c>
      <c r="E401" s="5" t="s">
        <v>769</v>
      </c>
      <c r="F401" s="5" t="s">
        <v>859</v>
      </c>
      <c r="G401" s="5" t="s">
        <v>2380</v>
      </c>
      <c r="H401" s="5"/>
      <c r="I401" s="4">
        <v>238437</v>
      </c>
      <c r="J401" s="4">
        <v>2615898</v>
      </c>
      <c r="K401" s="4">
        <v>237608.06</v>
      </c>
      <c r="L401" s="4">
        <v>2616103.6770000001</v>
      </c>
      <c r="M401" s="2">
        <v>102</v>
      </c>
      <c r="N401" s="2" t="s">
        <v>2381</v>
      </c>
      <c r="O401" s="29">
        <v>41427.583333333336</v>
      </c>
      <c r="P401" s="15" t="s">
        <v>2382</v>
      </c>
      <c r="Q401" s="4"/>
      <c r="R401" s="16" t="s">
        <v>1668</v>
      </c>
      <c r="S401" s="16" t="s">
        <v>1668</v>
      </c>
      <c r="T401" s="5" t="s">
        <v>1668</v>
      </c>
      <c r="U401" s="5" t="s">
        <v>1668</v>
      </c>
      <c r="V401" s="16" t="s">
        <v>1668</v>
      </c>
      <c r="W401" s="8">
        <f t="shared" si="12"/>
        <v>0</v>
      </c>
      <c r="Y401" s="8"/>
      <c r="Z401" s="8"/>
      <c r="AC401" s="8" t="str">
        <f>IF(COUNTIFS(作業區!$W$2:$W$2000, T401, 作業區!$X$2:$X$2000, U401)&gt;0, "已存在", "未擴充")</f>
        <v>已存在</v>
      </c>
    </row>
    <row r="402" spans="1:29" ht="82.5">
      <c r="A402" s="8">
        <f t="shared" si="13"/>
        <v>401</v>
      </c>
      <c r="B402" s="5" t="s">
        <v>754</v>
      </c>
      <c r="C402" s="5"/>
      <c r="D402" s="4" t="s">
        <v>2383</v>
      </c>
      <c r="E402" s="5" t="s">
        <v>769</v>
      </c>
      <c r="F402" s="5" t="s">
        <v>953</v>
      </c>
      <c r="G402" s="5" t="s">
        <v>1468</v>
      </c>
      <c r="H402" s="5"/>
      <c r="I402" s="4">
        <v>230051</v>
      </c>
      <c r="J402" s="4">
        <v>2625064</v>
      </c>
      <c r="K402" s="4">
        <v>229222.033</v>
      </c>
      <c r="L402" s="4">
        <v>2625269.713</v>
      </c>
      <c r="M402" s="2">
        <v>102</v>
      </c>
      <c r="N402" s="2" t="s">
        <v>2381</v>
      </c>
      <c r="O402" s="29">
        <v>41427.583333333336</v>
      </c>
      <c r="P402" s="15" t="s">
        <v>2384</v>
      </c>
      <c r="Q402" s="4"/>
      <c r="R402" s="16" t="s">
        <v>1668</v>
      </c>
      <c r="S402" s="16" t="s">
        <v>1668</v>
      </c>
      <c r="T402" s="5" t="s">
        <v>1668</v>
      </c>
      <c r="U402" s="5" t="s">
        <v>1668</v>
      </c>
      <c r="V402" s="16" t="s">
        <v>1668</v>
      </c>
      <c r="W402" s="8">
        <f t="shared" si="12"/>
        <v>0</v>
      </c>
      <c r="Y402" s="8"/>
      <c r="Z402" s="8"/>
      <c r="AC402" s="8" t="str">
        <f>IF(COUNTIFS(作業區!$W$2:$W$2000, T402, 作業區!$X$2:$X$2000, U402)&gt;0, "已存在", "未擴充")</f>
        <v>已存在</v>
      </c>
    </row>
    <row r="403" spans="1:29" ht="66">
      <c r="A403" s="8">
        <f t="shared" si="13"/>
        <v>402</v>
      </c>
      <c r="B403" s="5" t="s">
        <v>754</v>
      </c>
      <c r="C403" s="5"/>
      <c r="D403" s="4" t="s">
        <v>2385</v>
      </c>
      <c r="E403" s="5" t="s">
        <v>769</v>
      </c>
      <c r="F403" s="5" t="s">
        <v>859</v>
      </c>
      <c r="G403" s="5" t="s">
        <v>1404</v>
      </c>
      <c r="H403" s="5" t="s">
        <v>2386</v>
      </c>
      <c r="I403" s="4">
        <v>237469</v>
      </c>
      <c r="J403" s="4">
        <v>2622644</v>
      </c>
      <c r="K403" s="4">
        <v>236640.057</v>
      </c>
      <c r="L403" s="4">
        <v>2622849.7030000002</v>
      </c>
      <c r="M403" s="2">
        <v>102</v>
      </c>
      <c r="N403" s="2" t="s">
        <v>2387</v>
      </c>
      <c r="O403" s="29">
        <v>41414.041666666664</v>
      </c>
      <c r="P403" s="15" t="s">
        <v>2388</v>
      </c>
      <c r="Q403" s="4"/>
      <c r="R403" s="16" t="s">
        <v>2389</v>
      </c>
      <c r="S403" s="16" t="s">
        <v>1370</v>
      </c>
      <c r="T403" s="5">
        <v>0</v>
      </c>
      <c r="U403" s="5">
        <v>225.5</v>
      </c>
      <c r="V403" s="16">
        <v>250</v>
      </c>
      <c r="W403" s="8">
        <f t="shared" si="12"/>
        <v>0</v>
      </c>
      <c r="Y403" s="8"/>
      <c r="Z403" s="8"/>
      <c r="AC403" s="8" t="str">
        <f>IF(COUNTIFS(作業區!$W$2:$W$2000, T403, 作業區!$X$2:$X$2000, U403)&gt;0, "已存在", "未擴充")</f>
        <v>已存在</v>
      </c>
    </row>
    <row r="404" spans="1:29" ht="33" hidden="1">
      <c r="A404" s="8">
        <f t="shared" si="13"/>
        <v>403</v>
      </c>
      <c r="B404" s="5" t="s">
        <v>739</v>
      </c>
      <c r="C404" s="5"/>
      <c r="D404" s="4" t="s">
        <v>2390</v>
      </c>
      <c r="E404" s="5" t="s">
        <v>2391</v>
      </c>
      <c r="F404" s="5" t="s">
        <v>2392</v>
      </c>
      <c r="G404" s="5" t="s">
        <v>2393</v>
      </c>
      <c r="H404" s="5" t="s">
        <v>2394</v>
      </c>
      <c r="I404" s="4">
        <v>253887</v>
      </c>
      <c r="J404" s="4">
        <v>2513807</v>
      </c>
      <c r="K404" s="4">
        <v>253058.87</v>
      </c>
      <c r="L404" s="4">
        <v>2514015.0070000002</v>
      </c>
      <c r="M404" s="2">
        <v>103</v>
      </c>
      <c r="N404" s="2" t="s">
        <v>1447</v>
      </c>
      <c r="O404" s="29">
        <v>41903.458333333336</v>
      </c>
      <c r="P404" s="15" t="s">
        <v>2395</v>
      </c>
      <c r="Q404" s="4"/>
      <c r="R404" s="16" t="s">
        <v>2396</v>
      </c>
      <c r="S404" s="16" t="s">
        <v>2397</v>
      </c>
      <c r="T404" s="5">
        <v>35</v>
      </c>
      <c r="U404" s="5">
        <v>280</v>
      </c>
      <c r="V404" s="16">
        <v>500</v>
      </c>
      <c r="W404" s="8">
        <f t="shared" si="12"/>
        <v>0</v>
      </c>
      <c r="Y404" s="8"/>
      <c r="Z404" s="8"/>
      <c r="AC404" s="8" t="str">
        <f>IF(COUNTIFS(作業區!$W$2:$W$2000, T404, 作業區!$X$2:$X$2000, U404)&gt;0, "已存在", "未擴充")</f>
        <v>已存在</v>
      </c>
    </row>
    <row r="405" spans="1:29" ht="49.5">
      <c r="A405" s="8">
        <f t="shared" si="13"/>
        <v>404</v>
      </c>
      <c r="B405" s="5" t="s">
        <v>739</v>
      </c>
      <c r="C405" s="5"/>
      <c r="D405" s="4" t="s">
        <v>2398</v>
      </c>
      <c r="E405" s="5" t="s">
        <v>1482</v>
      </c>
      <c r="F405" s="5" t="s">
        <v>2137</v>
      </c>
      <c r="G405" s="5" t="s">
        <v>2399</v>
      </c>
      <c r="H405" s="5"/>
      <c r="I405" s="4">
        <v>325405</v>
      </c>
      <c r="J405" s="4">
        <v>2701797</v>
      </c>
      <c r="K405" s="4">
        <v>324574.53700000001</v>
      </c>
      <c r="L405" s="4">
        <v>2702001.6290000002</v>
      </c>
      <c r="M405" s="2">
        <v>103</v>
      </c>
      <c r="N405" s="2" t="s">
        <v>2400</v>
      </c>
      <c r="O405" s="29">
        <v>41843.125</v>
      </c>
      <c r="P405" s="15" t="s">
        <v>2401</v>
      </c>
      <c r="Q405" s="4"/>
      <c r="R405" s="16" t="s">
        <v>2402</v>
      </c>
      <c r="S405" s="16" t="s">
        <v>2304</v>
      </c>
      <c r="T405" s="5">
        <v>30</v>
      </c>
      <c r="U405" s="5">
        <v>125.35</v>
      </c>
      <c r="V405" s="16">
        <v>450</v>
      </c>
      <c r="W405" s="8">
        <f t="shared" si="12"/>
        <v>0</v>
      </c>
      <c r="Y405" s="8"/>
      <c r="Z405" s="8"/>
      <c r="AC405" s="8" t="str">
        <f>IF(COUNTIFS(作業區!$W$2:$W$2000, T405, 作業區!$X$2:$X$2000, U405)&gt;0, "已存在", "未擴充")</f>
        <v>已存在</v>
      </c>
    </row>
    <row r="406" spans="1:29" ht="33">
      <c r="A406" s="8">
        <f t="shared" si="13"/>
        <v>405</v>
      </c>
      <c r="B406" s="5" t="s">
        <v>754</v>
      </c>
      <c r="C406" s="5"/>
      <c r="D406" s="4" t="s">
        <v>2403</v>
      </c>
      <c r="E406" s="5" t="s">
        <v>1897</v>
      </c>
      <c r="F406" s="5" t="s">
        <v>2404</v>
      </c>
      <c r="G406" s="5" t="s">
        <v>2405</v>
      </c>
      <c r="H406" s="5"/>
      <c r="I406" s="4">
        <v>203536</v>
      </c>
      <c r="J406" s="4">
        <v>2539087</v>
      </c>
      <c r="K406" s="4">
        <v>202708.48499999999</v>
      </c>
      <c r="L406" s="4">
        <v>2539294.9440000001</v>
      </c>
      <c r="M406" s="2">
        <v>103</v>
      </c>
      <c r="N406" s="2" t="s">
        <v>2400</v>
      </c>
      <c r="O406" s="29" t="s">
        <v>2406</v>
      </c>
      <c r="P406" s="15" t="s">
        <v>2407</v>
      </c>
      <c r="Q406" s="4"/>
      <c r="R406" s="16" t="s">
        <v>2408</v>
      </c>
      <c r="S406" s="16" t="s">
        <v>1235</v>
      </c>
      <c r="T406" s="5">
        <v>60</v>
      </c>
      <c r="U406" s="5">
        <v>225</v>
      </c>
      <c r="V406" s="16">
        <v>450</v>
      </c>
      <c r="W406" s="8">
        <f t="shared" si="12"/>
        <v>0</v>
      </c>
      <c r="Y406" s="8"/>
      <c r="Z406" s="8"/>
      <c r="AC406" s="8" t="str">
        <f>IF(COUNTIFS(作業區!$W$2:$W$2000, T406, 作業區!$X$2:$X$2000, U406)&gt;0, "已存在", "未擴充")</f>
        <v>已存在</v>
      </c>
    </row>
    <row r="407" spans="1:29" ht="49.5" hidden="1">
      <c r="A407" s="8">
        <f t="shared" si="13"/>
        <v>406</v>
      </c>
      <c r="B407" s="5" t="s">
        <v>739</v>
      </c>
      <c r="C407" s="5"/>
      <c r="D407" s="4" t="s">
        <v>2409</v>
      </c>
      <c r="E407" s="5" t="s">
        <v>985</v>
      </c>
      <c r="F407" s="5" t="s">
        <v>2410</v>
      </c>
      <c r="G407" s="5" t="s">
        <v>2411</v>
      </c>
      <c r="H407" s="5" t="s">
        <v>2412</v>
      </c>
      <c r="I407" s="4">
        <v>287851</v>
      </c>
      <c r="J407" s="4">
        <v>2603394</v>
      </c>
      <c r="K407" s="4">
        <v>287021.76</v>
      </c>
      <c r="L407" s="4">
        <v>2603600.398</v>
      </c>
      <c r="M407" s="2">
        <v>103</v>
      </c>
      <c r="N407" s="2" t="s">
        <v>2400</v>
      </c>
      <c r="O407" s="29">
        <v>41843</v>
      </c>
      <c r="P407" s="15" t="s">
        <v>2413</v>
      </c>
      <c r="Q407" s="4"/>
      <c r="R407" s="16" t="s">
        <v>1830</v>
      </c>
      <c r="S407" s="16" t="s">
        <v>2414</v>
      </c>
      <c r="T407" s="5">
        <v>74.5</v>
      </c>
      <c r="U407" s="5">
        <v>543.5</v>
      </c>
      <c r="V407" s="16">
        <v>500</v>
      </c>
      <c r="W407" s="8">
        <f t="shared" si="12"/>
        <v>0</v>
      </c>
      <c r="Y407" s="8"/>
      <c r="Z407" s="8"/>
      <c r="AC407" s="8" t="str">
        <f>IF(COUNTIFS(作業區!$W$2:$W$2000, T407, 作業區!$X$2:$X$2000, U407)&gt;0, "已存在", "未擴充")</f>
        <v>已存在</v>
      </c>
    </row>
    <row r="408" spans="1:29" ht="33">
      <c r="A408" s="8">
        <f t="shared" si="13"/>
        <v>407</v>
      </c>
      <c r="B408" s="5" t="s">
        <v>739</v>
      </c>
      <c r="C408" s="5"/>
      <c r="D408" s="4" t="s">
        <v>2415</v>
      </c>
      <c r="E408" s="5" t="s">
        <v>2391</v>
      </c>
      <c r="F408" s="5" t="s">
        <v>1503</v>
      </c>
      <c r="G408" s="5" t="s">
        <v>1678</v>
      </c>
      <c r="H408" s="5" t="s">
        <v>1757</v>
      </c>
      <c r="I408" s="4">
        <v>241960</v>
      </c>
      <c r="J408" s="4">
        <v>2483523</v>
      </c>
      <c r="K408" s="4">
        <v>241132.253</v>
      </c>
      <c r="L408" s="4">
        <v>2483731.554</v>
      </c>
      <c r="M408" s="2">
        <v>103</v>
      </c>
      <c r="N408" s="2" t="s">
        <v>2416</v>
      </c>
      <c r="O408" s="29">
        <v>41805.958333333336</v>
      </c>
      <c r="P408" s="15" t="s">
        <v>2417</v>
      </c>
      <c r="Q408" s="4"/>
      <c r="R408" s="16" t="s">
        <v>2418</v>
      </c>
      <c r="S408" s="16" t="s">
        <v>1718</v>
      </c>
      <c r="T408" s="5">
        <v>53</v>
      </c>
      <c r="U408" s="5">
        <v>96.3</v>
      </c>
      <c r="V408" s="16">
        <v>450</v>
      </c>
      <c r="W408" s="8">
        <f t="shared" si="12"/>
        <v>0</v>
      </c>
      <c r="Y408" s="8"/>
      <c r="Z408" s="8"/>
      <c r="AC408" s="8" t="str">
        <f>IF(COUNTIFS(作業區!$W$2:$W$2000, T408, 作業區!$X$2:$X$2000, U408)&gt;0, "已存在", "未擴充")</f>
        <v>已存在</v>
      </c>
    </row>
    <row r="409" spans="1:29" ht="49.5">
      <c r="A409" s="8">
        <f t="shared" si="13"/>
        <v>408</v>
      </c>
      <c r="B409" s="14" t="s">
        <v>893</v>
      </c>
      <c r="C409" s="14"/>
      <c r="D409" s="33" t="s">
        <v>2419</v>
      </c>
      <c r="E409" s="5" t="s">
        <v>2420</v>
      </c>
      <c r="F409" s="14" t="s">
        <v>2421</v>
      </c>
      <c r="G409" s="14" t="s">
        <v>2422</v>
      </c>
      <c r="H409" s="5"/>
      <c r="I409" s="4">
        <v>305454</v>
      </c>
      <c r="J409" s="4">
        <v>2766732</v>
      </c>
      <c r="K409" s="4">
        <v>304623.42200000002</v>
      </c>
      <c r="L409" s="4" t="s">
        <v>2423</v>
      </c>
      <c r="M409" s="5">
        <v>104</v>
      </c>
      <c r="N409" s="5" t="s">
        <v>2424</v>
      </c>
      <c r="O409" s="13">
        <v>42224.166666666664</v>
      </c>
      <c r="P409" s="15" t="s">
        <v>2425</v>
      </c>
      <c r="Q409" s="4"/>
      <c r="R409" s="16" t="s">
        <v>2426</v>
      </c>
      <c r="S409" s="16" t="s">
        <v>2281</v>
      </c>
      <c r="T409" s="5">
        <v>39.5</v>
      </c>
      <c r="U409" s="14">
        <v>112</v>
      </c>
      <c r="V409" s="14" t="s">
        <v>81</v>
      </c>
      <c r="W409" s="8">
        <f t="shared" si="12"/>
        <v>0</v>
      </c>
      <c r="Y409" s="8"/>
      <c r="Z409" s="8"/>
      <c r="AC409" s="8" t="str">
        <f>IF(COUNTIFS(作業區!$W$2:$W$2000, T409, 作業區!$X$2:$X$2000, U409)&gt;0, "已存在", "未擴充")</f>
        <v>已存在</v>
      </c>
    </row>
    <row r="410" spans="1:29" ht="49.5" hidden="1">
      <c r="A410" s="8">
        <f t="shared" si="13"/>
        <v>409</v>
      </c>
      <c r="B410" s="14" t="s">
        <v>920</v>
      </c>
      <c r="C410" s="14"/>
      <c r="D410" s="33" t="s">
        <v>2427</v>
      </c>
      <c r="E410" s="5" t="s">
        <v>1033</v>
      </c>
      <c r="F410" s="14" t="s">
        <v>2428</v>
      </c>
      <c r="G410" s="14" t="s">
        <v>2429</v>
      </c>
      <c r="H410" s="5" t="s">
        <v>2430</v>
      </c>
      <c r="I410" s="4">
        <v>287243</v>
      </c>
      <c r="J410" s="4">
        <v>2744283</v>
      </c>
      <c r="K410" s="4">
        <v>286412.85100000002</v>
      </c>
      <c r="L410" s="4">
        <v>2744487.22</v>
      </c>
      <c r="M410" s="5">
        <v>104</v>
      </c>
      <c r="N410" s="5" t="s">
        <v>2424</v>
      </c>
      <c r="O410" s="13">
        <v>42224.322916666664</v>
      </c>
      <c r="P410" s="15" t="s">
        <v>2431</v>
      </c>
      <c r="Q410" s="4"/>
      <c r="R410" s="16" t="s">
        <v>2432</v>
      </c>
      <c r="S410" s="16" t="s">
        <v>2433</v>
      </c>
      <c r="T410" s="5">
        <v>22</v>
      </c>
      <c r="U410" s="14">
        <v>400</v>
      </c>
      <c r="V410" s="14">
        <v>250</v>
      </c>
      <c r="W410" s="8">
        <f t="shared" si="12"/>
        <v>0</v>
      </c>
      <c r="Y410" s="8"/>
      <c r="Z410" s="8"/>
      <c r="AC410" s="8" t="str">
        <f>IF(COUNTIFS(作業區!$W$2:$W$2000, T410, 作業區!$X$2:$X$2000, U410)&gt;0, "已存在", "未擴充")</f>
        <v>已存在</v>
      </c>
    </row>
    <row r="411" spans="1:29" ht="49.5">
      <c r="A411" s="8">
        <f t="shared" si="13"/>
        <v>410</v>
      </c>
      <c r="B411" s="14" t="s">
        <v>1713</v>
      </c>
      <c r="C411" s="14"/>
      <c r="D411" s="33" t="s">
        <v>2434</v>
      </c>
      <c r="E411" s="5" t="s">
        <v>2306</v>
      </c>
      <c r="F411" s="14" t="s">
        <v>2435</v>
      </c>
      <c r="G411" s="14" t="s">
        <v>2436</v>
      </c>
      <c r="H411" s="5"/>
      <c r="I411" s="4">
        <v>294215</v>
      </c>
      <c r="J411" s="4">
        <v>2755161</v>
      </c>
      <c r="K411" s="4">
        <v>293384.67200000002</v>
      </c>
      <c r="L411" s="4">
        <v>2755365.0060000001</v>
      </c>
      <c r="M411" s="5">
        <v>104</v>
      </c>
      <c r="N411" s="5" t="s">
        <v>2424</v>
      </c>
      <c r="O411" s="13">
        <v>42224.333333333336</v>
      </c>
      <c r="P411" s="15" t="s">
        <v>2437</v>
      </c>
      <c r="Q411" s="4"/>
      <c r="R411" s="16" t="s">
        <v>2438</v>
      </c>
      <c r="S411" s="16" t="s">
        <v>2311</v>
      </c>
      <c r="T411" s="5">
        <v>41</v>
      </c>
      <c r="U411" s="14">
        <v>475</v>
      </c>
      <c r="V411" s="14">
        <v>350</v>
      </c>
      <c r="W411" s="8">
        <f t="shared" si="12"/>
        <v>0</v>
      </c>
      <c r="Y411" s="8"/>
      <c r="Z411" s="8"/>
      <c r="AC411" s="8" t="str">
        <f>IF(COUNTIFS(作業區!$W$2:$W$2000, T411, 作業區!$X$2:$X$2000, U411)&gt;0, "已存在", "未擴充")</f>
        <v>已存在</v>
      </c>
    </row>
    <row r="412" spans="1:29" ht="66" hidden="1">
      <c r="A412" s="8">
        <f t="shared" si="13"/>
        <v>411</v>
      </c>
      <c r="B412" s="14" t="s">
        <v>920</v>
      </c>
      <c r="C412" s="14"/>
      <c r="D412" s="33" t="s">
        <v>2439</v>
      </c>
      <c r="E412" s="5" t="s">
        <v>2306</v>
      </c>
      <c r="F412" s="14" t="s">
        <v>2435</v>
      </c>
      <c r="G412" s="14" t="s">
        <v>2440</v>
      </c>
      <c r="H412" s="5" t="s">
        <v>2441</v>
      </c>
      <c r="I412" s="4">
        <v>294981</v>
      </c>
      <c r="J412" s="4">
        <v>2747631</v>
      </c>
      <c r="K412" s="4" t="s">
        <v>2442</v>
      </c>
      <c r="L412" s="4">
        <v>2747835.1179999998</v>
      </c>
      <c r="M412" s="5">
        <v>104</v>
      </c>
      <c r="N412" s="5" t="s">
        <v>2424</v>
      </c>
      <c r="O412" s="13">
        <v>42224.25</v>
      </c>
      <c r="P412" s="15" t="s">
        <v>2443</v>
      </c>
      <c r="Q412" s="4"/>
      <c r="R412" s="16" t="s">
        <v>2444</v>
      </c>
      <c r="S412" s="16" t="s">
        <v>2445</v>
      </c>
      <c r="T412" s="5">
        <v>100</v>
      </c>
      <c r="U412" s="14">
        <v>617</v>
      </c>
      <c r="V412" s="14">
        <v>350</v>
      </c>
      <c r="W412" s="8">
        <f t="shared" si="12"/>
        <v>0</v>
      </c>
      <c r="Y412" s="8"/>
      <c r="Z412" s="8"/>
      <c r="AC412" s="8" t="str">
        <f>IF(COUNTIFS(作業區!$W$2:$W$2000, T412, 作業區!$X$2:$X$2000, U412)&gt;0, "已存在", "未擴充")</f>
        <v>已存在</v>
      </c>
    </row>
    <row r="413" spans="1:29" ht="49.5" hidden="1">
      <c r="A413" s="8">
        <f t="shared" si="13"/>
        <v>412</v>
      </c>
      <c r="B413" s="14" t="s">
        <v>920</v>
      </c>
      <c r="C413" s="14"/>
      <c r="D413" s="33" t="s">
        <v>2446</v>
      </c>
      <c r="E413" s="5" t="s">
        <v>2306</v>
      </c>
      <c r="F413" s="14" t="s">
        <v>2435</v>
      </c>
      <c r="G413" s="14" t="s">
        <v>2447</v>
      </c>
      <c r="H413" s="5" t="s">
        <v>2448</v>
      </c>
      <c r="I413" s="4">
        <v>297698</v>
      </c>
      <c r="J413" s="4">
        <v>2756623</v>
      </c>
      <c r="K413" s="4" t="s">
        <v>2449</v>
      </c>
      <c r="L413" s="4">
        <v>2756826.9610000001</v>
      </c>
      <c r="M413" s="5">
        <v>104</v>
      </c>
      <c r="N413" s="5" t="s">
        <v>2424</v>
      </c>
      <c r="O413" s="13">
        <v>42224.25</v>
      </c>
      <c r="P413" s="15" t="s">
        <v>2450</v>
      </c>
      <c r="Q413" s="4"/>
      <c r="R413" s="16" t="s">
        <v>2444</v>
      </c>
      <c r="S413" s="16" t="s">
        <v>2445</v>
      </c>
      <c r="T413" s="5">
        <v>100</v>
      </c>
      <c r="U413" s="14">
        <v>617</v>
      </c>
      <c r="V413" s="14">
        <v>350</v>
      </c>
      <c r="W413" s="8">
        <f t="shared" si="12"/>
        <v>0</v>
      </c>
      <c r="Y413" s="8"/>
      <c r="Z413" s="8"/>
      <c r="AC413" s="8" t="str">
        <f>IF(COUNTIFS(作業區!$W$2:$W$2000, T413, 作業區!$X$2:$X$2000, U413)&gt;0, "已存在", "未擴充")</f>
        <v>已存在</v>
      </c>
    </row>
    <row r="414" spans="1:29" ht="49.5">
      <c r="A414" s="8">
        <f t="shared" si="13"/>
        <v>413</v>
      </c>
      <c r="B414" s="14" t="s">
        <v>893</v>
      </c>
      <c r="C414" s="14"/>
      <c r="D414" s="33" t="s">
        <v>2451</v>
      </c>
      <c r="E414" s="5" t="s">
        <v>2306</v>
      </c>
      <c r="F414" s="14" t="s">
        <v>2435</v>
      </c>
      <c r="G414" s="14" t="s">
        <v>2452</v>
      </c>
      <c r="H414" s="5"/>
      <c r="I414" s="4">
        <v>290898</v>
      </c>
      <c r="J414" s="4">
        <v>2753124</v>
      </c>
      <c r="K414" s="4" t="s">
        <v>2453</v>
      </c>
      <c r="L414" s="4">
        <v>2753328.0589999999</v>
      </c>
      <c r="M414" s="5">
        <v>104</v>
      </c>
      <c r="N414" s="5" t="s">
        <v>2424</v>
      </c>
      <c r="O414" s="13">
        <v>42224.25</v>
      </c>
      <c r="P414" s="15" t="s">
        <v>2454</v>
      </c>
      <c r="Q414" s="4"/>
      <c r="R414" s="16" t="s">
        <v>2438</v>
      </c>
      <c r="S414" s="16" t="s">
        <v>2311</v>
      </c>
      <c r="T414" s="5">
        <v>52</v>
      </c>
      <c r="U414" s="14">
        <v>364</v>
      </c>
      <c r="V414" s="14">
        <v>350</v>
      </c>
      <c r="W414" s="8">
        <f t="shared" si="12"/>
        <v>0</v>
      </c>
      <c r="Y414" s="8"/>
      <c r="Z414" s="8"/>
      <c r="AC414" s="8" t="str">
        <f>IF(COUNTIFS(作業區!$W$2:$W$2000, T414, 作業區!$X$2:$X$2000, U414)&gt;0, "已存在", "未擴充")</f>
        <v>已存在</v>
      </c>
    </row>
    <row r="415" spans="1:29" ht="49.5">
      <c r="A415" s="8">
        <f t="shared" si="13"/>
        <v>414</v>
      </c>
      <c r="B415" s="14" t="s">
        <v>920</v>
      </c>
      <c r="C415" s="14"/>
      <c r="D415" s="33" t="s">
        <v>2455</v>
      </c>
      <c r="E415" s="5" t="s">
        <v>2306</v>
      </c>
      <c r="F415" s="14" t="s">
        <v>2456</v>
      </c>
      <c r="G415" s="14" t="s">
        <v>2457</v>
      </c>
      <c r="H415" s="5"/>
      <c r="I415" s="4">
        <v>304356</v>
      </c>
      <c r="J415" s="4">
        <v>2755845</v>
      </c>
      <c r="K415" s="4">
        <v>303525.51</v>
      </c>
      <c r="L415" s="4">
        <v>2756048.929</v>
      </c>
      <c r="M415" s="5">
        <v>104</v>
      </c>
      <c r="N415" s="5" t="s">
        <v>2424</v>
      </c>
      <c r="O415" s="13">
        <v>42224.291666666664</v>
      </c>
      <c r="P415" s="15" t="s">
        <v>2458</v>
      </c>
      <c r="Q415" s="4"/>
      <c r="R415" s="16" t="s">
        <v>2459</v>
      </c>
      <c r="S415" s="16" t="s">
        <v>2460</v>
      </c>
      <c r="T415" s="5">
        <v>50</v>
      </c>
      <c r="U415" s="14">
        <v>440</v>
      </c>
      <c r="V415" s="14">
        <v>400</v>
      </c>
      <c r="W415" s="8">
        <f t="shared" si="12"/>
        <v>0</v>
      </c>
      <c r="Y415" s="8"/>
      <c r="Z415" s="8"/>
      <c r="AC415" s="8" t="str">
        <f>IF(COUNTIFS(作業區!$W$2:$W$2000, T415, 作業區!$X$2:$X$2000, U415)&gt;0, "已存在", "未擴充")</f>
        <v>已存在</v>
      </c>
    </row>
    <row r="416" spans="1:29" ht="33">
      <c r="A416" s="8">
        <f t="shared" si="13"/>
        <v>415</v>
      </c>
      <c r="B416" s="14" t="s">
        <v>1745</v>
      </c>
      <c r="C416" s="14"/>
      <c r="D416" s="33" t="s">
        <v>2461</v>
      </c>
      <c r="E416" s="5" t="s">
        <v>2306</v>
      </c>
      <c r="F416" s="14" t="s">
        <v>2456</v>
      </c>
      <c r="G416" s="14" t="s">
        <v>2457</v>
      </c>
      <c r="H416" s="1" t="s">
        <v>2462</v>
      </c>
      <c r="I416" s="4">
        <v>303557</v>
      </c>
      <c r="J416" s="4">
        <v>2754633</v>
      </c>
      <c r="K416" s="4">
        <v>302726.53100000002</v>
      </c>
      <c r="L416" s="4">
        <v>2754836.9530000002</v>
      </c>
      <c r="M416" s="5">
        <v>104</v>
      </c>
      <c r="N416" s="5" t="s">
        <v>2424</v>
      </c>
      <c r="O416" s="13">
        <v>42224.291666666664</v>
      </c>
      <c r="P416" s="15" t="s">
        <v>2463</v>
      </c>
      <c r="Q416" s="4"/>
      <c r="R416" s="16" t="s">
        <v>2459</v>
      </c>
      <c r="S416" s="16" t="s">
        <v>2460</v>
      </c>
      <c r="T416" s="5">
        <v>50</v>
      </c>
      <c r="U416" s="14">
        <v>440</v>
      </c>
      <c r="V416" s="14">
        <v>400</v>
      </c>
      <c r="W416" s="8">
        <f t="shared" si="12"/>
        <v>0</v>
      </c>
      <c r="Y416" s="8"/>
      <c r="Z416" s="8"/>
      <c r="AC416" s="8" t="str">
        <f>IF(COUNTIFS(作業區!$W$2:$W$2000, T416, 作業區!$X$2:$X$2000, U416)&gt;0, "已存在", "未擴充")</f>
        <v>已存在</v>
      </c>
    </row>
    <row r="417" spans="1:29" ht="33">
      <c r="A417" s="8">
        <f t="shared" si="13"/>
        <v>416</v>
      </c>
      <c r="B417" s="14" t="s">
        <v>893</v>
      </c>
      <c r="C417" s="14"/>
      <c r="D417" s="33" t="s">
        <v>2464</v>
      </c>
      <c r="E417" s="5" t="s">
        <v>2306</v>
      </c>
      <c r="F417" s="14" t="s">
        <v>2456</v>
      </c>
      <c r="G417" s="14" t="s">
        <v>2457</v>
      </c>
      <c r="H417" s="5" t="s">
        <v>2462</v>
      </c>
      <c r="I417" s="4">
        <v>303448</v>
      </c>
      <c r="J417" s="4">
        <v>2754789</v>
      </c>
      <c r="K417" s="4">
        <v>302617.53100000002</v>
      </c>
      <c r="L417" s="4">
        <v>2754992.952</v>
      </c>
      <c r="M417" s="5">
        <v>104</v>
      </c>
      <c r="N417" s="5" t="s">
        <v>2424</v>
      </c>
      <c r="O417" s="13">
        <v>42224.291666666664</v>
      </c>
      <c r="P417" s="15" t="s">
        <v>2465</v>
      </c>
      <c r="Q417" s="4"/>
      <c r="R417" s="16" t="s">
        <v>2459</v>
      </c>
      <c r="S417" s="16" t="s">
        <v>2460</v>
      </c>
      <c r="T417" s="5">
        <v>50</v>
      </c>
      <c r="U417" s="14">
        <v>440</v>
      </c>
      <c r="V417" s="14">
        <v>400</v>
      </c>
      <c r="W417" s="8">
        <f t="shared" si="12"/>
        <v>0</v>
      </c>
      <c r="Y417" s="8"/>
      <c r="Z417" s="8"/>
      <c r="AC417" s="8" t="str">
        <f>IF(COUNTIFS(作業區!$W$2:$W$2000, T417, 作業區!$X$2:$X$2000, U417)&gt;0, "已存在", "未擴充")</f>
        <v>已存在</v>
      </c>
    </row>
    <row r="418" spans="1:29" ht="33">
      <c r="A418" s="8">
        <f t="shared" si="13"/>
        <v>417</v>
      </c>
      <c r="B418" s="14" t="s">
        <v>1745</v>
      </c>
      <c r="C418" s="14"/>
      <c r="D418" s="33" t="s">
        <v>2466</v>
      </c>
      <c r="E418" s="5" t="s">
        <v>2306</v>
      </c>
      <c r="F418" s="14" t="s">
        <v>2456</v>
      </c>
      <c r="G418" s="14" t="s">
        <v>2457</v>
      </c>
      <c r="H418" s="5"/>
      <c r="I418" s="4">
        <v>304356</v>
      </c>
      <c r="J418" s="4">
        <v>2755845</v>
      </c>
      <c r="K418" s="4" t="s">
        <v>2467</v>
      </c>
      <c r="L418" s="4">
        <v>2756048.929</v>
      </c>
      <c r="M418" s="5">
        <v>104</v>
      </c>
      <c r="N418" s="5" t="s">
        <v>2424</v>
      </c>
      <c r="O418" s="13">
        <v>42224.291666666664</v>
      </c>
      <c r="P418" s="15" t="s">
        <v>2468</v>
      </c>
      <c r="Q418" s="4"/>
      <c r="R418" s="16" t="s">
        <v>2459</v>
      </c>
      <c r="S418" s="16" t="s">
        <v>2460</v>
      </c>
      <c r="T418" s="5">
        <v>50</v>
      </c>
      <c r="U418" s="14">
        <v>440</v>
      </c>
      <c r="V418" s="14">
        <v>400</v>
      </c>
      <c r="W418" s="8">
        <f t="shared" si="12"/>
        <v>0</v>
      </c>
      <c r="Y418" s="8"/>
      <c r="Z418" s="8"/>
      <c r="AC418" s="8" t="str">
        <f>IF(COUNTIFS(作業區!$W$2:$W$2000, T418, 作業區!$X$2:$X$2000, U418)&gt;0, "已存在", "未擴充")</f>
        <v>已存在</v>
      </c>
    </row>
    <row r="419" spans="1:29" ht="49.5">
      <c r="A419" s="8">
        <f t="shared" si="13"/>
        <v>418</v>
      </c>
      <c r="B419" s="14" t="s">
        <v>920</v>
      </c>
      <c r="C419" s="14"/>
      <c r="D419" s="33" t="s">
        <v>2469</v>
      </c>
      <c r="E419" s="5" t="s">
        <v>2306</v>
      </c>
      <c r="F419" s="14" t="s">
        <v>2456</v>
      </c>
      <c r="G419" s="14" t="s">
        <v>2470</v>
      </c>
      <c r="H419" s="5"/>
      <c r="I419" s="4">
        <v>305454</v>
      </c>
      <c r="J419" s="4">
        <v>2756918</v>
      </c>
      <c r="K419" s="4"/>
      <c r="L419" s="4"/>
      <c r="M419" s="5">
        <v>104</v>
      </c>
      <c r="N419" s="5" t="s">
        <v>2424</v>
      </c>
      <c r="O419" s="13">
        <v>42224.333333333336</v>
      </c>
      <c r="P419" s="15" t="s">
        <v>2471</v>
      </c>
      <c r="Q419" s="4"/>
      <c r="R419" s="16" t="s">
        <v>2459</v>
      </c>
      <c r="S419" s="16" t="s">
        <v>2460</v>
      </c>
      <c r="T419" s="5">
        <v>51.5</v>
      </c>
      <c r="U419" s="14">
        <v>510</v>
      </c>
      <c r="V419" s="14">
        <v>400</v>
      </c>
      <c r="W419" s="8">
        <f t="shared" si="12"/>
        <v>0</v>
      </c>
      <c r="Y419" s="8"/>
      <c r="Z419" s="8"/>
      <c r="AC419" s="8" t="str">
        <f>IF(COUNTIFS(作業區!$W$2:$W$2000, T419, 作業區!$X$2:$X$2000, U419)&gt;0, "已存在", "未擴充")</f>
        <v>已存在</v>
      </c>
    </row>
    <row r="420" spans="1:29" ht="33">
      <c r="A420" s="8">
        <f t="shared" si="13"/>
        <v>419</v>
      </c>
      <c r="B420" s="14" t="s">
        <v>754</v>
      </c>
      <c r="C420" s="14"/>
      <c r="D420" s="33" t="s">
        <v>2472</v>
      </c>
      <c r="E420" s="5" t="s">
        <v>2306</v>
      </c>
      <c r="F420" s="14" t="s">
        <v>2456</v>
      </c>
      <c r="G420" s="14" t="s">
        <v>2470</v>
      </c>
      <c r="H420" s="5"/>
      <c r="I420" s="4">
        <v>304241</v>
      </c>
      <c r="J420" s="4">
        <v>2755403</v>
      </c>
      <c r="K420" s="4" t="s">
        <v>2473</v>
      </c>
      <c r="L420" s="4">
        <v>2755606.9369999999</v>
      </c>
      <c r="M420" s="5">
        <v>104</v>
      </c>
      <c r="N420" s="5" t="s">
        <v>2424</v>
      </c>
      <c r="O420" s="13">
        <v>42224.333333333336</v>
      </c>
      <c r="P420" s="15" t="s">
        <v>2474</v>
      </c>
      <c r="Q420" s="4"/>
      <c r="R420" s="16" t="s">
        <v>2459</v>
      </c>
      <c r="S420" s="16" t="s">
        <v>2460</v>
      </c>
      <c r="T420" s="5">
        <v>51.5</v>
      </c>
      <c r="U420" s="14">
        <v>510</v>
      </c>
      <c r="V420" s="14">
        <v>400</v>
      </c>
      <c r="W420" s="8">
        <f t="shared" si="12"/>
        <v>0</v>
      </c>
      <c r="Y420" s="8"/>
      <c r="Z420" s="8"/>
      <c r="AC420" s="8" t="str">
        <f>IF(COUNTIFS(作業區!$W$2:$W$2000, T420, 作業區!$X$2:$X$2000, U420)&gt;0, "已存在", "未擴充")</f>
        <v>已存在</v>
      </c>
    </row>
    <row r="421" spans="1:29" ht="49.5" hidden="1">
      <c r="A421" s="8">
        <f t="shared" si="13"/>
        <v>420</v>
      </c>
      <c r="B421" s="14" t="s">
        <v>920</v>
      </c>
      <c r="C421" s="14"/>
      <c r="D421" s="33" t="s">
        <v>2475</v>
      </c>
      <c r="E421" s="5" t="s">
        <v>2306</v>
      </c>
      <c r="F421" s="14" t="s">
        <v>2476</v>
      </c>
      <c r="G421" s="14" t="s">
        <v>2477</v>
      </c>
      <c r="H421" s="5" t="s">
        <v>2478</v>
      </c>
      <c r="I421" s="4">
        <v>305767</v>
      </c>
      <c r="J421" s="4">
        <v>2753578</v>
      </c>
      <c r="K421" s="4">
        <v>304936.50300000003</v>
      </c>
      <c r="L421" s="4">
        <v>2753781.9550000001</v>
      </c>
      <c r="M421" s="5">
        <v>104</v>
      </c>
      <c r="N421" s="5" t="s">
        <v>2424</v>
      </c>
      <c r="O421" s="13">
        <v>42224.166666666664</v>
      </c>
      <c r="P421" s="15" t="s">
        <v>2479</v>
      </c>
      <c r="Q421" s="4"/>
      <c r="R421" s="16" t="s">
        <v>2480</v>
      </c>
      <c r="S421" s="16" t="s">
        <v>2481</v>
      </c>
      <c r="T421" s="5">
        <v>38</v>
      </c>
      <c r="U421" s="14">
        <v>240</v>
      </c>
      <c r="V421" s="14" t="s">
        <v>81</v>
      </c>
      <c r="W421" s="8">
        <f t="shared" si="12"/>
        <v>0</v>
      </c>
      <c r="Y421" s="8"/>
      <c r="Z421" s="8"/>
      <c r="AC421" s="8" t="str">
        <f>IF(COUNTIFS(作業區!$W$2:$W$2000, T421, 作業區!$X$2:$X$2000, U421)&gt;0, "已存在", "未擴充")</f>
        <v>已存在</v>
      </c>
    </row>
    <row r="422" spans="1:29" ht="66">
      <c r="A422" s="8">
        <f t="shared" si="13"/>
        <v>421</v>
      </c>
      <c r="B422" s="14" t="s">
        <v>893</v>
      </c>
      <c r="C422" s="14"/>
      <c r="D422" s="33" t="s">
        <v>2482</v>
      </c>
      <c r="E422" s="5" t="s">
        <v>2306</v>
      </c>
      <c r="F422" s="14" t="s">
        <v>2476</v>
      </c>
      <c r="G422" s="14" t="s">
        <v>2477</v>
      </c>
      <c r="H422" s="5" t="s">
        <v>2483</v>
      </c>
      <c r="I422" s="4">
        <v>306230</v>
      </c>
      <c r="J422" s="4">
        <v>2753131</v>
      </c>
      <c r="K422" s="4">
        <v>305399.49900000001</v>
      </c>
      <c r="L422" s="4">
        <v>2753334.9589999998</v>
      </c>
      <c r="M422" s="5">
        <v>104</v>
      </c>
      <c r="N422" s="5" t="s">
        <v>2424</v>
      </c>
      <c r="O422" s="13">
        <v>42224.416666666664</v>
      </c>
      <c r="P422" s="15" t="s">
        <v>2484</v>
      </c>
      <c r="Q422" s="4"/>
      <c r="R422" s="16" t="s">
        <v>2480</v>
      </c>
      <c r="S422" s="16" t="s">
        <v>2481</v>
      </c>
      <c r="T422" s="5">
        <v>32</v>
      </c>
      <c r="U422" s="14">
        <v>530</v>
      </c>
      <c r="V422" s="14" t="s">
        <v>81</v>
      </c>
      <c r="W422" s="8">
        <f t="shared" si="12"/>
        <v>0</v>
      </c>
      <c r="Y422" s="8"/>
      <c r="Z422" s="8"/>
      <c r="AC422" s="8" t="str">
        <f>IF(COUNTIFS(作業區!$W$2:$W$2000, T422, 作業區!$X$2:$X$2000, U422)&gt;0, "已存在", "未擴充")</f>
        <v>已存在</v>
      </c>
    </row>
    <row r="423" spans="1:29" ht="49.5" hidden="1">
      <c r="A423" s="8">
        <f t="shared" si="13"/>
        <v>422</v>
      </c>
      <c r="B423" s="14" t="s">
        <v>920</v>
      </c>
      <c r="C423" s="14"/>
      <c r="D423" s="33" t="s">
        <v>2485</v>
      </c>
      <c r="E423" s="5" t="s">
        <v>2306</v>
      </c>
      <c r="F423" s="14" t="s">
        <v>2476</v>
      </c>
      <c r="G423" s="14" t="s">
        <v>2477</v>
      </c>
      <c r="H423" s="5" t="s">
        <v>2483</v>
      </c>
      <c r="I423" s="4">
        <v>306327</v>
      </c>
      <c r="J423" s="4">
        <v>2753038</v>
      </c>
      <c r="K423" s="4">
        <v>305496.49800000002</v>
      </c>
      <c r="L423" s="4">
        <v>2753241.96</v>
      </c>
      <c r="M423" s="5">
        <v>104</v>
      </c>
      <c r="N423" s="5" t="s">
        <v>2424</v>
      </c>
      <c r="O423" s="13">
        <v>42224.25</v>
      </c>
      <c r="P423" s="15" t="s">
        <v>2486</v>
      </c>
      <c r="Q423" s="4"/>
      <c r="R423" s="16" t="s">
        <v>2480</v>
      </c>
      <c r="S423" s="16" t="s">
        <v>2481</v>
      </c>
      <c r="T423" s="5">
        <v>70</v>
      </c>
      <c r="U423" s="14">
        <v>350</v>
      </c>
      <c r="V423" s="14" t="s">
        <v>81</v>
      </c>
      <c r="W423" s="8">
        <f t="shared" si="12"/>
        <v>0</v>
      </c>
      <c r="Y423" s="8"/>
      <c r="Z423" s="8"/>
      <c r="AC423" s="8" t="str">
        <f>IF(COUNTIFS(作業區!$W$2:$W$2000, T423, 作業區!$X$2:$X$2000, U423)&gt;0, "已存在", "未擴充")</f>
        <v>已存在</v>
      </c>
    </row>
    <row r="424" spans="1:29" ht="66" hidden="1">
      <c r="A424" s="8">
        <f t="shared" si="13"/>
        <v>423</v>
      </c>
      <c r="B424" s="14" t="s">
        <v>920</v>
      </c>
      <c r="C424" s="14"/>
      <c r="D424" s="33" t="s">
        <v>2487</v>
      </c>
      <c r="E424" s="5" t="s">
        <v>2306</v>
      </c>
      <c r="F424" s="14" t="s">
        <v>2476</v>
      </c>
      <c r="G424" s="14" t="s">
        <v>2488</v>
      </c>
      <c r="H424" s="5"/>
      <c r="I424" s="4">
        <v>305643</v>
      </c>
      <c r="J424" s="4">
        <v>2749295</v>
      </c>
      <c r="K424" s="4">
        <v>304812.533</v>
      </c>
      <c r="L424" s="4">
        <v>2749499.0219999999</v>
      </c>
      <c r="M424" s="5">
        <v>104</v>
      </c>
      <c r="N424" s="5" t="s">
        <v>2424</v>
      </c>
      <c r="O424" s="13">
        <v>42224.25</v>
      </c>
      <c r="P424" s="15" t="s">
        <v>2489</v>
      </c>
      <c r="Q424" s="4"/>
      <c r="R424" s="16" t="s">
        <v>2480</v>
      </c>
      <c r="S424" s="16" t="s">
        <v>2481</v>
      </c>
      <c r="T424" s="5">
        <v>70</v>
      </c>
      <c r="U424" s="14">
        <v>350</v>
      </c>
      <c r="V424" s="14" t="s">
        <v>81</v>
      </c>
      <c r="W424" s="8">
        <f t="shared" si="12"/>
        <v>0</v>
      </c>
      <c r="Y424" s="8"/>
      <c r="Z424" s="8"/>
      <c r="AC424" s="8" t="str">
        <f>IF(COUNTIFS(作業區!$W$2:$W$2000, T424, 作業區!$X$2:$X$2000, U424)&gt;0, "已存在", "未擴充")</f>
        <v>已存在</v>
      </c>
    </row>
    <row r="425" spans="1:29" ht="49.5" hidden="1">
      <c r="A425" s="8">
        <f t="shared" si="13"/>
        <v>424</v>
      </c>
      <c r="B425" s="14" t="s">
        <v>893</v>
      </c>
      <c r="C425" s="14"/>
      <c r="D425" s="33" t="s">
        <v>2490</v>
      </c>
      <c r="E425" s="5" t="s">
        <v>2306</v>
      </c>
      <c r="F425" s="14" t="s">
        <v>2476</v>
      </c>
      <c r="G425" s="14" t="s">
        <v>2488</v>
      </c>
      <c r="H425" s="5"/>
      <c r="I425" s="4">
        <v>305643</v>
      </c>
      <c r="J425" s="4">
        <v>2749295</v>
      </c>
      <c r="K425" s="4">
        <v>304812.533</v>
      </c>
      <c r="L425" s="4">
        <v>2749499.0219999999</v>
      </c>
      <c r="M425" s="5">
        <v>104</v>
      </c>
      <c r="N425" s="5" t="s">
        <v>2424</v>
      </c>
      <c r="O425" s="13">
        <v>42224.25</v>
      </c>
      <c r="P425" s="15" t="s">
        <v>2491</v>
      </c>
      <c r="Q425" s="4"/>
      <c r="R425" s="16" t="s">
        <v>2480</v>
      </c>
      <c r="S425" s="16" t="s">
        <v>2481</v>
      </c>
      <c r="T425" s="5">
        <v>70</v>
      </c>
      <c r="U425" s="14">
        <v>350</v>
      </c>
      <c r="V425" s="14" t="s">
        <v>81</v>
      </c>
      <c r="W425" s="8">
        <f t="shared" si="12"/>
        <v>0</v>
      </c>
      <c r="Y425" s="8"/>
      <c r="Z425" s="8"/>
      <c r="AC425" s="8" t="str">
        <f>IF(COUNTIFS(作業區!$W$2:$W$2000, T425, 作業區!$X$2:$X$2000, U425)&gt;0, "已存在", "未擴充")</f>
        <v>已存在</v>
      </c>
    </row>
    <row r="426" spans="1:29" ht="49.5" hidden="1">
      <c r="A426" s="8">
        <f t="shared" si="13"/>
        <v>425</v>
      </c>
      <c r="B426" s="14" t="s">
        <v>893</v>
      </c>
      <c r="C426" s="14"/>
      <c r="D426" s="33" t="s">
        <v>2492</v>
      </c>
      <c r="E426" s="5" t="s">
        <v>2306</v>
      </c>
      <c r="F426" s="14" t="s">
        <v>2476</v>
      </c>
      <c r="G426" s="14" t="s">
        <v>2488</v>
      </c>
      <c r="H426" s="5"/>
      <c r="I426" s="4">
        <v>305993</v>
      </c>
      <c r="J426" s="4">
        <v>2750741</v>
      </c>
      <c r="K426" s="4">
        <v>305162.51799999998</v>
      </c>
      <c r="L426" s="4">
        <v>2750944.9980000001</v>
      </c>
      <c r="M426" s="5">
        <v>104</v>
      </c>
      <c r="N426" s="5" t="s">
        <v>2424</v>
      </c>
      <c r="O426" s="13">
        <v>42224.25</v>
      </c>
      <c r="P426" s="15" t="s">
        <v>2493</v>
      </c>
      <c r="Q426" s="4"/>
      <c r="R426" s="16" t="s">
        <v>2480</v>
      </c>
      <c r="S426" s="16" t="s">
        <v>2481</v>
      </c>
      <c r="T426" s="5">
        <v>70</v>
      </c>
      <c r="U426" s="14">
        <v>350</v>
      </c>
      <c r="V426" s="14" t="s">
        <v>81</v>
      </c>
      <c r="W426" s="8">
        <f t="shared" si="12"/>
        <v>0</v>
      </c>
      <c r="Y426" s="8"/>
      <c r="Z426" s="8"/>
      <c r="AC426" s="8" t="str">
        <f>IF(COUNTIFS(作業區!$W$2:$W$2000, T426, 作業區!$X$2:$X$2000, U426)&gt;0, "已存在", "未擴充")</f>
        <v>已存在</v>
      </c>
    </row>
    <row r="427" spans="1:29" ht="49.5" hidden="1">
      <c r="A427" s="8">
        <f t="shared" si="13"/>
        <v>426</v>
      </c>
      <c r="B427" s="14" t="s">
        <v>920</v>
      </c>
      <c r="C427" s="14"/>
      <c r="D427" s="33" t="s">
        <v>2494</v>
      </c>
      <c r="E427" s="5" t="s">
        <v>2306</v>
      </c>
      <c r="F427" s="14" t="s">
        <v>2476</v>
      </c>
      <c r="G427" s="14" t="s">
        <v>2495</v>
      </c>
      <c r="H427" s="5" t="s">
        <v>2496</v>
      </c>
      <c r="I427" s="4">
        <v>303189</v>
      </c>
      <c r="J427" s="4">
        <v>2748358</v>
      </c>
      <c r="K427" s="4">
        <v>302358.57699999999</v>
      </c>
      <c r="L427" s="4" t="s">
        <v>2497</v>
      </c>
      <c r="M427" s="5">
        <v>104</v>
      </c>
      <c r="N427" s="5" t="s">
        <v>2424</v>
      </c>
      <c r="O427" s="13">
        <v>42224.25</v>
      </c>
      <c r="P427" s="15" t="s">
        <v>2498</v>
      </c>
      <c r="Q427" s="4"/>
      <c r="R427" s="16" t="s">
        <v>2480</v>
      </c>
      <c r="S427" s="16" t="s">
        <v>2481</v>
      </c>
      <c r="T427" s="5">
        <v>70</v>
      </c>
      <c r="U427" s="14">
        <v>350</v>
      </c>
      <c r="V427" s="14">
        <v>400</v>
      </c>
      <c r="W427" s="8">
        <f t="shared" si="12"/>
        <v>0</v>
      </c>
      <c r="Y427" s="8"/>
      <c r="Z427" s="8"/>
      <c r="AC427" s="8" t="str">
        <f>IF(COUNTIFS(作業區!$W$2:$W$2000, T427, 作業區!$X$2:$X$2000, U427)&gt;0, "已存在", "未擴充")</f>
        <v>已存在</v>
      </c>
    </row>
    <row r="428" spans="1:29" ht="33">
      <c r="A428" s="8">
        <f t="shared" si="13"/>
        <v>427</v>
      </c>
      <c r="B428" s="14" t="s">
        <v>893</v>
      </c>
      <c r="C428" s="14"/>
      <c r="D428" s="33" t="s">
        <v>2499</v>
      </c>
      <c r="E428" s="5" t="s">
        <v>2306</v>
      </c>
      <c r="F428" s="14" t="s">
        <v>2476</v>
      </c>
      <c r="G428" s="14" t="s">
        <v>2495</v>
      </c>
      <c r="H428" s="5"/>
      <c r="I428" s="4">
        <v>302293</v>
      </c>
      <c r="J428" s="4">
        <v>2746019</v>
      </c>
      <c r="K428" s="4">
        <v>301462.60600000003</v>
      </c>
      <c r="L428" s="4">
        <v>2746223.0950000002</v>
      </c>
      <c r="M428" s="5">
        <v>104</v>
      </c>
      <c r="N428" s="5" t="s">
        <v>2424</v>
      </c>
      <c r="O428" s="13">
        <v>42224.208333333336</v>
      </c>
      <c r="P428" s="15" t="s">
        <v>2500</v>
      </c>
      <c r="Q428" s="4"/>
      <c r="R428" s="16" t="s">
        <v>2501</v>
      </c>
      <c r="S428" s="16" t="s">
        <v>2502</v>
      </c>
      <c r="T428" s="5">
        <v>74</v>
      </c>
      <c r="U428" s="14">
        <v>487</v>
      </c>
      <c r="V428" s="14">
        <v>400</v>
      </c>
      <c r="W428" s="8">
        <f t="shared" si="12"/>
        <v>0</v>
      </c>
      <c r="Y428" s="8"/>
      <c r="Z428" s="8"/>
      <c r="AC428" s="8" t="str">
        <f>IF(COUNTIFS(作業區!$W$2:$W$2000, T428, 作業區!$X$2:$X$2000, U428)&gt;0, "已存在", "未擴充")</f>
        <v>已存在</v>
      </c>
    </row>
    <row r="429" spans="1:29" ht="66" hidden="1">
      <c r="A429" s="8">
        <f t="shared" si="13"/>
        <v>428</v>
      </c>
      <c r="B429" s="14" t="s">
        <v>920</v>
      </c>
      <c r="C429" s="14"/>
      <c r="D429" s="33" t="s">
        <v>2503</v>
      </c>
      <c r="E429" s="5" t="s">
        <v>2306</v>
      </c>
      <c r="F429" s="14" t="s">
        <v>2476</v>
      </c>
      <c r="G429" s="14" t="s">
        <v>2495</v>
      </c>
      <c r="H429" s="14" t="s">
        <v>2503</v>
      </c>
      <c r="I429" s="4">
        <v>302867</v>
      </c>
      <c r="J429" s="4">
        <v>2747668</v>
      </c>
      <c r="K429" s="4">
        <v>302036.587</v>
      </c>
      <c r="L429" s="4">
        <v>2747872.0660000001</v>
      </c>
      <c r="M429" s="5">
        <v>104</v>
      </c>
      <c r="N429" s="5" t="s">
        <v>2424</v>
      </c>
      <c r="O429" s="13">
        <v>42224.25</v>
      </c>
      <c r="P429" s="15" t="s">
        <v>2504</v>
      </c>
      <c r="Q429" s="4"/>
      <c r="R429" s="16" t="s">
        <v>2501</v>
      </c>
      <c r="S429" s="16" t="s">
        <v>2502</v>
      </c>
      <c r="T429" s="5">
        <v>95</v>
      </c>
      <c r="U429" s="14">
        <v>350</v>
      </c>
      <c r="V429" s="14">
        <v>400</v>
      </c>
      <c r="W429" s="8">
        <f t="shared" si="12"/>
        <v>0</v>
      </c>
      <c r="Y429" s="8"/>
      <c r="Z429" s="8"/>
      <c r="AC429" s="8" t="str">
        <f>IF(COUNTIFS(作業區!$W$2:$W$2000, T429, 作業區!$X$2:$X$2000, U429)&gt;0, "已存在", "未擴充")</f>
        <v>已存在</v>
      </c>
    </row>
    <row r="430" spans="1:29" ht="33" hidden="1">
      <c r="A430" s="8">
        <f t="shared" si="13"/>
        <v>429</v>
      </c>
      <c r="B430" s="14" t="s">
        <v>920</v>
      </c>
      <c r="C430" s="14"/>
      <c r="D430" s="33" t="s">
        <v>2505</v>
      </c>
      <c r="E430" s="5" t="s">
        <v>1482</v>
      </c>
      <c r="F430" s="14" t="s">
        <v>2131</v>
      </c>
      <c r="G430" s="14" t="s">
        <v>2506</v>
      </c>
      <c r="H430" s="5" t="s">
        <v>2507</v>
      </c>
      <c r="I430" s="4">
        <v>294278</v>
      </c>
      <c r="J430" s="4">
        <v>2711492</v>
      </c>
      <c r="K430" s="4">
        <v>293447.95600000001</v>
      </c>
      <c r="L430" s="4">
        <v>2711696.682</v>
      </c>
      <c r="M430" s="5">
        <v>104</v>
      </c>
      <c r="N430" s="5" t="s">
        <v>2424</v>
      </c>
      <c r="O430" s="13">
        <v>42224.416666666664</v>
      </c>
      <c r="P430" s="15" t="s">
        <v>2508</v>
      </c>
      <c r="Q430" s="4"/>
      <c r="R430" s="16" t="s">
        <v>2509</v>
      </c>
      <c r="S430" s="16" t="s">
        <v>2510</v>
      </c>
      <c r="T430" s="5">
        <v>4</v>
      </c>
      <c r="U430" s="14">
        <v>525</v>
      </c>
      <c r="V430" s="14">
        <v>450</v>
      </c>
      <c r="W430" s="8">
        <f t="shared" si="12"/>
        <v>0</v>
      </c>
      <c r="Y430" s="8"/>
      <c r="Z430" s="8"/>
      <c r="AC430" s="8" t="str">
        <f>IF(COUNTIFS(作業區!$W$2:$W$2000, T430, 作業區!$X$2:$X$2000, U430)&gt;0, "已存在", "未擴充")</f>
        <v>已存在</v>
      </c>
    </row>
    <row r="431" spans="1:29" ht="49.5">
      <c r="A431" s="8">
        <f t="shared" si="13"/>
        <v>430</v>
      </c>
      <c r="B431" s="14" t="s">
        <v>920</v>
      </c>
      <c r="C431" s="14"/>
      <c r="D431" s="4" t="s">
        <v>2511</v>
      </c>
      <c r="E431" s="2" t="s">
        <v>1033</v>
      </c>
      <c r="F431" s="21" t="s">
        <v>1034</v>
      </c>
      <c r="G431" s="21" t="s">
        <v>2512</v>
      </c>
      <c r="H431" s="5" t="s">
        <v>2513</v>
      </c>
      <c r="I431" s="4">
        <v>282987</v>
      </c>
      <c r="J431" s="4">
        <v>2741119</v>
      </c>
      <c r="K431" s="4">
        <v>282156.93699999998</v>
      </c>
      <c r="L431" s="4">
        <v>2741323.2969999998</v>
      </c>
      <c r="M431" s="5">
        <v>104</v>
      </c>
      <c r="N431" s="5" t="s">
        <v>2354</v>
      </c>
      <c r="O431" s="29">
        <v>42249.625</v>
      </c>
      <c r="P431" s="15" t="s">
        <v>2514</v>
      </c>
      <c r="Q431" s="4"/>
      <c r="R431" s="16" t="s">
        <v>2515</v>
      </c>
      <c r="S431" s="16" t="s">
        <v>2433</v>
      </c>
      <c r="T431" s="5">
        <v>59</v>
      </c>
      <c r="U431" s="21">
        <v>64</v>
      </c>
      <c r="V431" s="21">
        <v>300</v>
      </c>
      <c r="W431" s="8">
        <f t="shared" si="12"/>
        <v>0</v>
      </c>
      <c r="Y431" s="8"/>
      <c r="Z431" s="8"/>
      <c r="AC431" s="8" t="str">
        <f>IF(COUNTIFS(作業區!$W$2:$W$2000, T431, 作業區!$X$2:$X$2000, U431)&gt;0, "已存在", "未擴充")</f>
        <v>已存在</v>
      </c>
    </row>
    <row r="432" spans="1:29" ht="49.5">
      <c r="A432" s="8">
        <f t="shared" si="13"/>
        <v>431</v>
      </c>
      <c r="B432" s="21" t="s">
        <v>754</v>
      </c>
      <c r="C432" s="21"/>
      <c r="D432" s="4" t="s">
        <v>2516</v>
      </c>
      <c r="E432" s="2" t="s">
        <v>769</v>
      </c>
      <c r="F432" s="21" t="s">
        <v>773</v>
      </c>
      <c r="G432" s="21" t="s">
        <v>1425</v>
      </c>
      <c r="H432" s="5" t="s">
        <v>2517</v>
      </c>
      <c r="I432" s="4">
        <v>269832</v>
      </c>
      <c r="J432" s="4">
        <v>2660999</v>
      </c>
      <c r="K432" s="4">
        <v>269002.663</v>
      </c>
      <c r="L432" s="4">
        <v>2661204.6239999998</v>
      </c>
      <c r="M432" s="5">
        <v>104</v>
      </c>
      <c r="N432" s="5" t="s">
        <v>2354</v>
      </c>
      <c r="O432" s="29">
        <v>42217.208333333336</v>
      </c>
      <c r="P432" s="15" t="s">
        <v>2518</v>
      </c>
      <c r="Q432" s="4"/>
      <c r="R432" s="16" t="s">
        <v>2519</v>
      </c>
      <c r="S432" s="16" t="s">
        <v>1428</v>
      </c>
      <c r="T432" s="5">
        <v>0</v>
      </c>
      <c r="U432" s="21">
        <v>0</v>
      </c>
      <c r="V432" s="21">
        <v>250</v>
      </c>
      <c r="W432" s="8">
        <f t="shared" si="12"/>
        <v>0</v>
      </c>
      <c r="Y432" s="8"/>
      <c r="Z432" s="8"/>
      <c r="AC432" s="8" t="str">
        <f>IF(COUNTIFS(作業區!$W$2:$W$2000, T432, 作業區!$X$2:$X$2000, U432)&gt;0, "已存在", "未擴充")</f>
        <v>已存在</v>
      </c>
    </row>
    <row r="433" spans="1:29" ht="33">
      <c r="A433" s="8">
        <f t="shared" si="13"/>
        <v>432</v>
      </c>
      <c r="B433" s="34" t="s">
        <v>893</v>
      </c>
      <c r="C433" s="34"/>
      <c r="D433" s="4"/>
      <c r="E433" s="5" t="s">
        <v>2306</v>
      </c>
      <c r="F433" s="5" t="s">
        <v>2520</v>
      </c>
      <c r="G433" s="5" t="s">
        <v>2521</v>
      </c>
      <c r="H433" s="5"/>
      <c r="I433" s="4">
        <v>318814</v>
      </c>
      <c r="J433" s="4">
        <v>2759335</v>
      </c>
      <c r="K433" s="4">
        <v>317985.26899999997</v>
      </c>
      <c r="L433" s="4">
        <v>2759541.1979999999</v>
      </c>
      <c r="M433" s="34">
        <v>104</v>
      </c>
      <c r="N433" s="34" t="s">
        <v>2522</v>
      </c>
      <c r="O433" s="35">
        <v>42275.958333333336</v>
      </c>
      <c r="P433" s="23" t="s">
        <v>2523</v>
      </c>
      <c r="Q433" s="4"/>
      <c r="R433" s="16" t="s">
        <v>2524</v>
      </c>
      <c r="S433" s="4" t="s">
        <v>2525</v>
      </c>
      <c r="T433" s="5">
        <v>9</v>
      </c>
      <c r="U433" s="21">
        <v>366</v>
      </c>
      <c r="V433" s="5">
        <v>550</v>
      </c>
      <c r="W433" s="8">
        <f t="shared" si="12"/>
        <v>0</v>
      </c>
      <c r="Y433" s="8"/>
      <c r="Z433" s="8"/>
      <c r="AC433" s="8" t="str">
        <f>IF(COUNTIFS(作業區!$W$2:$W$2000, T433, 作業區!$X$2:$X$2000, U433)&gt;0, "已存在", "未擴充")</f>
        <v>已存在</v>
      </c>
    </row>
    <row r="434" spans="1:29" ht="49.5" hidden="1">
      <c r="A434" s="8">
        <f t="shared" si="13"/>
        <v>433</v>
      </c>
      <c r="B434" s="34" t="s">
        <v>739</v>
      </c>
      <c r="C434" s="34"/>
      <c r="D434" s="4"/>
      <c r="E434" s="5" t="s">
        <v>2306</v>
      </c>
      <c r="F434" s="5" t="s">
        <v>2520</v>
      </c>
      <c r="G434" s="5" t="s">
        <v>2526</v>
      </c>
      <c r="H434" s="5" t="s">
        <v>2527</v>
      </c>
      <c r="I434" s="4">
        <v>321552</v>
      </c>
      <c r="J434" s="4">
        <v>2757838</v>
      </c>
      <c r="K434" s="4">
        <v>320723.27600000001</v>
      </c>
      <c r="L434" s="4">
        <v>2758044.1940000001</v>
      </c>
      <c r="M434" s="34">
        <v>104</v>
      </c>
      <c r="N434" s="34" t="s">
        <v>2522</v>
      </c>
      <c r="O434" s="35">
        <v>42275.916666666664</v>
      </c>
      <c r="P434" s="23" t="s">
        <v>2528</v>
      </c>
      <c r="Q434" s="4" t="s">
        <v>2529</v>
      </c>
      <c r="R434" s="4" t="s">
        <v>328</v>
      </c>
      <c r="S434" s="4" t="s">
        <v>2525</v>
      </c>
      <c r="T434" s="5">
        <v>25</v>
      </c>
      <c r="U434" s="21">
        <v>357</v>
      </c>
      <c r="V434" s="5">
        <v>550</v>
      </c>
      <c r="W434" s="8">
        <f t="shared" si="12"/>
        <v>0</v>
      </c>
      <c r="Y434" s="8"/>
      <c r="Z434" s="8"/>
      <c r="AC434" s="8" t="str">
        <f>IF(COUNTIFS(作業區!$W$2:$W$2000, T434, 作業區!$X$2:$X$2000, U434)&gt;0, "已存在", "未擴充")</f>
        <v>已存在</v>
      </c>
    </row>
    <row r="435" spans="1:29" ht="66">
      <c r="A435" s="8">
        <f t="shared" si="13"/>
        <v>434</v>
      </c>
      <c r="B435" s="34" t="s">
        <v>893</v>
      </c>
      <c r="C435" s="34"/>
      <c r="D435" s="4"/>
      <c r="E435" s="5" t="s">
        <v>2306</v>
      </c>
      <c r="F435" s="5" t="s">
        <v>2530</v>
      </c>
      <c r="G435" s="5" t="s">
        <v>2531</v>
      </c>
      <c r="H435" s="5"/>
      <c r="I435" s="4">
        <v>305710</v>
      </c>
      <c r="J435" s="4">
        <v>2749072</v>
      </c>
      <c r="K435" s="4">
        <v>304881.24</v>
      </c>
      <c r="L435" s="4">
        <v>2749278.1609999998</v>
      </c>
      <c r="M435" s="34">
        <v>104</v>
      </c>
      <c r="N435" s="34" t="s">
        <v>2522</v>
      </c>
      <c r="O435" s="35">
        <v>42275.875</v>
      </c>
      <c r="P435" s="23" t="s">
        <v>2532</v>
      </c>
      <c r="Q435" s="4"/>
      <c r="R435" s="16" t="s">
        <v>2480</v>
      </c>
      <c r="S435" s="4" t="s">
        <v>2533</v>
      </c>
      <c r="T435" s="5">
        <v>31</v>
      </c>
      <c r="U435" s="21">
        <v>374</v>
      </c>
      <c r="V435" s="5" t="s">
        <v>2534</v>
      </c>
      <c r="W435" s="8">
        <f t="shared" si="12"/>
        <v>0</v>
      </c>
      <c r="Y435" s="8"/>
      <c r="Z435" s="8"/>
      <c r="AC435" s="8" t="str">
        <f>IF(COUNTIFS(作業區!$W$2:$W$2000, T435, 作業區!$X$2:$X$2000, U435)&gt;0, "已存在", "未擴充")</f>
        <v>已存在</v>
      </c>
    </row>
    <row r="436" spans="1:29" ht="33">
      <c r="A436" s="8">
        <f t="shared" si="13"/>
        <v>435</v>
      </c>
      <c r="B436" s="34" t="s">
        <v>893</v>
      </c>
      <c r="C436" s="34"/>
      <c r="D436" s="4" t="s">
        <v>2535</v>
      </c>
      <c r="E436" s="5" t="s">
        <v>914</v>
      </c>
      <c r="F436" s="5" t="s">
        <v>2536</v>
      </c>
      <c r="G436" s="5" t="s">
        <v>2537</v>
      </c>
      <c r="H436" s="5"/>
      <c r="I436" s="4">
        <v>324555</v>
      </c>
      <c r="J436" s="4">
        <v>2779280</v>
      </c>
      <c r="K436" s="4">
        <v>323726.27500000002</v>
      </c>
      <c r="L436" s="4">
        <v>2779486.2629999998</v>
      </c>
      <c r="M436" s="34">
        <v>105</v>
      </c>
      <c r="N436" s="34" t="s">
        <v>1999</v>
      </c>
      <c r="O436" s="35">
        <v>42653.041666666664</v>
      </c>
      <c r="P436" s="15" t="s">
        <v>2538</v>
      </c>
      <c r="Q436" s="4"/>
      <c r="R436" s="4">
        <v>466940</v>
      </c>
      <c r="S436" s="16" t="s">
        <v>2539</v>
      </c>
      <c r="T436" s="5">
        <v>7.5</v>
      </c>
      <c r="U436" s="21">
        <v>346</v>
      </c>
      <c r="V436" s="5" t="s">
        <v>2540</v>
      </c>
      <c r="W436" s="8">
        <f t="shared" si="12"/>
        <v>0</v>
      </c>
      <c r="Y436" s="8"/>
      <c r="Z436" s="8"/>
      <c r="AC436" s="8" t="str">
        <f>IF(COUNTIFS(作業區!$W$2:$W$2000, T436, 作業區!$X$2:$X$2000, U436)&gt;0, "已存在", "未擴充")</f>
        <v>已存在</v>
      </c>
    </row>
    <row r="437" spans="1:29" ht="33">
      <c r="A437" s="8">
        <f t="shared" si="13"/>
        <v>436</v>
      </c>
      <c r="B437" s="34" t="s">
        <v>893</v>
      </c>
      <c r="C437" s="34"/>
      <c r="D437" s="4" t="s">
        <v>2541</v>
      </c>
      <c r="E437" s="5" t="s">
        <v>895</v>
      </c>
      <c r="F437" s="5" t="s">
        <v>2542</v>
      </c>
      <c r="G437" s="5" t="s">
        <v>2543</v>
      </c>
      <c r="H437" s="5"/>
      <c r="I437" s="4">
        <v>316150</v>
      </c>
      <c r="J437" s="4">
        <v>2771805</v>
      </c>
      <c r="K437" s="4">
        <v>315321.25799999997</v>
      </c>
      <c r="L437" s="4">
        <v>2772011.2370000002</v>
      </c>
      <c r="M437" s="34">
        <v>105</v>
      </c>
      <c r="N437" s="34" t="s">
        <v>1999</v>
      </c>
      <c r="O437" s="35">
        <v>42652.25</v>
      </c>
      <c r="P437" s="23" t="s">
        <v>2544</v>
      </c>
      <c r="Q437" s="4"/>
      <c r="R437" s="16" t="s">
        <v>2545</v>
      </c>
      <c r="S437" s="16" t="s">
        <v>2546</v>
      </c>
      <c r="T437" s="5">
        <v>7</v>
      </c>
      <c r="U437" s="21">
        <v>114.5</v>
      </c>
      <c r="V437" s="21">
        <v>500</v>
      </c>
      <c r="W437" s="8">
        <f t="shared" si="12"/>
        <v>0</v>
      </c>
      <c r="Y437" s="8"/>
      <c r="Z437" s="8"/>
      <c r="AC437" s="8" t="str">
        <f>IF(COUNTIFS(作業區!$W$2:$W$2000, T437, 作業區!$X$2:$X$2000, U437)&gt;0, "已存在", "未擴充")</f>
        <v>已存在</v>
      </c>
    </row>
    <row r="438" spans="1:29" ht="33">
      <c r="A438" s="8">
        <f t="shared" si="13"/>
        <v>437</v>
      </c>
      <c r="B438" s="34" t="s">
        <v>893</v>
      </c>
      <c r="C438" s="34"/>
      <c r="D438" s="4" t="s">
        <v>2547</v>
      </c>
      <c r="E438" s="5" t="s">
        <v>747</v>
      </c>
      <c r="F438" s="5" t="s">
        <v>741</v>
      </c>
      <c r="G438" s="5" t="s">
        <v>2548</v>
      </c>
      <c r="H438" s="5"/>
      <c r="I438" s="4">
        <v>279205</v>
      </c>
      <c r="J438" s="4">
        <v>2723471</v>
      </c>
      <c r="K438" s="4">
        <v>278376.17599999998</v>
      </c>
      <c r="L438" s="4">
        <v>2723677.071</v>
      </c>
      <c r="M438" s="34">
        <v>105</v>
      </c>
      <c r="N438" s="34" t="s">
        <v>1999</v>
      </c>
      <c r="O438" s="35">
        <v>42644.416666666664</v>
      </c>
      <c r="P438" s="23" t="s">
        <v>2549</v>
      </c>
      <c r="Q438" s="4"/>
      <c r="R438" s="16" t="s">
        <v>2550</v>
      </c>
      <c r="S438" s="16" t="s">
        <v>2551</v>
      </c>
      <c r="T438" s="5">
        <v>0</v>
      </c>
      <c r="U438" s="21">
        <v>0</v>
      </c>
      <c r="V438" s="5" t="s">
        <v>2540</v>
      </c>
      <c r="W438" s="8">
        <f t="shared" si="12"/>
        <v>0</v>
      </c>
      <c r="Y438" s="8"/>
      <c r="Z438" s="8"/>
      <c r="AC438" s="8" t="str">
        <f>IF(COUNTIFS(作業區!$W$2:$W$2000, T438, 作業區!$X$2:$X$2000, U438)&gt;0, "已存在", "未擴充")</f>
        <v>已存在</v>
      </c>
    </row>
    <row r="439" spans="1:29" ht="33">
      <c r="A439" s="8">
        <f t="shared" si="13"/>
        <v>438</v>
      </c>
      <c r="B439" s="34" t="s">
        <v>2552</v>
      </c>
      <c r="C439" s="34"/>
      <c r="D439" s="4" t="s">
        <v>2553</v>
      </c>
      <c r="E439" s="5" t="s">
        <v>2554</v>
      </c>
      <c r="F439" s="5" t="s">
        <v>2428</v>
      </c>
      <c r="G439" s="5" t="s">
        <v>1131</v>
      </c>
      <c r="H439" s="5"/>
      <c r="I439" s="4">
        <v>279205</v>
      </c>
      <c r="J439" s="4">
        <v>2723471</v>
      </c>
      <c r="K439" s="4">
        <v>278376.17599999998</v>
      </c>
      <c r="L439" s="4">
        <v>2723677.071</v>
      </c>
      <c r="M439" s="34">
        <v>105</v>
      </c>
      <c r="N439" s="34" t="s">
        <v>2005</v>
      </c>
      <c r="O439" s="35">
        <v>42641.583333333336</v>
      </c>
      <c r="P439" s="23" t="s">
        <v>2555</v>
      </c>
      <c r="Q439" s="4"/>
      <c r="R439" s="36" t="s">
        <v>2556</v>
      </c>
      <c r="S439" s="16" t="s">
        <v>1135</v>
      </c>
      <c r="T439" s="5">
        <v>56</v>
      </c>
      <c r="U439" s="21">
        <v>329</v>
      </c>
      <c r="V439" s="21">
        <v>300</v>
      </c>
      <c r="W439" s="8">
        <f t="shared" si="12"/>
        <v>0</v>
      </c>
      <c r="Y439" s="8"/>
      <c r="Z439" s="8"/>
      <c r="AC439" s="8" t="str">
        <f>IF(COUNTIFS(作業區!$W$2:$W$2000, T439, 作業區!$X$2:$X$2000, U439)&gt;0, "已存在", "未擴充")</f>
        <v>已存在</v>
      </c>
    </row>
    <row r="440" spans="1:29" ht="33">
      <c r="A440" s="8">
        <f t="shared" si="13"/>
        <v>439</v>
      </c>
      <c r="B440" s="34" t="s">
        <v>2552</v>
      </c>
      <c r="C440" s="34"/>
      <c r="D440" s="4" t="s">
        <v>2557</v>
      </c>
      <c r="E440" s="5" t="s">
        <v>802</v>
      </c>
      <c r="F440" s="5" t="s">
        <v>2558</v>
      </c>
      <c r="G440" s="5" t="s">
        <v>2559</v>
      </c>
      <c r="H440" s="5"/>
      <c r="I440" s="4">
        <v>186260</v>
      </c>
      <c r="J440" s="4">
        <v>2521060</v>
      </c>
      <c r="K440" s="4">
        <v>185430.856</v>
      </c>
      <c r="L440" s="4">
        <v>2521265.2940000002</v>
      </c>
      <c r="M440" s="34">
        <v>105</v>
      </c>
      <c r="N440" s="34" t="s">
        <v>2005</v>
      </c>
      <c r="O440" s="35">
        <v>42641.458333333336</v>
      </c>
      <c r="P440" s="23" t="s">
        <v>2560</v>
      </c>
      <c r="Q440" s="4"/>
      <c r="R440" s="16" t="s">
        <v>2561</v>
      </c>
      <c r="S440" s="16" t="s">
        <v>2562</v>
      </c>
      <c r="T440" s="5">
        <v>0</v>
      </c>
      <c r="U440" s="21">
        <v>474</v>
      </c>
      <c r="V440" s="5" t="s">
        <v>2540</v>
      </c>
      <c r="W440" s="8">
        <f t="shared" si="12"/>
        <v>1</v>
      </c>
      <c r="Y440" s="8"/>
      <c r="Z440" s="8"/>
      <c r="AC440" s="8" t="str">
        <f>IF(COUNTIFS(作業區!$W$2:$W$2000, T440, 作業區!$X$2:$X$2000, U440)&gt;0, "已存在", "未擴充")</f>
        <v>已存在</v>
      </c>
    </row>
    <row r="441" spans="1:29" ht="33">
      <c r="A441" s="8">
        <f t="shared" si="13"/>
        <v>440</v>
      </c>
      <c r="B441" s="34" t="s">
        <v>893</v>
      </c>
      <c r="C441" s="34"/>
      <c r="D441" s="4" t="s">
        <v>2563</v>
      </c>
      <c r="E441" s="5" t="s">
        <v>780</v>
      </c>
      <c r="F441" s="5" t="s">
        <v>822</v>
      </c>
      <c r="G441" s="5" t="s">
        <v>2564</v>
      </c>
      <c r="H441" s="5"/>
      <c r="I441" s="4">
        <v>211271</v>
      </c>
      <c r="J441" s="4">
        <v>2600907</v>
      </c>
      <c r="K441" s="4">
        <v>210441.96799999999</v>
      </c>
      <c r="L441" s="4">
        <v>2601112.6209999998</v>
      </c>
      <c r="M441" s="34">
        <v>105</v>
      </c>
      <c r="N441" s="34" t="s">
        <v>2005</v>
      </c>
      <c r="O441" s="35">
        <v>42641.083333333336</v>
      </c>
      <c r="P441" s="23" t="s">
        <v>2565</v>
      </c>
      <c r="Q441" s="4"/>
      <c r="R441" s="16" t="s">
        <v>2566</v>
      </c>
      <c r="S441" s="16" t="s">
        <v>2567</v>
      </c>
      <c r="T441" s="5">
        <v>43</v>
      </c>
      <c r="U441" s="21">
        <v>314</v>
      </c>
      <c r="V441" s="21" t="s">
        <v>2540</v>
      </c>
      <c r="W441" s="8">
        <f t="shared" si="12"/>
        <v>0</v>
      </c>
      <c r="Y441" s="8"/>
      <c r="Z441" s="8"/>
      <c r="AC441" s="8" t="str">
        <f>IF(COUNTIFS(作業區!$W$2:$W$2000, T441, 作業區!$X$2:$X$2000, U441)&gt;0, "已存在", "未擴充")</f>
        <v>已存在</v>
      </c>
    </row>
    <row r="442" spans="1:29" ht="33">
      <c r="A442" s="8">
        <f t="shared" si="13"/>
        <v>441</v>
      </c>
      <c r="B442" s="34" t="s">
        <v>1856</v>
      </c>
      <c r="C442" s="34"/>
      <c r="D442" s="4" t="s">
        <v>2568</v>
      </c>
      <c r="E442" s="5" t="s">
        <v>802</v>
      </c>
      <c r="F442" s="5" t="s">
        <v>2569</v>
      </c>
      <c r="G442" s="5" t="s">
        <v>2570</v>
      </c>
      <c r="H442" s="5"/>
      <c r="I442" s="4">
        <v>194630</v>
      </c>
      <c r="J442" s="4">
        <v>2525785</v>
      </c>
      <c r="K442" s="4">
        <v>193800.889</v>
      </c>
      <c r="L442" s="4">
        <v>2525990.3119999999</v>
      </c>
      <c r="M442" s="34">
        <v>105</v>
      </c>
      <c r="N442" s="34" t="s">
        <v>2005</v>
      </c>
      <c r="O442" s="35">
        <v>42641.125</v>
      </c>
      <c r="P442" s="23" t="s">
        <v>2571</v>
      </c>
      <c r="Q442" s="4"/>
      <c r="R442" s="16" t="s">
        <v>2572</v>
      </c>
      <c r="S442" s="16" t="s">
        <v>2573</v>
      </c>
      <c r="T442" s="5">
        <v>51.5</v>
      </c>
      <c r="U442" s="21">
        <v>368</v>
      </c>
      <c r="V442" s="5">
        <v>400</v>
      </c>
      <c r="W442" s="8">
        <f t="shared" si="12"/>
        <v>0</v>
      </c>
      <c r="Y442" s="8"/>
      <c r="Z442" s="8"/>
      <c r="AC442" s="8" t="str">
        <f>IF(COUNTIFS(作業區!$W$2:$W$2000, T442, 作業區!$X$2:$X$2000, U442)&gt;0, "已存在", "未擴充")</f>
        <v>已存在</v>
      </c>
    </row>
    <row r="443" spans="1:29" ht="33" hidden="1">
      <c r="A443" s="8">
        <f t="shared" si="13"/>
        <v>442</v>
      </c>
      <c r="B443" s="34" t="s">
        <v>920</v>
      </c>
      <c r="C443" s="34"/>
      <c r="D443" s="4" t="s">
        <v>2574</v>
      </c>
      <c r="E443" s="5" t="s">
        <v>780</v>
      </c>
      <c r="F443" s="5" t="s">
        <v>822</v>
      </c>
      <c r="G443" s="5" t="s">
        <v>1087</v>
      </c>
      <c r="H443" s="5" t="s">
        <v>2575</v>
      </c>
      <c r="I443" s="4">
        <v>209565</v>
      </c>
      <c r="J443" s="4">
        <v>2604924</v>
      </c>
      <c r="K443" s="4">
        <v>208735.96299999999</v>
      </c>
      <c r="L443" s="4">
        <v>2605129.6370000001</v>
      </c>
      <c r="M443" s="34">
        <v>105</v>
      </c>
      <c r="N443" s="34" t="s">
        <v>2005</v>
      </c>
      <c r="O443" s="35">
        <v>42640.958333333336</v>
      </c>
      <c r="P443" s="23" t="s">
        <v>2576</v>
      </c>
      <c r="Q443" s="4"/>
      <c r="R443" s="16" t="s">
        <v>2577</v>
      </c>
      <c r="S443" s="16" t="s">
        <v>2578</v>
      </c>
      <c r="T443" s="5">
        <v>28.5</v>
      </c>
      <c r="U443" s="21">
        <v>325.5</v>
      </c>
      <c r="V443" s="21" t="s">
        <v>2540</v>
      </c>
      <c r="W443" s="8">
        <f t="shared" si="12"/>
        <v>0</v>
      </c>
      <c r="Y443" s="8"/>
      <c r="Z443" s="8"/>
      <c r="AC443" s="8" t="str">
        <f>IF(COUNTIFS(作業區!$W$2:$W$2000, T443, 作業區!$X$2:$X$2000, U443)&gt;0, "已存在", "未擴充")</f>
        <v>已存在</v>
      </c>
    </row>
    <row r="444" spans="1:29" ht="33">
      <c r="A444" s="8">
        <f t="shared" si="13"/>
        <v>443</v>
      </c>
      <c r="B444" s="34" t="s">
        <v>739</v>
      </c>
      <c r="C444" s="34"/>
      <c r="D444" s="4" t="s">
        <v>2579</v>
      </c>
      <c r="E444" s="5" t="s">
        <v>802</v>
      </c>
      <c r="F444" s="5" t="s">
        <v>803</v>
      </c>
      <c r="G444" s="5" t="s">
        <v>1987</v>
      </c>
      <c r="H444" s="5" t="s">
        <v>2580</v>
      </c>
      <c r="I444" s="4">
        <v>217130</v>
      </c>
      <c r="J444" s="4">
        <v>2553900</v>
      </c>
      <c r="K444" s="4">
        <v>216300.97899999999</v>
      </c>
      <c r="L444" s="4">
        <v>2554105.4279999998</v>
      </c>
      <c r="M444" s="34">
        <v>105</v>
      </c>
      <c r="N444" s="34" t="s">
        <v>2005</v>
      </c>
      <c r="O444" s="35">
        <v>42640.916666666664</v>
      </c>
      <c r="P444" s="23" t="s">
        <v>2581</v>
      </c>
      <c r="Q444" s="4"/>
      <c r="R444" s="16" t="s">
        <v>255</v>
      </c>
      <c r="S444" s="16" t="s">
        <v>2582</v>
      </c>
      <c r="T444" s="5">
        <v>73.5</v>
      </c>
      <c r="U444" s="5">
        <v>245.5</v>
      </c>
      <c r="V444" s="5">
        <v>300</v>
      </c>
      <c r="W444" s="8">
        <f t="shared" si="12"/>
        <v>0</v>
      </c>
      <c r="Y444" s="8"/>
      <c r="Z444" s="8"/>
      <c r="AC444" s="8" t="str">
        <f>IF(COUNTIFS(作業區!$W$2:$W$2000, T444, 作業區!$X$2:$X$2000, U444)&gt;0, "已存在", "未擴充")</f>
        <v>已存在</v>
      </c>
    </row>
    <row r="445" spans="1:29" ht="33" hidden="1">
      <c r="A445" s="8">
        <f t="shared" si="13"/>
        <v>444</v>
      </c>
      <c r="B445" s="34" t="s">
        <v>920</v>
      </c>
      <c r="C445" s="34"/>
      <c r="D445" s="4" t="s">
        <v>2583</v>
      </c>
      <c r="E445" s="5" t="s">
        <v>895</v>
      </c>
      <c r="F445" s="14" t="s">
        <v>2456</v>
      </c>
      <c r="G445" s="5" t="s">
        <v>2584</v>
      </c>
      <c r="H445" s="5" t="s">
        <v>2585</v>
      </c>
      <c r="I445" s="4">
        <v>308281</v>
      </c>
      <c r="J445" s="4">
        <v>2760217</v>
      </c>
      <c r="K445" s="4">
        <v>307452.24300000002</v>
      </c>
      <c r="L445" s="4">
        <v>2760423.1979999999</v>
      </c>
      <c r="M445" s="34">
        <v>105</v>
      </c>
      <c r="N445" s="34" t="s">
        <v>2005</v>
      </c>
      <c r="O445" s="35">
        <v>42640.583333333336</v>
      </c>
      <c r="P445" s="23" t="s">
        <v>2586</v>
      </c>
      <c r="Q445" s="4"/>
      <c r="R445" s="16" t="s">
        <v>2587</v>
      </c>
      <c r="S445" s="16" t="s">
        <v>2588</v>
      </c>
      <c r="T445" s="5">
        <v>37</v>
      </c>
      <c r="U445" s="21">
        <v>293</v>
      </c>
      <c r="V445" s="5">
        <v>450</v>
      </c>
      <c r="W445" s="8">
        <f t="shared" si="12"/>
        <v>0</v>
      </c>
      <c r="Y445" s="8"/>
      <c r="Z445" s="8"/>
      <c r="AC445" s="8" t="str">
        <f>IF(COUNTIFS(作業區!$W$2:$W$2000, T445, 作業區!$X$2:$X$2000, U445)&gt;0, "已存在", "未擴充")</f>
        <v>已存在</v>
      </c>
    </row>
    <row r="446" spans="1:29" ht="33">
      <c r="A446" s="8">
        <f t="shared" si="13"/>
        <v>445</v>
      </c>
      <c r="B446" s="34" t="s">
        <v>1856</v>
      </c>
      <c r="C446" s="34"/>
      <c r="D446" s="4" t="s">
        <v>2589</v>
      </c>
      <c r="E446" s="5" t="s">
        <v>922</v>
      </c>
      <c r="F446" s="5" t="s">
        <v>2101</v>
      </c>
      <c r="G446" s="5" t="s">
        <v>1504</v>
      </c>
      <c r="H446" s="5" t="s">
        <v>1757</v>
      </c>
      <c r="I446" s="4">
        <v>242200</v>
      </c>
      <c r="J446" s="4">
        <v>2483435</v>
      </c>
      <c r="K446" s="4">
        <v>241371.06599999999</v>
      </c>
      <c r="L446" s="4">
        <v>2483640.1159999999</v>
      </c>
      <c r="M446" s="34">
        <v>105</v>
      </c>
      <c r="N446" s="34" t="s">
        <v>2590</v>
      </c>
      <c r="O446" s="35">
        <v>42628.520833333336</v>
      </c>
      <c r="P446" s="23" t="s">
        <v>2591</v>
      </c>
      <c r="Q446" s="4"/>
      <c r="R446" s="16" t="s">
        <v>2592</v>
      </c>
      <c r="S446" s="16" t="s">
        <v>2593</v>
      </c>
      <c r="T446" s="5">
        <v>0.5</v>
      </c>
      <c r="U446" s="21">
        <v>156.5</v>
      </c>
      <c r="V446" s="5">
        <v>450</v>
      </c>
      <c r="W446" s="8">
        <f t="shared" si="12"/>
        <v>0</v>
      </c>
      <c r="Y446" s="8"/>
      <c r="Z446" s="8"/>
      <c r="AC446" s="8" t="str">
        <f>IF(COUNTIFS(作業區!$W$2:$W$2000, T446, 作業區!$X$2:$X$2000, U446)&gt;0, "已存在", "未擴充")</f>
        <v>已存在</v>
      </c>
    </row>
    <row r="447" spans="1:29" ht="33" hidden="1">
      <c r="A447" s="8">
        <f t="shared" si="13"/>
        <v>446</v>
      </c>
      <c r="B447" s="34" t="s">
        <v>1856</v>
      </c>
      <c r="C447" s="34"/>
      <c r="D447" s="4" t="s">
        <v>2594</v>
      </c>
      <c r="E447" s="5" t="s">
        <v>922</v>
      </c>
      <c r="F447" s="5" t="s">
        <v>2595</v>
      </c>
      <c r="G447" s="5" t="s">
        <v>2594</v>
      </c>
      <c r="H447" s="5" t="s">
        <v>2596</v>
      </c>
      <c r="I447" s="4">
        <v>255700</v>
      </c>
      <c r="J447" s="4">
        <v>2532737</v>
      </c>
      <c r="K447" s="4">
        <v>254871.11799999999</v>
      </c>
      <c r="L447" s="4">
        <v>2532942.335</v>
      </c>
      <c r="M447" s="34">
        <v>105</v>
      </c>
      <c r="N447" s="34" t="s">
        <v>2590</v>
      </c>
      <c r="O447" s="35">
        <v>42628.166666666664</v>
      </c>
      <c r="P447" s="23" t="s">
        <v>2597</v>
      </c>
      <c r="Q447" s="4"/>
      <c r="R447" s="16" t="s">
        <v>658</v>
      </c>
      <c r="S447" s="16" t="s">
        <v>2598</v>
      </c>
      <c r="T447" s="5">
        <v>19</v>
      </c>
      <c r="U447" s="5">
        <v>513.5</v>
      </c>
      <c r="V447" s="5">
        <v>500</v>
      </c>
      <c r="W447" s="8">
        <f t="shared" si="12"/>
        <v>0</v>
      </c>
      <c r="Y447" s="8"/>
      <c r="Z447" s="8"/>
      <c r="AC447" s="8" t="str">
        <f>IF(COUNTIFS(作業區!$W$2:$W$2000, T447, 作業區!$X$2:$X$2000, U447)&gt;0, "已存在", "未擴充")</f>
        <v>已存在</v>
      </c>
    </row>
    <row r="448" spans="1:29" ht="33">
      <c r="A448" s="8">
        <f t="shared" si="13"/>
        <v>447</v>
      </c>
      <c r="B448" s="34" t="s">
        <v>2599</v>
      </c>
      <c r="C448" s="34"/>
      <c r="D448" s="4" t="s">
        <v>2600</v>
      </c>
      <c r="E448" s="5" t="s">
        <v>780</v>
      </c>
      <c r="F448" s="5" t="s">
        <v>1068</v>
      </c>
      <c r="G448" s="5" t="s">
        <v>2601</v>
      </c>
      <c r="H448" s="5"/>
      <c r="I448" s="4">
        <v>201200</v>
      </c>
      <c r="J448" s="4">
        <v>2584765</v>
      </c>
      <c r="K448" s="4">
        <v>200370.93</v>
      </c>
      <c r="L448" s="4">
        <v>2584970.5580000002</v>
      </c>
      <c r="M448" s="34">
        <v>105</v>
      </c>
      <c r="N448" s="34" t="s">
        <v>1999</v>
      </c>
      <c r="O448" s="35">
        <v>42621.041666666664</v>
      </c>
      <c r="P448" s="23" t="s">
        <v>2602</v>
      </c>
      <c r="Q448" s="4"/>
      <c r="R448" s="16" t="s">
        <v>189</v>
      </c>
      <c r="S448" s="16" t="s">
        <v>2603</v>
      </c>
      <c r="T448" s="5">
        <v>0</v>
      </c>
      <c r="U448" s="21">
        <v>67</v>
      </c>
      <c r="V448" s="5" t="s">
        <v>2540</v>
      </c>
      <c r="W448" s="8">
        <f t="shared" si="12"/>
        <v>0</v>
      </c>
      <c r="Y448" s="8"/>
      <c r="Z448" s="8"/>
      <c r="AC448" s="8" t="str">
        <f>IF(COUNTIFS(作業區!$W$2:$W$2000, T448, 作業區!$X$2:$X$2000, U448)&gt;0, "已存在", "未擴充")</f>
        <v>已存在</v>
      </c>
    </row>
    <row r="449" spans="1:29" ht="33">
      <c r="A449" s="8">
        <f t="shared" si="13"/>
        <v>448</v>
      </c>
      <c r="B449" s="34" t="s">
        <v>920</v>
      </c>
      <c r="C449" s="34"/>
      <c r="D449" s="4" t="s">
        <v>2604</v>
      </c>
      <c r="E449" s="5" t="s">
        <v>942</v>
      </c>
      <c r="F449" s="5" t="s">
        <v>1186</v>
      </c>
      <c r="G449" s="5" t="s">
        <v>1280</v>
      </c>
      <c r="H449" s="5" t="s">
        <v>2605</v>
      </c>
      <c r="I449" s="4">
        <v>195861</v>
      </c>
      <c r="J449" s="4">
        <v>2566692</v>
      </c>
      <c r="K449" s="4">
        <v>195031.90599999999</v>
      </c>
      <c r="L449" s="4">
        <v>2566897.486</v>
      </c>
      <c r="M449" s="34">
        <v>105</v>
      </c>
      <c r="N449" s="34" t="s">
        <v>1999</v>
      </c>
      <c r="O449" s="35">
        <v>42619.666666666664</v>
      </c>
      <c r="P449" s="23" t="s">
        <v>2606</v>
      </c>
      <c r="Q449" s="4"/>
      <c r="R449" s="16" t="s">
        <v>2607</v>
      </c>
      <c r="S449" s="16" t="s">
        <v>1315</v>
      </c>
      <c r="T449" s="5">
        <v>31</v>
      </c>
      <c r="U449" s="21">
        <v>84</v>
      </c>
      <c r="V449" s="5">
        <v>400</v>
      </c>
      <c r="W449" s="8">
        <f t="shared" si="12"/>
        <v>0</v>
      </c>
      <c r="Y449" s="8"/>
      <c r="Z449" s="8"/>
      <c r="AC449" s="8" t="str">
        <f>IF(COUNTIFS(作業區!$W$2:$W$2000, T449, 作業區!$X$2:$X$2000, U449)&gt;0, "已存在", "未擴充")</f>
        <v>已存在</v>
      </c>
    </row>
    <row r="450" spans="1:29" ht="33">
      <c r="A450" s="8">
        <f t="shared" si="13"/>
        <v>449</v>
      </c>
      <c r="B450" s="34" t="s">
        <v>893</v>
      </c>
      <c r="C450" s="34"/>
      <c r="D450" s="4" t="s">
        <v>2608</v>
      </c>
      <c r="E450" s="5" t="s">
        <v>780</v>
      </c>
      <c r="F450" s="5" t="s">
        <v>1068</v>
      </c>
      <c r="G450" s="5" t="s">
        <v>2609</v>
      </c>
      <c r="H450" s="5"/>
      <c r="I450" s="4">
        <v>202172</v>
      </c>
      <c r="J450" s="4">
        <v>2590230</v>
      </c>
      <c r="K450" s="4">
        <v>201342.935</v>
      </c>
      <c r="L450" s="4">
        <v>2590435.58</v>
      </c>
      <c r="M450" s="34">
        <v>105</v>
      </c>
      <c r="N450" s="34" t="s">
        <v>1999</v>
      </c>
      <c r="O450" s="35">
        <v>42618.958333333336</v>
      </c>
      <c r="P450" s="23" t="s">
        <v>2610</v>
      </c>
      <c r="Q450" s="4"/>
      <c r="R450" s="16" t="s">
        <v>2611</v>
      </c>
      <c r="S450" s="16" t="s">
        <v>2612</v>
      </c>
      <c r="T450" s="5">
        <v>0</v>
      </c>
      <c r="U450" s="21">
        <v>72</v>
      </c>
      <c r="V450" s="5" t="s">
        <v>2540</v>
      </c>
      <c r="W450" s="8">
        <f t="shared" ref="W450:W513" si="14">IF(IF(ISERROR(SEARCH("-",P450))=TRUE,0,1)=1,IF(H450&lt;&gt;"",0,1),0)</f>
        <v>0</v>
      </c>
      <c r="Y450" s="8"/>
      <c r="Z450" s="8"/>
      <c r="AC450" s="8" t="str">
        <f>IF(COUNTIFS(作業區!$W$2:$W$2000, T450, 作業區!$X$2:$X$2000, U450)&gt;0, "已存在", "未擴充")</f>
        <v>已存在</v>
      </c>
    </row>
    <row r="451" spans="1:29" ht="33">
      <c r="A451" s="8">
        <f t="shared" si="13"/>
        <v>450</v>
      </c>
      <c r="B451" s="34" t="s">
        <v>893</v>
      </c>
      <c r="C451" s="34"/>
      <c r="D451" s="4" t="s">
        <v>2613</v>
      </c>
      <c r="E451" s="5" t="s">
        <v>2554</v>
      </c>
      <c r="F451" s="5" t="s">
        <v>2428</v>
      </c>
      <c r="G451" s="5" t="s">
        <v>2614</v>
      </c>
      <c r="H451" s="5"/>
      <c r="I451" s="4">
        <v>287739</v>
      </c>
      <c r="J451" s="4">
        <v>2744467</v>
      </c>
      <c r="K451" s="4">
        <v>286910.19500000001</v>
      </c>
      <c r="L451" s="4">
        <v>2744673.142</v>
      </c>
      <c r="M451" s="34">
        <v>105</v>
      </c>
      <c r="N451" s="34" t="s">
        <v>1999</v>
      </c>
      <c r="O451" s="35">
        <v>42601.895833333336</v>
      </c>
      <c r="P451" s="23" t="s">
        <v>2615</v>
      </c>
      <c r="Q451" s="4"/>
      <c r="R451" s="16" t="s">
        <v>2432</v>
      </c>
      <c r="S451" s="16" t="s">
        <v>2433</v>
      </c>
      <c r="T451" s="5">
        <v>0</v>
      </c>
      <c r="U451" s="21">
        <v>5</v>
      </c>
      <c r="V451" s="5" t="s">
        <v>2540</v>
      </c>
      <c r="W451" s="8">
        <f t="shared" si="14"/>
        <v>0</v>
      </c>
      <c r="Y451" s="8"/>
      <c r="Z451" s="8"/>
      <c r="AC451" s="8" t="str">
        <f>IF(COUNTIFS(作業區!$W$2:$W$2000, T451, 作業區!$X$2:$X$2000, U451)&gt;0, "已存在", "未擴充")</f>
        <v>已存在</v>
      </c>
    </row>
    <row r="452" spans="1:29" ht="33">
      <c r="A452" s="8">
        <f t="shared" si="13"/>
        <v>451</v>
      </c>
      <c r="B452" s="34" t="s">
        <v>893</v>
      </c>
      <c r="C452" s="34"/>
      <c r="D452" s="4" t="s">
        <v>2616</v>
      </c>
      <c r="E452" s="5" t="s">
        <v>922</v>
      </c>
      <c r="F452" s="5" t="s">
        <v>2617</v>
      </c>
      <c r="G452" s="5" t="s">
        <v>2618</v>
      </c>
      <c r="H452" s="5"/>
      <c r="I452" s="4">
        <v>273509</v>
      </c>
      <c r="J452" s="4">
        <v>2538291</v>
      </c>
      <c r="K452" s="4">
        <v>272680.18300000002</v>
      </c>
      <c r="L452" s="4">
        <v>2538496.36</v>
      </c>
      <c r="M452" s="34">
        <v>105</v>
      </c>
      <c r="N452" s="34" t="s">
        <v>2619</v>
      </c>
      <c r="O452" s="35">
        <v>42560.305555555555</v>
      </c>
      <c r="P452" s="23" t="s">
        <v>2620</v>
      </c>
      <c r="Q452" s="4"/>
      <c r="R452" s="16" t="s">
        <v>2432</v>
      </c>
      <c r="S452" s="16" t="s">
        <v>2433</v>
      </c>
      <c r="T452" s="5">
        <v>0.5</v>
      </c>
      <c r="U452" s="5">
        <v>255.5</v>
      </c>
      <c r="V452" s="5" t="s">
        <v>2540</v>
      </c>
      <c r="W452" s="8">
        <f t="shared" si="14"/>
        <v>0</v>
      </c>
      <c r="Y452" s="8"/>
      <c r="Z452" s="8"/>
      <c r="AC452" s="8" t="str">
        <f>IF(COUNTIFS(作業區!$W$2:$W$2000, T452, 作業區!$X$2:$X$2000, U452)&gt;0, "已存在", "未擴充")</f>
        <v>已存在</v>
      </c>
    </row>
    <row r="453" spans="1:29">
      <c r="A453" s="8">
        <f t="shared" si="13"/>
        <v>452</v>
      </c>
      <c r="B453" s="34" t="s">
        <v>920</v>
      </c>
      <c r="C453" s="34"/>
      <c r="D453" s="4"/>
      <c r="E453" s="5" t="s">
        <v>790</v>
      </c>
      <c r="F453" s="5" t="s">
        <v>972</v>
      </c>
      <c r="G453" s="5" t="s">
        <v>2621</v>
      </c>
      <c r="H453" s="5"/>
      <c r="I453" s="4">
        <v>224265</v>
      </c>
      <c r="J453" s="4">
        <v>2516958</v>
      </c>
      <c r="K453" s="4">
        <v>223435.99900000001</v>
      </c>
      <c r="L453" s="4">
        <v>2517163.2680000002</v>
      </c>
      <c r="M453" s="34">
        <v>105</v>
      </c>
      <c r="N453" s="34" t="s">
        <v>2622</v>
      </c>
      <c r="O453" s="35">
        <v>42532.291666666664</v>
      </c>
      <c r="P453" s="23" t="s">
        <v>2623</v>
      </c>
      <c r="Q453" s="4"/>
      <c r="R453" s="16" t="s">
        <v>2624</v>
      </c>
      <c r="S453" s="16" t="s">
        <v>1696</v>
      </c>
      <c r="T453" s="5">
        <v>2.5</v>
      </c>
      <c r="U453" s="21">
        <v>165</v>
      </c>
      <c r="V453" s="5" t="s">
        <v>2540</v>
      </c>
      <c r="W453" s="8">
        <f t="shared" si="14"/>
        <v>0</v>
      </c>
      <c r="Y453" s="8"/>
      <c r="Z453" s="8"/>
      <c r="AC453" s="8" t="str">
        <f>IF(COUNTIFS(作業區!$W$2:$W$2000, T453, 作業區!$X$2:$X$2000, U453)&gt;0, "已存在", "未擴充")</f>
        <v>已存在</v>
      </c>
    </row>
    <row r="454" spans="1:29" ht="33">
      <c r="A454" s="8">
        <f t="shared" si="13"/>
        <v>453</v>
      </c>
      <c r="B454" s="34" t="s">
        <v>2599</v>
      </c>
      <c r="C454" s="34"/>
      <c r="D454" s="4" t="s">
        <v>2625</v>
      </c>
      <c r="E454" s="5" t="s">
        <v>747</v>
      </c>
      <c r="F454" s="5" t="s">
        <v>2626</v>
      </c>
      <c r="G454" s="5" t="s">
        <v>2627</v>
      </c>
      <c r="H454" s="5"/>
      <c r="I454" s="4">
        <v>253638</v>
      </c>
      <c r="J454" s="4">
        <v>2737204</v>
      </c>
      <c r="K454" s="4">
        <v>252809.10699999999</v>
      </c>
      <c r="L454" s="4">
        <v>2737410.1150000002</v>
      </c>
      <c r="M454" s="34">
        <v>105</v>
      </c>
      <c r="N454" s="34" t="s">
        <v>1999</v>
      </c>
      <c r="O454" s="35">
        <v>42445.381944444445</v>
      </c>
      <c r="P454" s="23" t="s">
        <v>2628</v>
      </c>
      <c r="Q454" s="4"/>
      <c r="R454" s="16" t="s">
        <v>2629</v>
      </c>
      <c r="S454" s="16" t="s">
        <v>2630</v>
      </c>
      <c r="T454" s="5">
        <v>0</v>
      </c>
      <c r="U454" s="21">
        <v>0</v>
      </c>
      <c r="V454" s="5" t="s">
        <v>2540</v>
      </c>
      <c r="W454" s="8">
        <f t="shared" si="14"/>
        <v>0</v>
      </c>
      <c r="Y454" s="8"/>
      <c r="Z454" s="8"/>
      <c r="AC454" s="8" t="str">
        <f>IF(COUNTIFS(作業區!$W$2:$W$2000, T454, 作業區!$X$2:$X$2000, U454)&gt;0, "已存在", "未擴充")</f>
        <v>已存在</v>
      </c>
    </row>
    <row r="455" spans="1:29" ht="33">
      <c r="A455" s="8">
        <f t="shared" si="13"/>
        <v>454</v>
      </c>
      <c r="B455" s="34" t="s">
        <v>893</v>
      </c>
      <c r="C455" s="34"/>
      <c r="D455" s="4" t="s">
        <v>2631</v>
      </c>
      <c r="E455" s="5" t="s">
        <v>769</v>
      </c>
      <c r="F455" s="5" t="s">
        <v>859</v>
      </c>
      <c r="G455" s="5" t="s">
        <v>1404</v>
      </c>
      <c r="H455" s="5" t="s">
        <v>2632</v>
      </c>
      <c r="I455" s="4">
        <v>235029</v>
      </c>
      <c r="J455" s="4">
        <v>2622652</v>
      </c>
      <c r="K455" s="4">
        <v>234200.049</v>
      </c>
      <c r="L455" s="4">
        <v>2622857.7030000002</v>
      </c>
      <c r="M455" s="37">
        <v>106</v>
      </c>
      <c r="N455" s="37" t="s">
        <v>2633</v>
      </c>
      <c r="O455" s="38">
        <v>42889.625</v>
      </c>
      <c r="P455" s="15" t="s">
        <v>2634</v>
      </c>
      <c r="Q455" s="4"/>
      <c r="R455" s="4" t="s">
        <v>128</v>
      </c>
      <c r="S455" s="16" t="s">
        <v>1370</v>
      </c>
      <c r="T455" s="5">
        <v>17</v>
      </c>
      <c r="U455" s="21">
        <v>430</v>
      </c>
      <c r="V455" s="4">
        <v>250</v>
      </c>
      <c r="W455" s="8">
        <f t="shared" si="14"/>
        <v>0</v>
      </c>
      <c r="Y455" s="8"/>
      <c r="Z455" s="8"/>
      <c r="AC455" s="8" t="str">
        <f>IF(COUNTIFS(作業區!$W$2:$W$2000, T455, 作業區!$X$2:$X$2000, U455)&gt;0, "已存在", "未擴充")</f>
        <v>已存在</v>
      </c>
    </row>
    <row r="456" spans="1:29" ht="33" hidden="1">
      <c r="A456" s="8">
        <f t="shared" si="13"/>
        <v>455</v>
      </c>
      <c r="B456" s="37" t="s">
        <v>1856</v>
      </c>
      <c r="C456" s="37"/>
      <c r="D456" s="4"/>
      <c r="E456" s="5" t="s">
        <v>869</v>
      </c>
      <c r="F456" s="5" t="s">
        <v>1581</v>
      </c>
      <c r="G456" s="5" t="s">
        <v>2635</v>
      </c>
      <c r="H456" s="2" t="s">
        <v>2636</v>
      </c>
      <c r="I456" s="4">
        <v>209806</v>
      </c>
      <c r="J456" s="4">
        <v>2611294</v>
      </c>
      <c r="K456" s="4">
        <v>208976.965</v>
      </c>
      <c r="L456" s="4">
        <v>2611499.6630000002</v>
      </c>
      <c r="M456" s="37">
        <v>106</v>
      </c>
      <c r="N456" s="37" t="s">
        <v>2633</v>
      </c>
      <c r="O456" s="38">
        <v>42889.958333333336</v>
      </c>
      <c r="P456" s="23" t="s">
        <v>2637</v>
      </c>
      <c r="Q456" s="4" t="s">
        <v>2638</v>
      </c>
      <c r="R456" s="4" t="s">
        <v>179</v>
      </c>
      <c r="S456" s="16" t="s">
        <v>2639</v>
      </c>
      <c r="T456" s="5">
        <v>54</v>
      </c>
      <c r="U456" s="21">
        <v>614</v>
      </c>
      <c r="V456" s="5">
        <v>300</v>
      </c>
      <c r="W456" s="8">
        <f t="shared" si="14"/>
        <v>0</v>
      </c>
      <c r="Y456" s="8"/>
      <c r="Z456" s="8"/>
      <c r="AC456" s="8" t="str">
        <f>IF(COUNTIFS(作業區!$W$2:$W$2000, T456, 作業區!$X$2:$X$2000, U456)&gt;0, "已存在", "未擴充")</f>
        <v>已存在</v>
      </c>
    </row>
    <row r="457" spans="1:29" ht="33">
      <c r="A457" s="8">
        <f t="shared" ref="A457:A520" si="15">ROW(A457)-1</f>
        <v>456</v>
      </c>
      <c r="B457" s="34" t="s">
        <v>893</v>
      </c>
      <c r="C457" s="34"/>
      <c r="D457" s="4"/>
      <c r="E457" s="5" t="s">
        <v>769</v>
      </c>
      <c r="F457" s="5" t="s">
        <v>953</v>
      </c>
      <c r="G457" s="5" t="s">
        <v>2640</v>
      </c>
      <c r="H457" s="5"/>
      <c r="I457" s="4">
        <v>224659</v>
      </c>
      <c r="J457" s="4">
        <v>2623034</v>
      </c>
      <c r="K457" s="4">
        <v>223830.016</v>
      </c>
      <c r="L457" s="4">
        <v>2623239.7059999998</v>
      </c>
      <c r="M457" s="37">
        <v>106</v>
      </c>
      <c r="N457" s="37" t="s">
        <v>2633</v>
      </c>
      <c r="O457" s="38">
        <v>42889.958333333336</v>
      </c>
      <c r="P457" s="23" t="s">
        <v>2641</v>
      </c>
      <c r="Q457" s="4"/>
      <c r="R457" s="4" t="s">
        <v>1769</v>
      </c>
      <c r="S457" s="16" t="s">
        <v>2642</v>
      </c>
      <c r="T457" s="5">
        <v>47</v>
      </c>
      <c r="U457" s="21">
        <v>605</v>
      </c>
      <c r="V457" s="4">
        <v>300</v>
      </c>
      <c r="W457" s="8">
        <f t="shared" si="14"/>
        <v>0</v>
      </c>
      <c r="Y457" s="8"/>
      <c r="Z457" s="8"/>
      <c r="AC457" s="8" t="str">
        <f>IF(COUNTIFS(作業區!$W$2:$W$2000, T457, 作業區!$X$2:$X$2000, U457)&gt;0, "已存在", "未擴充")</f>
        <v>已存在</v>
      </c>
    </row>
    <row r="458" spans="1:29" ht="33">
      <c r="A458" s="8">
        <f t="shared" si="15"/>
        <v>457</v>
      </c>
      <c r="B458" s="37" t="s">
        <v>1073</v>
      </c>
      <c r="C458" s="37"/>
      <c r="D458" s="4"/>
      <c r="E458" s="5" t="s">
        <v>769</v>
      </c>
      <c r="F458" s="5" t="s">
        <v>859</v>
      </c>
      <c r="G458" s="5" t="s">
        <v>1573</v>
      </c>
      <c r="H458" s="5"/>
      <c r="I458" s="4">
        <v>237605</v>
      </c>
      <c r="J458" s="4">
        <v>2607982</v>
      </c>
      <c r="K458" s="4">
        <v>236776.05600000001</v>
      </c>
      <c r="L458" s="4">
        <v>2608187.6460000002</v>
      </c>
      <c r="M458" s="37">
        <v>106</v>
      </c>
      <c r="N458" s="37" t="s">
        <v>2633</v>
      </c>
      <c r="O458" s="38">
        <v>42889.791666666664</v>
      </c>
      <c r="P458" s="23" t="s">
        <v>2643</v>
      </c>
      <c r="Q458" s="4"/>
      <c r="R458" s="4" t="s">
        <v>2644</v>
      </c>
      <c r="S458" s="16" t="s">
        <v>2224</v>
      </c>
      <c r="T458" s="5">
        <v>10</v>
      </c>
      <c r="U458" s="21">
        <v>550</v>
      </c>
      <c r="V458" s="5">
        <v>250</v>
      </c>
      <c r="W458" s="8">
        <f t="shared" si="14"/>
        <v>0</v>
      </c>
      <c r="Y458" s="8"/>
      <c r="Z458" s="8"/>
      <c r="AC458" s="8" t="str">
        <f>IF(COUNTIFS(作業區!$W$2:$W$2000, T458, 作業區!$X$2:$X$2000, U458)&gt;0, "已存在", "未擴充")</f>
        <v>已存在</v>
      </c>
    </row>
    <row r="459" spans="1:29">
      <c r="A459" s="8">
        <f t="shared" si="15"/>
        <v>458</v>
      </c>
      <c r="B459" s="34" t="s">
        <v>893</v>
      </c>
      <c r="C459" s="34"/>
      <c r="D459" s="4"/>
      <c r="E459" s="39" t="s">
        <v>785</v>
      </c>
      <c r="F459" s="39" t="s">
        <v>819</v>
      </c>
      <c r="G459" s="39" t="s">
        <v>1727</v>
      </c>
      <c r="H459" s="5"/>
      <c r="I459" s="4">
        <v>236472</v>
      </c>
      <c r="J459" s="4">
        <v>2628694</v>
      </c>
      <c r="K459" s="4">
        <v>235643.054</v>
      </c>
      <c r="L459" s="4">
        <v>2628899.727</v>
      </c>
      <c r="M459" s="37">
        <v>106</v>
      </c>
      <c r="N459" s="37" t="s">
        <v>2633</v>
      </c>
      <c r="O459" s="38">
        <v>42889.333333333336</v>
      </c>
      <c r="P459" s="33" t="s">
        <v>2645</v>
      </c>
      <c r="Q459" s="4"/>
      <c r="R459" s="4" t="s">
        <v>2646</v>
      </c>
      <c r="S459" s="16" t="s">
        <v>1731</v>
      </c>
      <c r="T459" s="5">
        <v>43</v>
      </c>
      <c r="U459" s="21">
        <v>270</v>
      </c>
      <c r="V459" s="4">
        <v>300</v>
      </c>
      <c r="W459" s="8">
        <f t="shared" si="14"/>
        <v>0</v>
      </c>
      <c r="Y459" s="8"/>
      <c r="Z459" s="8"/>
      <c r="AC459" s="8" t="str">
        <f>IF(COUNTIFS(作業區!$W$2:$W$2000, T459, 作業區!$X$2:$X$2000, U459)&gt;0, "已存在", "未擴充")</f>
        <v>已存在</v>
      </c>
    </row>
    <row r="460" spans="1:29" ht="33" hidden="1">
      <c r="A460" s="8">
        <f t="shared" si="15"/>
        <v>459</v>
      </c>
      <c r="B460" s="37" t="s">
        <v>1856</v>
      </c>
      <c r="C460" s="37"/>
      <c r="D460" s="4"/>
      <c r="E460" s="39" t="s">
        <v>785</v>
      </c>
      <c r="F460" s="39" t="s">
        <v>1199</v>
      </c>
      <c r="G460" s="39" t="s">
        <v>2647</v>
      </c>
      <c r="H460" s="5" t="s">
        <v>2648</v>
      </c>
      <c r="I460" s="4">
        <v>251512</v>
      </c>
      <c r="J460" s="4">
        <v>2653137</v>
      </c>
      <c r="K460" s="4">
        <v>250683.10200000001</v>
      </c>
      <c r="L460" s="4">
        <v>2653342.8190000001</v>
      </c>
      <c r="M460" s="37">
        <v>106</v>
      </c>
      <c r="N460" s="37" t="s">
        <v>2633</v>
      </c>
      <c r="O460" s="38">
        <v>42889.333333333336</v>
      </c>
      <c r="P460" s="23" t="s">
        <v>2649</v>
      </c>
      <c r="Q460" s="4"/>
      <c r="R460" s="4" t="s">
        <v>2650</v>
      </c>
      <c r="S460" s="4" t="s">
        <v>2651</v>
      </c>
      <c r="T460" s="5">
        <v>23</v>
      </c>
      <c r="U460" s="21">
        <v>318</v>
      </c>
      <c r="V460" s="5">
        <v>300</v>
      </c>
      <c r="W460" s="8">
        <f t="shared" si="14"/>
        <v>0</v>
      </c>
      <c r="Y460" s="8"/>
      <c r="Z460" s="8"/>
      <c r="AC460" s="8" t="str">
        <f>IF(COUNTIFS(作業區!$W$2:$W$2000, T460, 作業區!$X$2:$X$2000, U460)&gt;0, "已存在", "未擴充")</f>
        <v>已存在</v>
      </c>
    </row>
    <row r="461" spans="1:29" ht="33">
      <c r="A461" s="8">
        <f t="shared" si="15"/>
        <v>460</v>
      </c>
      <c r="B461" s="34" t="s">
        <v>893</v>
      </c>
      <c r="C461" s="34"/>
      <c r="D461" s="4"/>
      <c r="E461" s="39" t="s">
        <v>785</v>
      </c>
      <c r="F461" s="39" t="s">
        <v>786</v>
      </c>
      <c r="G461" s="39" t="s">
        <v>787</v>
      </c>
      <c r="H461" s="5"/>
      <c r="I461" s="4">
        <v>266760</v>
      </c>
      <c r="J461" s="4">
        <v>2658382</v>
      </c>
      <c r="K461" s="4">
        <v>265931.14799999999</v>
      </c>
      <c r="L461" s="4">
        <v>2658587.8390000002</v>
      </c>
      <c r="M461" s="37">
        <v>106</v>
      </c>
      <c r="N461" s="37" t="s">
        <v>2633</v>
      </c>
      <c r="O461" s="38">
        <v>42889.25</v>
      </c>
      <c r="P461" s="23" t="s">
        <v>2652</v>
      </c>
      <c r="Q461" s="4"/>
      <c r="R461" s="4" t="s">
        <v>2519</v>
      </c>
      <c r="S461" s="16" t="s">
        <v>1428</v>
      </c>
      <c r="T461" s="5">
        <v>16</v>
      </c>
      <c r="U461" s="21">
        <v>300</v>
      </c>
      <c r="V461" s="4">
        <v>250</v>
      </c>
      <c r="W461" s="8">
        <f t="shared" si="14"/>
        <v>0</v>
      </c>
      <c r="Y461" s="8"/>
      <c r="Z461" s="8"/>
      <c r="AC461" s="8" t="str">
        <f>IF(COUNTIFS(作業區!$W$2:$W$2000, T461, 作業區!$X$2:$X$2000, U461)&gt;0, "已存在", "未擴充")</f>
        <v>已存在</v>
      </c>
    </row>
    <row r="462" spans="1:29">
      <c r="A462" s="8">
        <f t="shared" si="15"/>
        <v>461</v>
      </c>
      <c r="B462" s="34" t="s">
        <v>893</v>
      </c>
      <c r="C462" s="34"/>
      <c r="D462" s="4"/>
      <c r="E462" s="39" t="s">
        <v>785</v>
      </c>
      <c r="F462" s="39" t="s">
        <v>786</v>
      </c>
      <c r="G462" s="39" t="s">
        <v>2653</v>
      </c>
      <c r="H462" s="5"/>
      <c r="I462" s="4">
        <v>278921</v>
      </c>
      <c r="J462" s="4">
        <v>2680009</v>
      </c>
      <c r="K462" s="4">
        <v>278092.18199999997</v>
      </c>
      <c r="L462" s="4">
        <v>2680214.9190000002</v>
      </c>
      <c r="M462" s="37">
        <v>106</v>
      </c>
      <c r="N462" s="37" t="s">
        <v>2633</v>
      </c>
      <c r="O462" s="38">
        <v>42888.708333333336</v>
      </c>
      <c r="P462" s="23" t="s">
        <v>2654</v>
      </c>
      <c r="Q462" s="4"/>
      <c r="R462" s="4" t="s">
        <v>2655</v>
      </c>
      <c r="S462" s="16" t="s">
        <v>2656</v>
      </c>
      <c r="T462" s="5">
        <v>20</v>
      </c>
      <c r="U462" s="21">
        <v>240</v>
      </c>
      <c r="V462" s="5">
        <v>250</v>
      </c>
      <c r="W462" s="8">
        <f t="shared" si="14"/>
        <v>0</v>
      </c>
      <c r="Y462" s="8"/>
      <c r="Z462" s="8"/>
      <c r="AC462" s="8" t="str">
        <f>IF(COUNTIFS(作業區!$W$2:$W$2000, T462, 作業區!$X$2:$X$2000, U462)&gt;0, "已存在", "未擴充")</f>
        <v>已存在</v>
      </c>
    </row>
    <row r="463" spans="1:29">
      <c r="A463" s="8">
        <f t="shared" si="15"/>
        <v>462</v>
      </c>
      <c r="B463" s="37" t="s">
        <v>1856</v>
      </c>
      <c r="C463" s="37"/>
      <c r="D463" s="4"/>
      <c r="E463" s="39" t="s">
        <v>895</v>
      </c>
      <c r="F463" s="39" t="s">
        <v>1936</v>
      </c>
      <c r="G463" s="39" t="s">
        <v>2657</v>
      </c>
      <c r="H463" s="5" t="s">
        <v>2658</v>
      </c>
      <c r="I463" s="4">
        <v>313000</v>
      </c>
      <c r="J463" s="4">
        <v>2795759</v>
      </c>
      <c r="K463" s="4">
        <v>312171.24200000003</v>
      </c>
      <c r="L463" s="4">
        <v>2795965.31</v>
      </c>
      <c r="M463" s="37">
        <v>106</v>
      </c>
      <c r="N463" s="37" t="s">
        <v>2633</v>
      </c>
      <c r="O463" s="38">
        <v>42888.5</v>
      </c>
      <c r="P463" s="4" t="s">
        <v>2659</v>
      </c>
      <c r="Q463" s="4"/>
      <c r="R463" s="4" t="s">
        <v>1940</v>
      </c>
      <c r="S463" s="16" t="s">
        <v>1941</v>
      </c>
      <c r="T463" s="5">
        <v>29</v>
      </c>
      <c r="U463" s="21">
        <v>564</v>
      </c>
      <c r="V463" s="4">
        <v>500</v>
      </c>
      <c r="W463" s="8">
        <f t="shared" si="14"/>
        <v>0</v>
      </c>
      <c r="Y463" s="8"/>
      <c r="Z463" s="8"/>
      <c r="AC463" s="8" t="str">
        <f>IF(COUNTIFS(作業區!$W$2:$W$2000, T463, 作業區!$X$2:$X$2000, U463)&gt;0, "已存在", "未擴充")</f>
        <v>已存在</v>
      </c>
    </row>
    <row r="464" spans="1:29">
      <c r="A464" s="8">
        <f t="shared" si="15"/>
        <v>463</v>
      </c>
      <c r="B464" s="34" t="s">
        <v>893</v>
      </c>
      <c r="C464" s="34"/>
      <c r="D464" s="4"/>
      <c r="E464" s="39" t="s">
        <v>785</v>
      </c>
      <c r="F464" s="39" t="s">
        <v>1760</v>
      </c>
      <c r="G464" s="39" t="s">
        <v>1862</v>
      </c>
      <c r="H464" s="5"/>
      <c r="I464" s="4">
        <v>237850</v>
      </c>
      <c r="J464" s="4">
        <v>2659013</v>
      </c>
      <c r="K464" s="4">
        <v>237021.06099999999</v>
      </c>
      <c r="L464" s="4">
        <v>2659218.841</v>
      </c>
      <c r="M464" s="37">
        <v>106</v>
      </c>
      <c r="N464" s="37" t="s">
        <v>2660</v>
      </c>
      <c r="O464" s="38">
        <v>42901.625</v>
      </c>
      <c r="P464" s="33" t="s">
        <v>2661</v>
      </c>
      <c r="Q464" s="4"/>
      <c r="R464" s="4" t="s">
        <v>2662</v>
      </c>
      <c r="S464" s="16" t="s">
        <v>2663</v>
      </c>
      <c r="T464" s="5">
        <v>7.5</v>
      </c>
      <c r="U464" s="21">
        <v>275</v>
      </c>
      <c r="V464" s="5">
        <v>300</v>
      </c>
      <c r="W464" s="8">
        <f t="shared" si="14"/>
        <v>0</v>
      </c>
      <c r="Y464" s="8"/>
      <c r="Z464" s="8"/>
      <c r="AC464" s="8" t="str">
        <f>IF(COUNTIFS(作業區!$W$2:$W$2000, T464, 作業區!$X$2:$X$2000, U464)&gt;0, "已存在", "未擴充")</f>
        <v>已存在</v>
      </c>
    </row>
    <row r="465" spans="1:29">
      <c r="A465" s="8">
        <f t="shared" si="15"/>
        <v>464</v>
      </c>
      <c r="B465" s="34" t="s">
        <v>893</v>
      </c>
      <c r="C465" s="34"/>
      <c r="D465" s="4"/>
      <c r="E465" s="39" t="s">
        <v>794</v>
      </c>
      <c r="F465" s="39" t="s">
        <v>795</v>
      </c>
      <c r="G465" s="39" t="s">
        <v>2664</v>
      </c>
      <c r="H465" s="5"/>
      <c r="I465" s="4">
        <v>243678</v>
      </c>
      <c r="J465" s="4">
        <v>2699997</v>
      </c>
      <c r="K465" s="4">
        <v>242849.08</v>
      </c>
      <c r="L465" s="4">
        <v>2700202.9879999999</v>
      </c>
      <c r="M465" s="37">
        <v>106</v>
      </c>
      <c r="N465" s="37" t="s">
        <v>2660</v>
      </c>
      <c r="O465" s="38">
        <v>42901.625</v>
      </c>
      <c r="P465" s="33" t="s">
        <v>2665</v>
      </c>
      <c r="Q465" s="4"/>
      <c r="R465" s="4" t="s">
        <v>2666</v>
      </c>
      <c r="S465" s="4" t="s">
        <v>2667</v>
      </c>
      <c r="T465" s="5">
        <v>5</v>
      </c>
      <c r="U465" s="21">
        <v>190</v>
      </c>
      <c r="V465" s="4">
        <v>400</v>
      </c>
      <c r="W465" s="8">
        <f t="shared" si="14"/>
        <v>0</v>
      </c>
      <c r="Y465" s="8"/>
      <c r="Z465" s="8"/>
      <c r="AC465" s="8" t="str">
        <f>IF(COUNTIFS(作業區!$W$2:$W$2000, T465, 作業區!$X$2:$X$2000, U465)&gt;0, "已存在", "未擴充")</f>
        <v>已存在</v>
      </c>
    </row>
    <row r="466" spans="1:29" ht="33">
      <c r="A466" s="8">
        <f t="shared" si="15"/>
        <v>465</v>
      </c>
      <c r="B466" s="37" t="s">
        <v>1073</v>
      </c>
      <c r="C466" s="37"/>
      <c r="D466" s="4"/>
      <c r="E466" s="39" t="s">
        <v>1349</v>
      </c>
      <c r="F466" s="39" t="s">
        <v>2131</v>
      </c>
      <c r="G466" s="39" t="s">
        <v>2333</v>
      </c>
      <c r="H466" s="14" t="s">
        <v>2668</v>
      </c>
      <c r="I466" s="4">
        <v>296202</v>
      </c>
      <c r="J466" s="4">
        <v>2714811</v>
      </c>
      <c r="K466" s="4">
        <v>295373.22399999999</v>
      </c>
      <c r="L466" s="4">
        <v>2715017.0440000002</v>
      </c>
      <c r="M466" s="37">
        <v>106</v>
      </c>
      <c r="N466" s="37" t="s">
        <v>2669</v>
      </c>
      <c r="O466" s="38">
        <v>42945.875</v>
      </c>
      <c r="P466" s="33" t="s">
        <v>2670</v>
      </c>
      <c r="Q466" s="4"/>
      <c r="R466" s="4" t="s">
        <v>2671</v>
      </c>
      <c r="S466" s="16" t="s">
        <v>2672</v>
      </c>
      <c r="T466" s="5">
        <v>41</v>
      </c>
      <c r="U466" s="21">
        <v>174</v>
      </c>
      <c r="V466" s="5">
        <v>550</v>
      </c>
      <c r="W466" s="8">
        <f t="shared" si="14"/>
        <v>0</v>
      </c>
      <c r="Y466" s="8"/>
      <c r="Z466" s="8"/>
      <c r="AC466" s="8" t="str">
        <f>IF(COUNTIFS(作業區!$W$2:$W$2000, T466, 作業區!$X$2:$X$2000, U466)&gt;0, "已存在", "未擴充")</f>
        <v>已存在</v>
      </c>
    </row>
    <row r="467" spans="1:29">
      <c r="A467" s="8">
        <f t="shared" si="15"/>
        <v>466</v>
      </c>
      <c r="B467" s="34" t="s">
        <v>893</v>
      </c>
      <c r="C467" s="34"/>
      <c r="D467" s="4"/>
      <c r="E467" s="39" t="s">
        <v>785</v>
      </c>
      <c r="F467" s="39" t="s">
        <v>1213</v>
      </c>
      <c r="G467" s="39" t="s">
        <v>2673</v>
      </c>
      <c r="H467" s="14" t="s">
        <v>2674</v>
      </c>
      <c r="I467" s="17">
        <v>239004</v>
      </c>
      <c r="J467" s="4">
        <v>2607456</v>
      </c>
      <c r="K467" s="17">
        <v>238175.06099999999</v>
      </c>
      <c r="L467" s="4">
        <v>2607661.6439999999</v>
      </c>
      <c r="M467" s="37">
        <v>106</v>
      </c>
      <c r="N467" s="37" t="s">
        <v>2669</v>
      </c>
      <c r="O467" s="38">
        <v>42946.326388888891</v>
      </c>
      <c r="P467" s="33" t="s">
        <v>2675</v>
      </c>
      <c r="Q467" s="4"/>
      <c r="R467" s="4" t="s">
        <v>145</v>
      </c>
      <c r="S467" s="16" t="s">
        <v>2676</v>
      </c>
      <c r="T467" s="5">
        <v>0</v>
      </c>
      <c r="U467" s="21">
        <v>150</v>
      </c>
      <c r="V467" s="4">
        <v>250</v>
      </c>
      <c r="W467" s="8">
        <f t="shared" si="14"/>
        <v>0</v>
      </c>
      <c r="Y467" s="8"/>
      <c r="Z467" s="8"/>
      <c r="AC467" s="8" t="str">
        <f>IF(COUNTIFS(作業區!$W$2:$W$2000, T467, 作業區!$X$2:$X$2000, U467)&gt;0, "已存在", "未擴充")</f>
        <v>已存在</v>
      </c>
    </row>
    <row r="468" spans="1:29" ht="49.5">
      <c r="A468" s="8">
        <f t="shared" si="15"/>
        <v>467</v>
      </c>
      <c r="B468" s="37" t="s">
        <v>739</v>
      </c>
      <c r="C468" s="37"/>
      <c r="D468" s="4"/>
      <c r="E468" s="39" t="s">
        <v>790</v>
      </c>
      <c r="F468" s="39" t="s">
        <v>2677</v>
      </c>
      <c r="G468" s="39" t="s">
        <v>2678</v>
      </c>
      <c r="H468" s="14" t="s">
        <v>2679</v>
      </c>
      <c r="I468" s="17">
        <v>218374</v>
      </c>
      <c r="J468" s="4">
        <v>2453530</v>
      </c>
      <c r="K468" s="17">
        <v>217544.96599999999</v>
      </c>
      <c r="L468" s="4">
        <v>2453734.98</v>
      </c>
      <c r="M468" s="37">
        <v>106</v>
      </c>
      <c r="N468" s="37" t="s">
        <v>2669</v>
      </c>
      <c r="O468" s="38">
        <v>42946.916666666664</v>
      </c>
      <c r="P468" s="33" t="s">
        <v>2680</v>
      </c>
      <c r="Q468" s="4"/>
      <c r="R468" s="4" t="s">
        <v>2681</v>
      </c>
      <c r="S468" s="4" t="s">
        <v>2682</v>
      </c>
      <c r="T468" s="5">
        <v>25</v>
      </c>
      <c r="U468" s="21">
        <v>327</v>
      </c>
      <c r="V468" s="4">
        <v>550</v>
      </c>
      <c r="W468" s="8">
        <f t="shared" si="14"/>
        <v>0</v>
      </c>
      <c r="Y468" s="8"/>
      <c r="Z468" s="8"/>
      <c r="AC468" s="8" t="str">
        <f>IF(COUNTIFS(作業區!$W$2:$W$2000, T468, 作業區!$X$2:$X$2000, U468)&gt;0, "已存在", "未擴充")</f>
        <v>已存在</v>
      </c>
    </row>
    <row r="469" spans="1:29" ht="49.5">
      <c r="A469" s="8">
        <f t="shared" si="15"/>
        <v>468</v>
      </c>
      <c r="B469" s="37" t="s">
        <v>1073</v>
      </c>
      <c r="C469" s="37"/>
      <c r="D469" s="4"/>
      <c r="E469" s="39" t="s">
        <v>1349</v>
      </c>
      <c r="F469" s="39" t="s">
        <v>2131</v>
      </c>
      <c r="G469" s="39" t="s">
        <v>2683</v>
      </c>
      <c r="H469" s="14" t="s">
        <v>2668</v>
      </c>
      <c r="I469" s="17">
        <v>296202</v>
      </c>
      <c r="J469" s="4">
        <v>2714811</v>
      </c>
      <c r="K469" s="17">
        <v>295373.22399999999</v>
      </c>
      <c r="L469" s="4">
        <v>2715017.0440000002</v>
      </c>
      <c r="M469" s="37">
        <v>106</v>
      </c>
      <c r="N469" s="14" t="s">
        <v>2684</v>
      </c>
      <c r="O469" s="38">
        <v>43021.354166666664</v>
      </c>
      <c r="P469" s="33" t="s">
        <v>2685</v>
      </c>
      <c r="Q469" s="4"/>
      <c r="R469" s="4" t="s">
        <v>2686</v>
      </c>
      <c r="S469" s="16" t="s">
        <v>2672</v>
      </c>
      <c r="T469" s="5">
        <v>8</v>
      </c>
      <c r="U469" s="21">
        <v>148</v>
      </c>
      <c r="V469" s="4">
        <v>550</v>
      </c>
      <c r="W469" s="8">
        <f t="shared" si="14"/>
        <v>0</v>
      </c>
      <c r="Y469" s="8"/>
      <c r="Z469" s="8"/>
      <c r="AC469" s="8" t="str">
        <f>IF(COUNTIFS(作業區!$W$2:$W$2000, T469, 作業區!$X$2:$X$2000, U469)&gt;0, "已存在", "未擴充")</f>
        <v>已存在</v>
      </c>
    </row>
    <row r="470" spans="1:29">
      <c r="A470" s="8">
        <f t="shared" si="15"/>
        <v>469</v>
      </c>
      <c r="B470" s="34" t="s">
        <v>893</v>
      </c>
      <c r="C470" s="34"/>
      <c r="D470" s="4"/>
      <c r="E470" s="39" t="s">
        <v>895</v>
      </c>
      <c r="F470" s="39" t="s">
        <v>2542</v>
      </c>
      <c r="G470" s="39" t="s">
        <v>2687</v>
      </c>
      <c r="H470" s="14"/>
      <c r="I470" s="17">
        <v>313682</v>
      </c>
      <c r="J470" s="4">
        <v>2770742</v>
      </c>
      <c r="K470" s="17">
        <v>312853.25199999998</v>
      </c>
      <c r="L470" s="4">
        <v>2770948.233</v>
      </c>
      <c r="M470" s="37">
        <v>106</v>
      </c>
      <c r="N470" s="14" t="s">
        <v>2684</v>
      </c>
      <c r="O470" s="38">
        <v>43022.208333333336</v>
      </c>
      <c r="P470" s="33" t="s">
        <v>2688</v>
      </c>
      <c r="Q470" s="4"/>
      <c r="R470" s="4" t="s">
        <v>2689</v>
      </c>
      <c r="S470" s="4" t="s">
        <v>2690</v>
      </c>
      <c r="T470" s="5">
        <v>3</v>
      </c>
      <c r="U470" s="21">
        <v>441</v>
      </c>
      <c r="V470" s="4">
        <v>500</v>
      </c>
      <c r="W470" s="8">
        <f t="shared" si="14"/>
        <v>0</v>
      </c>
      <c r="Y470" s="8"/>
      <c r="Z470" s="8"/>
      <c r="AC470" s="8" t="str">
        <f>IF(COUNTIFS(作業區!$W$2:$W$2000, T470, 作業區!$X$2:$X$2000, U470)&gt;0, "已存在", "未擴充")</f>
        <v>已存在</v>
      </c>
    </row>
    <row r="471" spans="1:29">
      <c r="A471" s="8">
        <f t="shared" si="15"/>
        <v>470</v>
      </c>
      <c r="B471" s="34" t="s">
        <v>893</v>
      </c>
      <c r="C471" s="34"/>
      <c r="D471" s="4"/>
      <c r="E471" s="39" t="s">
        <v>895</v>
      </c>
      <c r="F471" s="39" t="s">
        <v>2542</v>
      </c>
      <c r="G471" s="39" t="s">
        <v>2543</v>
      </c>
      <c r="H471" s="14"/>
      <c r="I471" s="17">
        <v>316227</v>
      </c>
      <c r="J471" s="4">
        <v>2772050</v>
      </c>
      <c r="K471" s="17">
        <v>315398.25799999997</v>
      </c>
      <c r="L471" s="4">
        <v>2772256.2379999999</v>
      </c>
      <c r="M471" s="37">
        <v>106</v>
      </c>
      <c r="N471" s="14" t="s">
        <v>2684</v>
      </c>
      <c r="O471" s="38">
        <v>43021.583333333336</v>
      </c>
      <c r="P471" s="33" t="s">
        <v>2691</v>
      </c>
      <c r="Q471" s="4"/>
      <c r="R471" s="4" t="s">
        <v>2692</v>
      </c>
      <c r="S471" s="4" t="s">
        <v>2693</v>
      </c>
      <c r="T471" s="5">
        <v>24</v>
      </c>
      <c r="U471" s="21">
        <v>354</v>
      </c>
      <c r="V471" s="4">
        <v>500</v>
      </c>
      <c r="W471" s="8">
        <f t="shared" si="14"/>
        <v>0</v>
      </c>
      <c r="Y471" s="8"/>
      <c r="Z471" s="8"/>
      <c r="AC471" s="8" t="str">
        <f>IF(COUNTIFS(作業區!$W$2:$W$2000, T471, 作業區!$X$2:$X$2000, U471)&gt;0, "已存在", "未擴充")</f>
        <v>已存在</v>
      </c>
    </row>
    <row r="472" spans="1:29" ht="33">
      <c r="A472" s="8">
        <f t="shared" si="15"/>
        <v>471</v>
      </c>
      <c r="B472" s="5" t="s">
        <v>1338</v>
      </c>
      <c r="C472" s="5"/>
      <c r="D472" s="4"/>
      <c r="E472" s="39" t="s">
        <v>922</v>
      </c>
      <c r="F472" s="39" t="s">
        <v>2617</v>
      </c>
      <c r="G472" s="39" t="s">
        <v>2694</v>
      </c>
      <c r="H472" s="14"/>
      <c r="I472" s="4">
        <v>279046</v>
      </c>
      <c r="J472" s="4">
        <v>2543288</v>
      </c>
      <c r="K472" s="4">
        <v>278217.20299999998</v>
      </c>
      <c r="L472" s="4">
        <v>2543493.3820000002</v>
      </c>
      <c r="M472" s="37">
        <v>106</v>
      </c>
      <c r="N472" s="14" t="s">
        <v>2684</v>
      </c>
      <c r="O472" s="38">
        <v>43022.541666666664</v>
      </c>
      <c r="P472" s="33" t="s">
        <v>2695</v>
      </c>
      <c r="Q472" s="4"/>
      <c r="R472" s="4" t="s">
        <v>2696</v>
      </c>
      <c r="S472" s="4" t="s">
        <v>2697</v>
      </c>
      <c r="T472" s="5">
        <v>58</v>
      </c>
      <c r="U472" s="5">
        <v>290</v>
      </c>
      <c r="V472" s="4">
        <v>500</v>
      </c>
      <c r="W472" s="8">
        <f t="shared" si="14"/>
        <v>0</v>
      </c>
      <c r="Y472" s="8"/>
      <c r="Z472" s="8"/>
      <c r="AC472" s="8" t="str">
        <f>IF(COUNTIFS(作業區!$W$2:$W$2000, T472, 作業區!$X$2:$X$2000, U472)&gt;0, "已存在", "未擴充")</f>
        <v>已存在</v>
      </c>
    </row>
    <row r="473" spans="1:29" ht="33">
      <c r="A473" s="8">
        <f t="shared" si="15"/>
        <v>472</v>
      </c>
      <c r="B473" s="37" t="s">
        <v>739</v>
      </c>
      <c r="C473" s="37"/>
      <c r="D473" s="4" t="s">
        <v>2698</v>
      </c>
      <c r="E473" s="39" t="s">
        <v>922</v>
      </c>
      <c r="F473" s="39" t="s">
        <v>2699</v>
      </c>
      <c r="G473" s="39" t="s">
        <v>2700</v>
      </c>
      <c r="H473" s="14"/>
      <c r="I473" s="4">
        <v>252401</v>
      </c>
      <c r="J473" s="4">
        <v>2513342</v>
      </c>
      <c r="K473" s="4">
        <v>251572.106</v>
      </c>
      <c r="L473" s="4">
        <v>2513547.25</v>
      </c>
      <c r="M473" s="37">
        <v>106</v>
      </c>
      <c r="N473" s="14" t="s">
        <v>2684</v>
      </c>
      <c r="O473" s="38">
        <v>43022.458333333336</v>
      </c>
      <c r="P473" s="33" t="s">
        <v>2701</v>
      </c>
      <c r="Q473" s="4"/>
      <c r="R473" s="4" t="s">
        <v>2702</v>
      </c>
      <c r="S473" s="4" t="s">
        <v>2703</v>
      </c>
      <c r="T473" s="5">
        <v>393</v>
      </c>
      <c r="U473" s="5">
        <v>78</v>
      </c>
      <c r="V473" s="4">
        <v>500</v>
      </c>
      <c r="W473" s="8">
        <f t="shared" si="14"/>
        <v>0</v>
      </c>
      <c r="Y473" s="8"/>
      <c r="Z473" s="8"/>
      <c r="AC473" s="8" t="str">
        <f>IF(COUNTIFS(作業區!$W$2:$W$2000, T473, 作業區!$X$2:$X$2000, U473)&gt;0, "已存在", "未擴充")</f>
        <v>已存在</v>
      </c>
    </row>
    <row r="474" spans="1:29" ht="33">
      <c r="A474" s="8">
        <f t="shared" si="15"/>
        <v>473</v>
      </c>
      <c r="B474" s="5" t="s">
        <v>1338</v>
      </c>
      <c r="C474" s="5"/>
      <c r="D474" s="4" t="s">
        <v>2704</v>
      </c>
      <c r="E474" s="39" t="s">
        <v>922</v>
      </c>
      <c r="F474" s="39" t="s">
        <v>2699</v>
      </c>
      <c r="G474" s="39" t="s">
        <v>2700</v>
      </c>
      <c r="H474" s="14"/>
      <c r="I474" s="4">
        <v>252155</v>
      </c>
      <c r="J474" s="4">
        <v>2510065</v>
      </c>
      <c r="K474" s="4">
        <v>251326.10500000001</v>
      </c>
      <c r="L474" s="4">
        <v>2510270.236</v>
      </c>
      <c r="M474" s="37">
        <v>106</v>
      </c>
      <c r="N474" s="14" t="s">
        <v>2684</v>
      </c>
      <c r="O474" s="38">
        <v>43022.458333333336</v>
      </c>
      <c r="P474" s="33" t="s">
        <v>2705</v>
      </c>
      <c r="Q474" s="4"/>
      <c r="R474" s="4" t="s">
        <v>2702</v>
      </c>
      <c r="S474" s="4" t="s">
        <v>2703</v>
      </c>
      <c r="T474" s="5">
        <v>393</v>
      </c>
      <c r="U474" s="5">
        <v>78</v>
      </c>
      <c r="V474" s="4">
        <v>500</v>
      </c>
      <c r="W474" s="8">
        <f t="shared" si="14"/>
        <v>0</v>
      </c>
      <c r="Y474" s="8"/>
      <c r="Z474" s="8"/>
      <c r="AC474" s="8" t="str">
        <f>IF(COUNTIFS(作業區!$W$2:$W$2000, T474, 作業區!$X$2:$X$2000, U474)&gt;0, "已存在", "未擴充")</f>
        <v>已存在</v>
      </c>
    </row>
    <row r="475" spans="1:29">
      <c r="A475" s="8">
        <f t="shared" si="15"/>
        <v>474</v>
      </c>
      <c r="B475" s="5" t="s">
        <v>1338</v>
      </c>
      <c r="C475" s="5"/>
      <c r="D475" s="4"/>
      <c r="E475" s="39" t="s">
        <v>922</v>
      </c>
      <c r="F475" s="39" t="s">
        <v>2706</v>
      </c>
      <c r="G475" s="39" t="s">
        <v>2707</v>
      </c>
      <c r="H475" s="14"/>
      <c r="I475" s="4">
        <v>273465</v>
      </c>
      <c r="J475" s="4">
        <v>2550724</v>
      </c>
      <c r="K475" s="4">
        <v>272636.18199999997</v>
      </c>
      <c r="L475" s="4">
        <v>2550929.4130000002</v>
      </c>
      <c r="M475" s="37">
        <v>106</v>
      </c>
      <c r="N475" s="14" t="s">
        <v>2684</v>
      </c>
      <c r="O475" s="38">
        <v>43013.208333333336</v>
      </c>
      <c r="P475" s="33" t="s">
        <v>2708</v>
      </c>
      <c r="Q475" s="4"/>
      <c r="R475" s="4" t="s">
        <v>2709</v>
      </c>
      <c r="S475" s="4" t="s">
        <v>1253</v>
      </c>
      <c r="T475" s="5">
        <v>5</v>
      </c>
      <c r="U475" s="5">
        <v>150</v>
      </c>
      <c r="V475" s="4">
        <v>550</v>
      </c>
      <c r="W475" s="8">
        <f t="shared" si="14"/>
        <v>0</v>
      </c>
      <c r="Y475" s="8"/>
      <c r="Z475" s="8"/>
      <c r="AC475" s="8" t="str">
        <f>IF(COUNTIFS(作業區!$W$2:$W$2000, T475, 作業區!$X$2:$X$2000, U475)&gt;0, "已存在", "未擴充")</f>
        <v>已存在</v>
      </c>
    </row>
    <row r="476" spans="1:29" ht="33">
      <c r="A476" s="8">
        <f t="shared" si="15"/>
        <v>475</v>
      </c>
      <c r="B476" s="34" t="s">
        <v>893</v>
      </c>
      <c r="C476" s="34"/>
      <c r="D476" s="4"/>
      <c r="E476" s="40" t="s">
        <v>930</v>
      </c>
      <c r="F476" s="40" t="s">
        <v>2710</v>
      </c>
      <c r="G476" s="40" t="s">
        <v>2711</v>
      </c>
      <c r="H476" s="5" t="s">
        <v>2712</v>
      </c>
      <c r="I476" s="4">
        <v>219004</v>
      </c>
      <c r="J476" s="4">
        <v>2450835</v>
      </c>
      <c r="K476" s="4">
        <v>218174.96799999999</v>
      </c>
      <c r="L476" s="4">
        <v>2451039.9670000002</v>
      </c>
      <c r="M476" s="37">
        <v>107</v>
      </c>
      <c r="N476" s="21" t="s">
        <v>2713</v>
      </c>
      <c r="O476" s="38">
        <v>43336.208333333336</v>
      </c>
      <c r="P476" s="41" t="s">
        <v>2714</v>
      </c>
      <c r="Q476" s="4"/>
      <c r="R476" s="4" t="s">
        <v>2715</v>
      </c>
      <c r="S476" s="4" t="s">
        <v>2716</v>
      </c>
      <c r="T476" s="5">
        <v>35</v>
      </c>
      <c r="U476" s="5">
        <v>178</v>
      </c>
      <c r="V476" s="4">
        <v>500</v>
      </c>
      <c r="W476" s="8">
        <f t="shared" si="14"/>
        <v>0</v>
      </c>
      <c r="Y476" s="8"/>
      <c r="Z476" s="8"/>
      <c r="AC476" s="8" t="str">
        <f>IF(COUNTIFS(作業區!$W$2:$W$2000, T476, 作業區!$X$2:$X$2000, U476)&gt;0, "已存在", "未擴充")</f>
        <v>已存在</v>
      </c>
    </row>
    <row r="477" spans="1:29" ht="33">
      <c r="A477" s="8">
        <f t="shared" si="15"/>
        <v>476</v>
      </c>
      <c r="B477" s="5" t="s">
        <v>1248</v>
      </c>
      <c r="C477" s="5"/>
      <c r="D477" s="4"/>
      <c r="E477" s="40" t="s">
        <v>930</v>
      </c>
      <c r="F477" s="40" t="s">
        <v>2710</v>
      </c>
      <c r="G477" s="40" t="s">
        <v>2711</v>
      </c>
      <c r="H477" s="42" t="s">
        <v>2717</v>
      </c>
      <c r="I477" s="4">
        <v>219183</v>
      </c>
      <c r="J477" s="4">
        <v>2449965</v>
      </c>
      <c r="K477" s="4">
        <v>218353.96900000001</v>
      </c>
      <c r="L477" s="4">
        <v>2450169.963</v>
      </c>
      <c r="M477" s="37">
        <v>107</v>
      </c>
      <c r="N477" s="21" t="s">
        <v>2713</v>
      </c>
      <c r="O477" s="38">
        <v>43336.208333333336</v>
      </c>
      <c r="P477" s="41" t="s">
        <v>2718</v>
      </c>
      <c r="Q477" s="4" t="s">
        <v>2719</v>
      </c>
      <c r="R477" s="4" t="s">
        <v>2715</v>
      </c>
      <c r="S477" s="4" t="s">
        <v>2716</v>
      </c>
      <c r="T477" s="5">
        <v>35</v>
      </c>
      <c r="U477" s="5">
        <v>178</v>
      </c>
      <c r="V477" s="4">
        <v>500</v>
      </c>
      <c r="W477" s="8">
        <f t="shared" si="14"/>
        <v>0</v>
      </c>
      <c r="Y477" s="8"/>
      <c r="Z477" s="8"/>
      <c r="AC477" s="8" t="str">
        <f>IF(COUNTIFS(作業區!$W$2:$W$2000, T477, 作業區!$X$2:$X$2000, U477)&gt;0, "已存在", "未擴充")</f>
        <v>已存在</v>
      </c>
    </row>
    <row r="478" spans="1:29">
      <c r="A478" s="8">
        <f t="shared" si="15"/>
        <v>477</v>
      </c>
      <c r="B478" s="34" t="s">
        <v>893</v>
      </c>
      <c r="C478" s="34"/>
      <c r="D478" s="4"/>
      <c r="E478" s="43" t="s">
        <v>942</v>
      </c>
      <c r="F478" s="43" t="s">
        <v>2720</v>
      </c>
      <c r="G478" s="43" t="s">
        <v>2721</v>
      </c>
      <c r="H478" s="5"/>
      <c r="I478" s="4">
        <v>188242</v>
      </c>
      <c r="J478" s="4">
        <v>2549033</v>
      </c>
      <c r="K478" s="4">
        <v>187412.87299999999</v>
      </c>
      <c r="L478" s="4">
        <v>2549238.4139999999</v>
      </c>
      <c r="M478" s="37">
        <v>107</v>
      </c>
      <c r="N478" s="21" t="s">
        <v>2713</v>
      </c>
      <c r="O478" s="38">
        <v>43336.5</v>
      </c>
      <c r="P478" s="4" t="s">
        <v>2722</v>
      </c>
      <c r="Q478" s="4"/>
      <c r="R478" s="4" t="s">
        <v>2723</v>
      </c>
      <c r="S478" s="4" t="s">
        <v>2724</v>
      </c>
      <c r="T478" s="5">
        <v>15</v>
      </c>
      <c r="U478" s="5">
        <v>475</v>
      </c>
      <c r="V478" s="4" t="s">
        <v>2534</v>
      </c>
      <c r="W478" s="8">
        <f t="shared" si="14"/>
        <v>1</v>
      </c>
      <c r="Y478" s="8"/>
      <c r="Z478" s="8"/>
      <c r="AC478" s="8" t="str">
        <f>IF(COUNTIFS(作業區!$W$2:$W$2000, T478, 作業區!$X$2:$X$2000, U478)&gt;0, "已存在", "未擴充")</f>
        <v>已存在</v>
      </c>
    </row>
    <row r="479" spans="1:29">
      <c r="A479" s="8">
        <f t="shared" si="15"/>
        <v>478</v>
      </c>
      <c r="B479" s="34" t="s">
        <v>893</v>
      </c>
      <c r="C479" s="34"/>
      <c r="D479" s="4"/>
      <c r="E479" s="40" t="s">
        <v>1897</v>
      </c>
      <c r="F479" s="43" t="s">
        <v>1220</v>
      </c>
      <c r="G479" s="43" t="s">
        <v>1916</v>
      </c>
      <c r="H479" s="5"/>
      <c r="I479" s="4">
        <v>223985</v>
      </c>
      <c r="J479" s="4">
        <v>2551542</v>
      </c>
      <c r="K479" s="4">
        <v>223156.003</v>
      </c>
      <c r="L479" s="4">
        <v>2551747.4169999999</v>
      </c>
      <c r="M479" s="37">
        <v>107</v>
      </c>
      <c r="N479" s="21" t="s">
        <v>2713</v>
      </c>
      <c r="O479" s="38">
        <v>43337</v>
      </c>
      <c r="P479" s="4" t="s">
        <v>2725</v>
      </c>
      <c r="Q479" s="4"/>
      <c r="R479" s="4" t="s">
        <v>2726</v>
      </c>
      <c r="S479" s="4" t="s">
        <v>2727</v>
      </c>
      <c r="T479" s="5">
        <v>5</v>
      </c>
      <c r="U479" s="5">
        <v>550</v>
      </c>
      <c r="V479" s="4">
        <v>300</v>
      </c>
      <c r="W479" s="8">
        <f t="shared" si="14"/>
        <v>0</v>
      </c>
      <c r="Y479" s="8"/>
      <c r="AC479" s="8" t="str">
        <f>IF(COUNTIFS(作業區!$W$2:$W$2000, T479, 作業區!$X$2:$X$2000, U479)&gt;0, "已存在", "未擴充")</f>
        <v>已存在</v>
      </c>
    </row>
    <row r="480" spans="1:29">
      <c r="A480" s="8">
        <f t="shared" si="15"/>
        <v>479</v>
      </c>
      <c r="B480" s="5" t="s">
        <v>739</v>
      </c>
      <c r="C480" s="5"/>
      <c r="D480" s="4"/>
      <c r="E480" s="2" t="s">
        <v>756</v>
      </c>
      <c r="F480" s="5" t="s">
        <v>757</v>
      </c>
      <c r="G480" s="5" t="s">
        <v>2728</v>
      </c>
      <c r="H480" s="5"/>
      <c r="I480" s="4">
        <v>259820</v>
      </c>
      <c r="J480" s="4">
        <v>2681737</v>
      </c>
      <c r="K480" s="4">
        <v>258991.12599999999</v>
      </c>
      <c r="L480" s="4">
        <v>2681942.9240000001</v>
      </c>
      <c r="M480" s="5">
        <v>108</v>
      </c>
      <c r="N480" s="5" t="s">
        <v>2729</v>
      </c>
      <c r="O480" s="29">
        <v>43604</v>
      </c>
      <c r="P480" s="4" t="s">
        <v>2730</v>
      </c>
      <c r="Q480" s="4"/>
      <c r="R480" s="4" t="s">
        <v>2731</v>
      </c>
      <c r="S480" s="4" t="s">
        <v>2732</v>
      </c>
      <c r="T480" s="5">
        <v>11</v>
      </c>
      <c r="U480" s="5">
        <v>491</v>
      </c>
      <c r="V480" s="4">
        <v>300</v>
      </c>
      <c r="W480" s="8">
        <f t="shared" si="14"/>
        <v>0</v>
      </c>
      <c r="Y480" s="8"/>
      <c r="Z480" s="8"/>
      <c r="AC480" s="8" t="str">
        <f>IF(COUNTIFS(作業區!$W$2:$W$2000, T480, 作業區!$X$2:$X$2000, U480)&gt;0, "已存在", "未擴充")</f>
        <v>已存在</v>
      </c>
    </row>
    <row r="481" spans="1:29">
      <c r="A481" s="8">
        <f t="shared" si="15"/>
        <v>480</v>
      </c>
      <c r="B481" s="5" t="s">
        <v>2733</v>
      </c>
      <c r="C481" s="5"/>
      <c r="D481" s="4" t="s">
        <v>2734</v>
      </c>
      <c r="E481" s="2" t="s">
        <v>756</v>
      </c>
      <c r="F481" s="5" t="s">
        <v>2250</v>
      </c>
      <c r="G481" s="5" t="s">
        <v>2735</v>
      </c>
      <c r="H481" s="5"/>
      <c r="I481" s="4">
        <v>225088</v>
      </c>
      <c r="J481" s="4">
        <v>2663939</v>
      </c>
      <c r="K481" s="4">
        <v>224259.02299999999</v>
      </c>
      <c r="L481" s="4">
        <v>2664144.86</v>
      </c>
      <c r="M481" s="5">
        <v>108</v>
      </c>
      <c r="N481" s="5" t="s">
        <v>2736</v>
      </c>
      <c r="O481" s="29">
        <v>43627.458333333336</v>
      </c>
      <c r="P481" s="4" t="s">
        <v>2737</v>
      </c>
      <c r="Q481" s="4"/>
      <c r="R481" s="4" t="s">
        <v>2738</v>
      </c>
      <c r="S481" s="4" t="s">
        <v>2739</v>
      </c>
      <c r="T481" s="5">
        <v>40</v>
      </c>
      <c r="U481" s="5">
        <v>133</v>
      </c>
      <c r="V481" s="4"/>
      <c r="W481" s="8">
        <f t="shared" si="14"/>
        <v>0</v>
      </c>
      <c r="Y481" s="8"/>
      <c r="Z481" s="8"/>
      <c r="AC481" s="8" t="str">
        <f>IF(COUNTIFS(作業區!$W$2:$W$2000, T481, 作業區!$X$2:$X$2000, U481)&gt;0, "已存在", "未擴充")</f>
        <v>已存在</v>
      </c>
    </row>
    <row r="482" spans="1:29">
      <c r="A482" s="8">
        <f t="shared" si="15"/>
        <v>481</v>
      </c>
      <c r="B482" s="5" t="s">
        <v>2740</v>
      </c>
      <c r="C482" s="5"/>
      <c r="D482" s="4" t="s">
        <v>2741</v>
      </c>
      <c r="E482" s="5" t="s">
        <v>785</v>
      </c>
      <c r="F482" s="5" t="s">
        <v>908</v>
      </c>
      <c r="G482" s="5" t="s">
        <v>1457</v>
      </c>
      <c r="H482" s="5"/>
      <c r="I482" s="4">
        <v>234973</v>
      </c>
      <c r="J482" s="4">
        <v>2661094</v>
      </c>
      <c r="K482" s="4">
        <v>234144.052</v>
      </c>
      <c r="L482" s="4">
        <v>2661299.8489999999</v>
      </c>
      <c r="M482" s="5">
        <v>108</v>
      </c>
      <c r="N482" s="5" t="s">
        <v>2736</v>
      </c>
      <c r="O482" s="29">
        <v>43627.416666666664</v>
      </c>
      <c r="P482" s="4" t="s">
        <v>2742</v>
      </c>
      <c r="Q482" s="4"/>
      <c r="R482" s="4" t="s">
        <v>2743</v>
      </c>
      <c r="S482" s="4" t="s">
        <v>2744</v>
      </c>
      <c r="T482" s="5">
        <v>45</v>
      </c>
      <c r="U482" s="5">
        <v>114</v>
      </c>
      <c r="V482" s="4">
        <v>300</v>
      </c>
      <c r="W482" s="8">
        <f t="shared" si="14"/>
        <v>0</v>
      </c>
      <c r="Y482" s="8"/>
      <c r="Z482" s="8"/>
      <c r="AC482" s="8" t="str">
        <f>IF(COUNTIFS(作業區!$W$2:$W$2000, T482, 作業區!$X$2:$X$2000, U482)&gt;0, "已存在", "未擴充")</f>
        <v>已存在</v>
      </c>
    </row>
    <row r="483" spans="1:29">
      <c r="A483" s="8">
        <f t="shared" si="15"/>
        <v>482</v>
      </c>
      <c r="B483" s="5" t="s">
        <v>2740</v>
      </c>
      <c r="C483" s="5"/>
      <c r="D483" s="4" t="s">
        <v>2745</v>
      </c>
      <c r="E483" s="5" t="s">
        <v>785</v>
      </c>
      <c r="F483" s="5" t="s">
        <v>908</v>
      </c>
      <c r="G483" s="5" t="s">
        <v>2746</v>
      </c>
      <c r="H483" s="5"/>
      <c r="I483" s="4">
        <v>236327</v>
      </c>
      <c r="J483" s="4">
        <v>2663834</v>
      </c>
      <c r="K483" s="4">
        <v>235498.05600000001</v>
      </c>
      <c r="L483" s="4">
        <v>2664039.8590000002</v>
      </c>
      <c r="M483" s="5">
        <v>108</v>
      </c>
      <c r="N483" s="5" t="s">
        <v>2736</v>
      </c>
      <c r="O483" s="29">
        <v>43627.375</v>
      </c>
      <c r="P483" s="15" t="s">
        <v>2747</v>
      </c>
      <c r="Q483" s="4"/>
      <c r="R483" s="4" t="s">
        <v>2748</v>
      </c>
      <c r="S483" s="4" t="s">
        <v>2663</v>
      </c>
      <c r="T483" s="5">
        <v>36</v>
      </c>
      <c r="U483" s="5">
        <v>60</v>
      </c>
      <c r="V483" s="4">
        <v>300</v>
      </c>
      <c r="W483" s="8">
        <f t="shared" si="14"/>
        <v>0</v>
      </c>
      <c r="Y483" s="8"/>
      <c r="Z483" s="8"/>
      <c r="AC483" s="8" t="str">
        <f>IF(COUNTIFS(作業區!$W$2:$W$2000, T483, 作業區!$X$2:$X$2000, U483)&gt;0, "已存在", "未擴充")</f>
        <v>已存在</v>
      </c>
    </row>
    <row r="484" spans="1:29">
      <c r="A484" s="8">
        <f t="shared" si="15"/>
        <v>483</v>
      </c>
      <c r="B484" s="5" t="s">
        <v>2749</v>
      </c>
      <c r="C484" s="5"/>
      <c r="D484" s="4" t="s">
        <v>2750</v>
      </c>
      <c r="E484" s="2" t="s">
        <v>756</v>
      </c>
      <c r="F484" s="5" t="s">
        <v>2751</v>
      </c>
      <c r="G484" s="5" t="s">
        <v>2752</v>
      </c>
      <c r="H484" s="5"/>
      <c r="I484" s="4">
        <v>226320</v>
      </c>
      <c r="J484" s="4">
        <v>2679306</v>
      </c>
      <c r="K484" s="4">
        <v>225491.02799999999</v>
      </c>
      <c r="L484" s="4">
        <v>2679511.9160000002</v>
      </c>
      <c r="M484" s="5">
        <v>108</v>
      </c>
      <c r="N484" s="5" t="s">
        <v>2354</v>
      </c>
      <c r="O484" s="29">
        <v>43698.166666666664</v>
      </c>
      <c r="P484" s="4" t="s">
        <v>2753</v>
      </c>
      <c r="Q484" s="4"/>
      <c r="R484" s="4" t="s">
        <v>2754</v>
      </c>
      <c r="S484" s="4" t="s">
        <v>2755</v>
      </c>
      <c r="T484" s="5">
        <v>0</v>
      </c>
      <c r="U484" s="5">
        <v>120</v>
      </c>
      <c r="V484" s="4" t="s">
        <v>2534</v>
      </c>
      <c r="W484" s="8">
        <f t="shared" si="14"/>
        <v>0</v>
      </c>
      <c r="Y484" s="8"/>
      <c r="Z484" s="8"/>
      <c r="AC484" s="8" t="str">
        <f>IF(COUNTIFS(作業區!$W$2:$W$2000, T484, 作業區!$X$2:$X$2000, U484)&gt;0, "已存在", "未擴充")</f>
        <v>已存在</v>
      </c>
    </row>
    <row r="485" spans="1:29">
      <c r="A485" s="8">
        <f t="shared" si="15"/>
        <v>484</v>
      </c>
      <c r="B485" s="5" t="s">
        <v>2733</v>
      </c>
      <c r="C485" s="5"/>
      <c r="D485" s="4" t="s">
        <v>2756</v>
      </c>
      <c r="E485" s="5" t="s">
        <v>794</v>
      </c>
      <c r="F485" s="5" t="s">
        <v>795</v>
      </c>
      <c r="G485" s="5" t="s">
        <v>2757</v>
      </c>
      <c r="H485" s="5"/>
      <c r="I485" s="4">
        <v>244309</v>
      </c>
      <c r="J485" s="4">
        <v>2695720</v>
      </c>
      <c r="K485" s="4">
        <v>243480.08199999999</v>
      </c>
      <c r="L485" s="4">
        <v>2695925.9730000002</v>
      </c>
      <c r="M485" s="5">
        <v>108</v>
      </c>
      <c r="N485" s="5" t="s">
        <v>2354</v>
      </c>
      <c r="O485" s="29">
        <v>43697.708333333336</v>
      </c>
      <c r="P485" s="4" t="s">
        <v>2758</v>
      </c>
      <c r="Q485" s="4"/>
      <c r="R485" s="4" t="s">
        <v>2759</v>
      </c>
      <c r="S485" s="4" t="s">
        <v>1152</v>
      </c>
      <c r="T485" s="5">
        <v>3</v>
      </c>
      <c r="U485" s="5">
        <v>181</v>
      </c>
      <c r="V485" s="4"/>
      <c r="W485" s="8">
        <f t="shared" si="14"/>
        <v>0</v>
      </c>
      <c r="Y485" s="8"/>
      <c r="Z485" s="8"/>
      <c r="AC485" s="8" t="str">
        <f>IF(COUNTIFS(作業區!$W$2:$W$2000, T485, 作業區!$X$2:$X$2000, U485)&gt;0, "已存在", "未擴充")</f>
        <v>已存在</v>
      </c>
    </row>
    <row r="486" spans="1:29">
      <c r="A486" s="8">
        <f t="shared" si="15"/>
        <v>485</v>
      </c>
      <c r="B486" s="34" t="s">
        <v>893</v>
      </c>
      <c r="C486" s="34"/>
      <c r="D486" s="4"/>
      <c r="E486" s="5" t="s">
        <v>1033</v>
      </c>
      <c r="F486" s="5" t="s">
        <v>1034</v>
      </c>
      <c r="G486" s="5" t="s">
        <v>2760</v>
      </c>
      <c r="H486" s="5"/>
      <c r="I486" s="4">
        <v>284639</v>
      </c>
      <c r="J486" s="4">
        <v>2737261</v>
      </c>
      <c r="K486" s="4">
        <v>283810.18800000002</v>
      </c>
      <c r="L486" s="4">
        <v>2737467.1179999998</v>
      </c>
      <c r="M486" s="5">
        <v>108</v>
      </c>
      <c r="N486" s="5" t="s">
        <v>2354</v>
      </c>
      <c r="O486" s="29">
        <v>43674.319444444445</v>
      </c>
      <c r="P486" s="4" t="s">
        <v>2761</v>
      </c>
      <c r="Q486" s="4"/>
      <c r="R486" s="4" t="s">
        <v>2762</v>
      </c>
      <c r="S486" s="4" t="s">
        <v>2763</v>
      </c>
      <c r="T486" s="5">
        <v>0</v>
      </c>
      <c r="U486" s="5">
        <v>76</v>
      </c>
      <c r="V486" s="4"/>
      <c r="W486" s="8">
        <f t="shared" si="14"/>
        <v>0</v>
      </c>
      <c r="Y486" s="8"/>
      <c r="Z486" s="8"/>
      <c r="AC486" s="8" t="str">
        <f>IF(COUNTIFS(作業區!$W$2:$W$2000, T486, 作業區!$X$2:$X$2000, U486)&gt;0, "已存在", "未擴充")</f>
        <v>已存在</v>
      </c>
    </row>
    <row r="487" spans="1:29">
      <c r="A487" s="8">
        <f t="shared" si="15"/>
        <v>486</v>
      </c>
      <c r="B487" s="34" t="s">
        <v>893</v>
      </c>
      <c r="C487" s="34"/>
      <c r="D487" s="4" t="s">
        <v>2764</v>
      </c>
      <c r="E487" s="5" t="s">
        <v>1897</v>
      </c>
      <c r="F487" s="5" t="s">
        <v>2765</v>
      </c>
      <c r="G487" s="5" t="s">
        <v>2766</v>
      </c>
      <c r="H487" s="5"/>
      <c r="I487" s="4">
        <v>216305</v>
      </c>
      <c r="J487" s="4">
        <v>2529540</v>
      </c>
      <c r="K487" s="4">
        <v>215475.97099999999</v>
      </c>
      <c r="L487" s="4">
        <v>2529745.324</v>
      </c>
      <c r="M487" s="5">
        <v>108</v>
      </c>
      <c r="N487" s="5" t="s">
        <v>2354</v>
      </c>
      <c r="O487" s="29">
        <v>43643.208333333336</v>
      </c>
      <c r="P487" s="4" t="s">
        <v>2767</v>
      </c>
      <c r="Q487" s="4"/>
      <c r="R487" s="4" t="s">
        <v>2768</v>
      </c>
      <c r="S487" s="4" t="s">
        <v>1522</v>
      </c>
      <c r="T487" s="5">
        <v>0</v>
      </c>
      <c r="U487" s="5">
        <v>63</v>
      </c>
      <c r="V487" s="4"/>
      <c r="W487" s="8">
        <f t="shared" si="14"/>
        <v>0</v>
      </c>
      <c r="Y487" s="8"/>
      <c r="Z487" s="8"/>
      <c r="AC487" s="8" t="str">
        <f>IF(COUNTIFS(作業區!$W$2:$W$2000, T487, 作業區!$X$2:$X$2000, U487)&gt;0, "已存在", "未擴充")</f>
        <v>已存在</v>
      </c>
    </row>
    <row r="488" spans="1:29">
      <c r="A488" s="8">
        <f t="shared" si="15"/>
        <v>487</v>
      </c>
      <c r="B488" s="34" t="s">
        <v>893</v>
      </c>
      <c r="C488" s="34"/>
      <c r="D488" s="4" t="s">
        <v>2769</v>
      </c>
      <c r="E488" s="5" t="s">
        <v>794</v>
      </c>
      <c r="F488" s="5" t="s">
        <v>795</v>
      </c>
      <c r="G488" s="5" t="s">
        <v>2757</v>
      </c>
      <c r="H488" s="5" t="s">
        <v>2770</v>
      </c>
      <c r="I488" s="4">
        <v>247503</v>
      </c>
      <c r="J488" s="4">
        <v>2695625</v>
      </c>
      <c r="K488" s="4">
        <v>246674.09099999999</v>
      </c>
      <c r="L488" s="4">
        <v>2695830.9730000002</v>
      </c>
      <c r="M488" s="5">
        <v>108</v>
      </c>
      <c r="N488" s="5" t="s">
        <v>2354</v>
      </c>
      <c r="O488" s="29">
        <v>43641.458333333336</v>
      </c>
      <c r="P488" s="4" t="s">
        <v>2771</v>
      </c>
      <c r="Q488" s="4"/>
      <c r="R488" s="4" t="s">
        <v>2759</v>
      </c>
      <c r="S488" s="4" t="s">
        <v>1152</v>
      </c>
      <c r="T488" s="5">
        <v>0</v>
      </c>
      <c r="U488" s="5">
        <v>62</v>
      </c>
      <c r="V488" s="4">
        <v>400</v>
      </c>
      <c r="W488" s="8">
        <f t="shared" si="14"/>
        <v>0</v>
      </c>
      <c r="Y488" s="8"/>
      <c r="Z488" s="8"/>
      <c r="AC488" s="8" t="str">
        <f>IF(COUNTIFS(作業區!$W$2:$W$2000, T488, 作業區!$X$2:$X$2000, U488)&gt;0, "已存在", "未擴充")</f>
        <v>已存在</v>
      </c>
    </row>
    <row r="489" spans="1:29">
      <c r="A489" s="8">
        <f t="shared" si="15"/>
        <v>488</v>
      </c>
      <c r="B489" s="5" t="s">
        <v>739</v>
      </c>
      <c r="C489" s="5"/>
      <c r="D489" s="4" t="s">
        <v>2772</v>
      </c>
      <c r="E489" s="5" t="s">
        <v>780</v>
      </c>
      <c r="F489" s="5" t="s">
        <v>1068</v>
      </c>
      <c r="G489" s="5" t="s">
        <v>1277</v>
      </c>
      <c r="H489" s="5" t="s">
        <v>1563</v>
      </c>
      <c r="I489" s="4">
        <v>205369</v>
      </c>
      <c r="J489" s="4">
        <v>2585667</v>
      </c>
      <c r="K489" s="4">
        <v>204539.94399999999</v>
      </c>
      <c r="L489" s="4">
        <v>2585872.5610000002</v>
      </c>
      <c r="M489" s="5">
        <v>108</v>
      </c>
      <c r="N489" s="5" t="s">
        <v>2773</v>
      </c>
      <c r="O489" s="29">
        <v>43690.333333333336</v>
      </c>
      <c r="P489" s="4" t="s">
        <v>2774</v>
      </c>
      <c r="Q489" s="4"/>
      <c r="R489" s="4" t="s">
        <v>2775</v>
      </c>
      <c r="S489" s="4" t="s">
        <v>2603</v>
      </c>
      <c r="T489" s="5">
        <v>6</v>
      </c>
      <c r="U489" s="5">
        <v>98</v>
      </c>
      <c r="V489" s="4">
        <v>350</v>
      </c>
      <c r="W489" s="8">
        <f t="shared" si="14"/>
        <v>0</v>
      </c>
      <c r="Y489" s="8"/>
      <c r="Z489" s="8"/>
      <c r="AC489" s="8" t="str">
        <f>IF(COUNTIFS(作業區!$W$2:$W$2000, T489, 作業區!$X$2:$X$2000, U489)&gt;0, "已存在", "未擴充")</f>
        <v>已存在</v>
      </c>
    </row>
    <row r="490" spans="1:29">
      <c r="A490" s="8">
        <f t="shared" si="15"/>
        <v>489</v>
      </c>
      <c r="B490" s="5" t="s">
        <v>2740</v>
      </c>
      <c r="C490" s="5"/>
      <c r="D490" s="4" t="s">
        <v>2776</v>
      </c>
      <c r="E490" s="5" t="s">
        <v>1897</v>
      </c>
      <c r="F490" s="5" t="s">
        <v>2777</v>
      </c>
      <c r="G490" s="5" t="s">
        <v>2778</v>
      </c>
      <c r="H490" s="5"/>
      <c r="I490" s="4">
        <v>215845</v>
      </c>
      <c r="J490" s="4">
        <v>2567533</v>
      </c>
      <c r="K490" s="4">
        <v>215015.97700000001</v>
      </c>
      <c r="L490" s="4">
        <v>2567738.4849999999</v>
      </c>
      <c r="M490" s="5">
        <v>108</v>
      </c>
      <c r="N490" s="5" t="s">
        <v>2773</v>
      </c>
      <c r="O490" s="29">
        <v>43688.416666666664</v>
      </c>
      <c r="P490" s="4" t="s">
        <v>2779</v>
      </c>
      <c r="Q490" s="4"/>
      <c r="R490" s="4" t="s">
        <v>1536</v>
      </c>
      <c r="S490" s="4" t="s">
        <v>2780</v>
      </c>
      <c r="T490" s="5">
        <v>12</v>
      </c>
      <c r="U490" s="5">
        <v>337</v>
      </c>
      <c r="V490" s="4">
        <v>300</v>
      </c>
      <c r="W490" s="8">
        <f t="shared" si="14"/>
        <v>0</v>
      </c>
      <c r="Y490" s="8"/>
      <c r="Z490" s="8"/>
      <c r="AC490" s="8" t="str">
        <f>IF(COUNTIFS(作業區!$W$2:$W$2000, T490, 作業區!$X$2:$X$2000, U490)&gt;0, "已存在", "未擴充")</f>
        <v>已存在</v>
      </c>
    </row>
    <row r="491" spans="1:29">
      <c r="A491" s="8">
        <f t="shared" si="15"/>
        <v>490</v>
      </c>
      <c r="B491" s="5" t="s">
        <v>2733</v>
      </c>
      <c r="C491" s="5"/>
      <c r="D491" s="4" t="s">
        <v>2781</v>
      </c>
      <c r="E491" s="5" t="s">
        <v>869</v>
      </c>
      <c r="F491" s="5" t="s">
        <v>1581</v>
      </c>
      <c r="G491" s="5" t="s">
        <v>2782</v>
      </c>
      <c r="H491" s="5"/>
      <c r="I491" s="4">
        <v>215987</v>
      </c>
      <c r="J491" s="4">
        <v>2611291</v>
      </c>
      <c r="K491" s="4">
        <v>215157.98499999999</v>
      </c>
      <c r="L491" s="4">
        <v>2611496.6609999998</v>
      </c>
      <c r="M491" s="5">
        <v>108</v>
      </c>
      <c r="N491" s="5" t="s">
        <v>2773</v>
      </c>
      <c r="O491" s="29">
        <v>43688.333333333336</v>
      </c>
      <c r="P491" s="4" t="s">
        <v>2783</v>
      </c>
      <c r="Q491" s="4"/>
      <c r="R491" s="4" t="s">
        <v>1830</v>
      </c>
      <c r="S491" s="4" t="s">
        <v>1585</v>
      </c>
      <c r="T491" s="5">
        <v>10</v>
      </c>
      <c r="U491" s="5">
        <v>210</v>
      </c>
      <c r="V491" s="4">
        <v>350</v>
      </c>
      <c r="W491" s="8">
        <f t="shared" si="14"/>
        <v>0</v>
      </c>
      <c r="Y491" s="8"/>
      <c r="Z491" s="8"/>
      <c r="AC491" s="8" t="str">
        <f>IF(COUNTIFS(作業區!$W$2:$W$2000, T491, 作業區!$X$2:$X$2000, U491)&gt;0, "已存在", "未擴充")</f>
        <v>已存在</v>
      </c>
    </row>
    <row r="492" spans="1:29">
      <c r="A492" s="8">
        <f t="shared" si="15"/>
        <v>491</v>
      </c>
      <c r="B492" s="5" t="s">
        <v>2740</v>
      </c>
      <c r="C492" s="5"/>
      <c r="D492" s="4" t="s">
        <v>2784</v>
      </c>
      <c r="E492" s="2" t="s">
        <v>756</v>
      </c>
      <c r="F492" s="5" t="s">
        <v>765</v>
      </c>
      <c r="G492" s="5" t="s">
        <v>1112</v>
      </c>
      <c r="H492" s="5" t="s">
        <v>2785</v>
      </c>
      <c r="I492" s="4">
        <v>233496</v>
      </c>
      <c r="J492" s="4">
        <v>2683624</v>
      </c>
      <c r="K492" s="4">
        <v>232667.05</v>
      </c>
      <c r="L492" s="4">
        <v>2683829.9309999999</v>
      </c>
      <c r="M492" s="5">
        <v>108</v>
      </c>
      <c r="N492" s="5" t="s">
        <v>2773</v>
      </c>
      <c r="O492" s="29">
        <v>43686.416666666664</v>
      </c>
      <c r="P492" s="4" t="s">
        <v>2786</v>
      </c>
      <c r="Q492" s="4"/>
      <c r="R492" s="4" t="s">
        <v>2787</v>
      </c>
      <c r="S492" s="4" t="s">
        <v>2788</v>
      </c>
      <c r="T492" s="5">
        <v>4</v>
      </c>
      <c r="U492" s="5">
        <v>49</v>
      </c>
      <c r="V492" s="4">
        <v>400</v>
      </c>
      <c r="W492" s="8">
        <f t="shared" si="14"/>
        <v>0</v>
      </c>
      <c r="Y492" s="8"/>
      <c r="Z492" s="8"/>
      <c r="AC492" s="8" t="str">
        <f>IF(COUNTIFS(作業區!$W$2:$W$2000, T492, 作業區!$X$2:$X$2000, U492)&gt;0, "已存在", "未擴充")</f>
        <v>已存在</v>
      </c>
    </row>
    <row r="493" spans="1:29">
      <c r="A493" s="8">
        <f t="shared" si="15"/>
        <v>492</v>
      </c>
      <c r="B493" s="5" t="s">
        <v>2740</v>
      </c>
      <c r="C493" s="5"/>
      <c r="D493" s="4" t="s">
        <v>2789</v>
      </c>
      <c r="E493" s="5" t="s">
        <v>785</v>
      </c>
      <c r="F493" s="5" t="s">
        <v>773</v>
      </c>
      <c r="G493" s="5" t="s">
        <v>2208</v>
      </c>
      <c r="H493" s="5"/>
      <c r="I493" s="4">
        <v>256557</v>
      </c>
      <c r="J493" s="4">
        <v>2645703</v>
      </c>
      <c r="K493" s="4">
        <v>255728.11799999999</v>
      </c>
      <c r="L493" s="4">
        <v>2645908.7910000002</v>
      </c>
      <c r="M493" s="5">
        <v>108</v>
      </c>
      <c r="N493" s="5" t="s">
        <v>2790</v>
      </c>
      <c r="O493" s="29">
        <v>43694.291666666664</v>
      </c>
      <c r="P493" s="4" t="s">
        <v>2791</v>
      </c>
      <c r="Q493" s="4"/>
      <c r="R493" s="4" t="s">
        <v>2792</v>
      </c>
      <c r="S493" s="4" t="s">
        <v>1211</v>
      </c>
      <c r="T493" s="5">
        <v>9</v>
      </c>
      <c r="U493" s="5">
        <v>154</v>
      </c>
      <c r="V493" s="4">
        <v>250</v>
      </c>
      <c r="W493" s="8">
        <f t="shared" si="14"/>
        <v>0</v>
      </c>
      <c r="Y493" s="8"/>
      <c r="Z493" s="8"/>
      <c r="AC493" s="8" t="str">
        <f>IF(COUNTIFS(作業區!$W$2:$W$2000, T493, 作業區!$X$2:$X$2000, U493)&gt;0, "已存在", "未擴充")</f>
        <v>已存在</v>
      </c>
    </row>
    <row r="494" spans="1:29">
      <c r="A494" s="8">
        <f t="shared" si="15"/>
        <v>493</v>
      </c>
      <c r="B494" s="5" t="s">
        <v>2740</v>
      </c>
      <c r="C494" s="5"/>
      <c r="D494" s="4" t="s">
        <v>2793</v>
      </c>
      <c r="E494" s="5" t="s">
        <v>930</v>
      </c>
      <c r="F494" s="5" t="s">
        <v>2794</v>
      </c>
      <c r="G494" s="5" t="s">
        <v>2795</v>
      </c>
      <c r="H494" s="5" t="s">
        <v>2796</v>
      </c>
      <c r="I494" s="4">
        <v>223126</v>
      </c>
      <c r="J494" s="4">
        <v>2515169</v>
      </c>
      <c r="K494" s="4">
        <v>222296.995</v>
      </c>
      <c r="L494" s="4">
        <v>2515374.2599999998</v>
      </c>
      <c r="M494" s="5">
        <v>108</v>
      </c>
      <c r="N494" s="5" t="s">
        <v>2790</v>
      </c>
      <c r="O494" s="29">
        <v>43693.416666666664</v>
      </c>
      <c r="P494" s="4" t="s">
        <v>2797</v>
      </c>
      <c r="Q494" s="4"/>
      <c r="R494" s="4" t="s">
        <v>2798</v>
      </c>
      <c r="S494" s="4" t="s">
        <v>1696</v>
      </c>
      <c r="T494" s="5">
        <v>18</v>
      </c>
      <c r="U494" s="5">
        <v>328</v>
      </c>
      <c r="V494" s="4">
        <v>400</v>
      </c>
      <c r="W494" s="8">
        <f t="shared" si="14"/>
        <v>0</v>
      </c>
      <c r="Y494" s="8"/>
      <c r="Z494" s="8"/>
      <c r="AC494" s="8" t="str">
        <f>IF(COUNTIFS(作業區!$W$2:$W$2000, T494, 作業區!$X$2:$X$2000, U494)&gt;0, "已存在", "未擴充")</f>
        <v>已存在</v>
      </c>
    </row>
    <row r="495" spans="1:29">
      <c r="A495" s="8">
        <f t="shared" si="15"/>
        <v>494</v>
      </c>
      <c r="B495" s="5" t="s">
        <v>2799</v>
      </c>
      <c r="C495" s="5"/>
      <c r="D495" s="4" t="s">
        <v>2800</v>
      </c>
      <c r="E495" s="5" t="s">
        <v>769</v>
      </c>
      <c r="F495" s="5" t="s">
        <v>2801</v>
      </c>
      <c r="G495" s="5" t="s">
        <v>2802</v>
      </c>
      <c r="H495" s="5" t="s">
        <v>2803</v>
      </c>
      <c r="I495" s="4">
        <v>220551</v>
      </c>
      <c r="J495" s="4">
        <v>2639424</v>
      </c>
      <c r="K495" s="4">
        <v>219722.005</v>
      </c>
      <c r="L495" s="4">
        <v>2639629.7689999999</v>
      </c>
      <c r="M495" s="5">
        <v>108</v>
      </c>
      <c r="N495" s="5" t="s">
        <v>2790</v>
      </c>
      <c r="O495" s="29">
        <v>43693.236111111109</v>
      </c>
      <c r="P495" s="4" t="s">
        <v>2804</v>
      </c>
      <c r="Q495" s="4"/>
      <c r="R495" s="4" t="s">
        <v>2805</v>
      </c>
      <c r="S495" s="4" t="s">
        <v>2806</v>
      </c>
      <c r="T495" s="5">
        <v>10</v>
      </c>
      <c r="U495" s="5">
        <v>225</v>
      </c>
      <c r="V495" s="4">
        <v>500</v>
      </c>
      <c r="W495" s="8">
        <f t="shared" si="14"/>
        <v>0</v>
      </c>
      <c r="Y495" s="8"/>
      <c r="Z495" s="8"/>
      <c r="AC495" s="8" t="str">
        <f>IF(COUNTIFS(作業區!$W$2:$W$2000, T495, 作業區!$X$2:$X$2000, U495)&gt;0, "已存在", "未擴充")</f>
        <v>已存在</v>
      </c>
    </row>
    <row r="496" spans="1:29">
      <c r="A496" s="8">
        <f t="shared" si="15"/>
        <v>495</v>
      </c>
      <c r="B496" s="5" t="s">
        <v>2749</v>
      </c>
      <c r="C496" s="5"/>
      <c r="D496" s="4" t="s">
        <v>2807</v>
      </c>
      <c r="E496" s="5" t="s">
        <v>785</v>
      </c>
      <c r="F496" s="5" t="s">
        <v>908</v>
      </c>
      <c r="G496" s="5" t="s">
        <v>2746</v>
      </c>
      <c r="H496" s="5"/>
      <c r="I496" s="4">
        <v>237463</v>
      </c>
      <c r="J496" s="4">
        <v>2664047</v>
      </c>
      <c r="K496" s="4">
        <v>236634.06</v>
      </c>
      <c r="L496" s="4">
        <v>2664252.86</v>
      </c>
      <c r="M496" s="5">
        <v>108</v>
      </c>
      <c r="N496" s="5" t="s">
        <v>2790</v>
      </c>
      <c r="O496" s="29">
        <v>43693.125</v>
      </c>
      <c r="P496" s="4" t="s">
        <v>2808</v>
      </c>
      <c r="Q496" s="4"/>
      <c r="R496" s="4" t="s">
        <v>2662</v>
      </c>
      <c r="S496" s="4" t="s">
        <v>2663</v>
      </c>
      <c r="T496" s="5">
        <v>18</v>
      </c>
      <c r="U496" s="5">
        <v>258</v>
      </c>
      <c r="V496" s="4">
        <v>300</v>
      </c>
      <c r="W496" s="8">
        <f t="shared" si="14"/>
        <v>0</v>
      </c>
      <c r="Y496" s="8"/>
      <c r="Z496" s="8"/>
      <c r="AC496" s="8" t="str">
        <f>IF(COUNTIFS(作業區!$W$2:$W$2000, T496, 作業區!$X$2:$X$2000, U496)&gt;0, "已存在", "未擴充")</f>
        <v>已存在</v>
      </c>
    </row>
    <row r="497" spans="1:29">
      <c r="A497" s="8">
        <f t="shared" si="15"/>
        <v>496</v>
      </c>
      <c r="B497" s="5" t="s">
        <v>739</v>
      </c>
      <c r="C497" s="5"/>
      <c r="D497" s="4" t="s">
        <v>2772</v>
      </c>
      <c r="E497" s="5" t="s">
        <v>780</v>
      </c>
      <c r="F497" s="5" t="s">
        <v>1068</v>
      </c>
      <c r="G497" s="5" t="s">
        <v>1277</v>
      </c>
      <c r="H497" s="5" t="s">
        <v>1563</v>
      </c>
      <c r="I497" s="4">
        <v>205369</v>
      </c>
      <c r="J497" s="4">
        <v>2585667</v>
      </c>
      <c r="K497" s="4">
        <v>204539.94399999999</v>
      </c>
      <c r="L497" s="4">
        <v>2585872.5610000002</v>
      </c>
      <c r="M497" s="5">
        <v>108</v>
      </c>
      <c r="N497" s="5" t="s">
        <v>2790</v>
      </c>
      <c r="O497" s="29">
        <v>43693.25</v>
      </c>
      <c r="P497" s="4" t="s">
        <v>2809</v>
      </c>
      <c r="Q497" s="4"/>
      <c r="R497" s="4" t="s">
        <v>2775</v>
      </c>
      <c r="S497" s="4" t="s">
        <v>2603</v>
      </c>
      <c r="T497" s="5">
        <v>20</v>
      </c>
      <c r="U497" s="5">
        <v>173</v>
      </c>
      <c r="V497" s="4">
        <v>350</v>
      </c>
      <c r="W497" s="8">
        <f t="shared" si="14"/>
        <v>0</v>
      </c>
      <c r="Y497" s="8"/>
      <c r="Z497" s="8"/>
      <c r="AC497" s="8" t="str">
        <f>IF(COUNTIFS(作業區!$W$2:$W$2000, T497, 作業區!$X$2:$X$2000, U497)&gt;0, "已存在", "未擴充")</f>
        <v>已存在</v>
      </c>
    </row>
    <row r="498" spans="1:29">
      <c r="A498" s="8">
        <f t="shared" si="15"/>
        <v>497</v>
      </c>
      <c r="B498" s="5" t="s">
        <v>2733</v>
      </c>
      <c r="C498" s="5"/>
      <c r="D498" s="4" t="s">
        <v>2810</v>
      </c>
      <c r="E498" s="5" t="s">
        <v>1897</v>
      </c>
      <c r="F498" s="5" t="s">
        <v>1908</v>
      </c>
      <c r="G498" s="5" t="s">
        <v>2811</v>
      </c>
      <c r="H498" s="5"/>
      <c r="I498" s="4">
        <v>222044</v>
      </c>
      <c r="J498" s="4">
        <v>2556452</v>
      </c>
      <c r="K498" s="4">
        <v>221214.997</v>
      </c>
      <c r="L498" s="4">
        <v>2556657.4380000001</v>
      </c>
      <c r="M498" s="5">
        <v>108</v>
      </c>
      <c r="N498" s="5" t="s">
        <v>2790</v>
      </c>
      <c r="O498" s="29">
        <v>43692.625</v>
      </c>
      <c r="P498" s="4" t="s">
        <v>2812</v>
      </c>
      <c r="Q498" s="4"/>
      <c r="R498" s="4" t="s">
        <v>2813</v>
      </c>
      <c r="S498" s="4" t="s">
        <v>2814</v>
      </c>
      <c r="T498" s="5">
        <v>23</v>
      </c>
      <c r="U498" s="5">
        <v>326</v>
      </c>
      <c r="V498" s="4">
        <v>350</v>
      </c>
      <c r="W498" s="8">
        <f t="shared" si="14"/>
        <v>0</v>
      </c>
      <c r="Y498" s="8"/>
      <c r="Z498" s="8"/>
      <c r="AC498" s="8" t="str">
        <f>IF(COUNTIFS(作業區!$W$2:$W$2000, T498, 作業區!$X$2:$X$2000, U498)&gt;0, "已存在", "未擴充")</f>
        <v>已存在</v>
      </c>
    </row>
    <row r="499" spans="1:29">
      <c r="A499" s="8">
        <f t="shared" si="15"/>
        <v>498</v>
      </c>
      <c r="B499" s="34" t="s">
        <v>893</v>
      </c>
      <c r="C499" s="34"/>
      <c r="D499" s="4" t="s">
        <v>2815</v>
      </c>
      <c r="E499" s="5" t="s">
        <v>2816</v>
      </c>
      <c r="F499" s="5" t="s">
        <v>2817</v>
      </c>
      <c r="G499" s="5" t="s">
        <v>2818</v>
      </c>
      <c r="H499" s="5" t="s">
        <v>2819</v>
      </c>
      <c r="I499" s="4">
        <v>195365</v>
      </c>
      <c r="J499" s="4">
        <v>2568467</v>
      </c>
      <c r="K499" s="4">
        <v>194535.905</v>
      </c>
      <c r="L499" s="4">
        <v>2568672.4929999998</v>
      </c>
      <c r="M499" s="5">
        <v>108</v>
      </c>
      <c r="N499" s="5" t="s">
        <v>2790</v>
      </c>
      <c r="O499" s="29">
        <v>43692.416666666664</v>
      </c>
      <c r="P499" s="4" t="s">
        <v>2820</v>
      </c>
      <c r="Q499" s="4"/>
      <c r="R499" s="4" t="s">
        <v>2821</v>
      </c>
      <c r="S499" s="4" t="s">
        <v>2822</v>
      </c>
      <c r="T499" s="5">
        <v>19</v>
      </c>
      <c r="U499" s="5">
        <v>120</v>
      </c>
      <c r="V499" s="4">
        <v>550</v>
      </c>
      <c r="W499" s="8">
        <f t="shared" si="14"/>
        <v>0</v>
      </c>
      <c r="Y499" s="8"/>
      <c r="Z499" s="8"/>
      <c r="AC499" s="8" t="str">
        <f>IF(COUNTIFS(作業區!$W$2:$W$2000, T499, 作業區!$X$2:$X$2000, U499)&gt;0, "已存在", "未擴充")</f>
        <v>已存在</v>
      </c>
    </row>
    <row r="500" spans="1:29">
      <c r="A500" s="8">
        <f t="shared" si="15"/>
        <v>499</v>
      </c>
      <c r="B500" s="34" t="s">
        <v>893</v>
      </c>
      <c r="C500" s="34"/>
      <c r="D500" s="4" t="s">
        <v>2823</v>
      </c>
      <c r="E500" s="5" t="s">
        <v>769</v>
      </c>
      <c r="F500" s="5" t="s">
        <v>773</v>
      </c>
      <c r="G500" s="5" t="s">
        <v>2824</v>
      </c>
      <c r="H500" s="5"/>
      <c r="I500" s="4">
        <v>268890</v>
      </c>
      <c r="J500" s="4">
        <v>2670383</v>
      </c>
      <c r="K500" s="4">
        <v>268061.15399999998</v>
      </c>
      <c r="L500" s="4">
        <v>2670588.8829999999</v>
      </c>
      <c r="M500" s="5">
        <v>109</v>
      </c>
      <c r="N500" s="5" t="s">
        <v>2825</v>
      </c>
      <c r="O500" s="29">
        <v>43973.020833333336</v>
      </c>
      <c r="P500" s="4" t="s">
        <v>2826</v>
      </c>
      <c r="Q500" s="4"/>
      <c r="R500" s="4" t="s">
        <v>2827</v>
      </c>
      <c r="S500" s="4" t="s">
        <v>2828</v>
      </c>
      <c r="T500" s="5">
        <v>14</v>
      </c>
      <c r="U500" s="5">
        <v>112</v>
      </c>
      <c r="V500" s="4">
        <v>250</v>
      </c>
      <c r="W500" s="8">
        <f t="shared" si="14"/>
        <v>0</v>
      </c>
      <c r="Y500" s="8"/>
      <c r="Z500" s="8"/>
      <c r="AC500" s="8" t="str">
        <f>IF(COUNTIFS(作業區!$W$2:$W$2000, T500, 作業區!$X$2:$X$2000, U500)&gt;0, "已存在", "未擴充")</f>
        <v>已存在</v>
      </c>
    </row>
    <row r="501" spans="1:29">
      <c r="A501" s="8">
        <f t="shared" si="15"/>
        <v>500</v>
      </c>
      <c r="B501" s="34" t="s">
        <v>2829</v>
      </c>
      <c r="C501" s="44"/>
      <c r="D501" s="45" t="s">
        <v>2830</v>
      </c>
      <c r="E501" s="1" t="s">
        <v>2306</v>
      </c>
      <c r="F501" s="1" t="s">
        <v>2831</v>
      </c>
      <c r="G501" s="1" t="s">
        <v>2832</v>
      </c>
      <c r="I501" s="8">
        <v>333989</v>
      </c>
      <c r="J501" s="8">
        <v>2776846</v>
      </c>
      <c r="M501" s="1">
        <v>109</v>
      </c>
      <c r="N501" s="1" t="s">
        <v>2833</v>
      </c>
      <c r="O501" s="46">
        <v>44169.354166666664</v>
      </c>
      <c r="P501" s="8" t="s">
        <v>2834</v>
      </c>
      <c r="R501" s="8" t="s">
        <v>2835</v>
      </c>
      <c r="S501" s="8" t="s">
        <v>2836</v>
      </c>
      <c r="T501" s="1">
        <v>11</v>
      </c>
      <c r="U501" s="1">
        <v>215</v>
      </c>
      <c r="V501" s="8" t="s">
        <v>2534</v>
      </c>
      <c r="W501" s="8">
        <f t="shared" si="14"/>
        <v>1</v>
      </c>
      <c r="Y501" s="8"/>
      <c r="Z501" s="8"/>
      <c r="AC501" s="8" t="str">
        <f>IF(COUNTIFS(作業區!$W$2:$W$2000, T501, 作業區!$X$2:$X$2000, U501)&gt;0, "已存在", "未擴充")</f>
        <v>已存在</v>
      </c>
    </row>
    <row r="502" spans="1:29">
      <c r="A502" s="8">
        <f t="shared" si="15"/>
        <v>501</v>
      </c>
      <c r="B502" s="34" t="s">
        <v>2829</v>
      </c>
      <c r="C502" s="47"/>
      <c r="D502" s="8" t="s">
        <v>2837</v>
      </c>
      <c r="E502" s="1" t="s">
        <v>2838</v>
      </c>
      <c r="F502" s="1" t="s">
        <v>757</v>
      </c>
      <c r="G502" s="1" t="s">
        <v>2728</v>
      </c>
      <c r="I502" s="8">
        <v>265521</v>
      </c>
      <c r="J502" s="8">
        <v>2682667</v>
      </c>
      <c r="M502" s="1">
        <v>109</v>
      </c>
      <c r="N502" s="1" t="s">
        <v>2833</v>
      </c>
      <c r="O502" s="46">
        <v>43994.375</v>
      </c>
      <c r="P502" s="48" t="s">
        <v>2839</v>
      </c>
      <c r="R502" s="8" t="s">
        <v>2840</v>
      </c>
      <c r="S502" s="8" t="s">
        <v>2841</v>
      </c>
      <c r="T502" s="1">
        <v>0</v>
      </c>
      <c r="U502" s="1">
        <v>22</v>
      </c>
      <c r="V502" s="8" t="s">
        <v>2534</v>
      </c>
      <c r="W502" s="8">
        <f t="shared" si="14"/>
        <v>0</v>
      </c>
      <c r="AC502" s="8" t="str">
        <f>IF(COUNTIFS(作業區!$W$2:$W$2000, T502, 作業區!$X$2:$X$2000, U502)&gt;0, "已存在", "未擴充")</f>
        <v>已存在</v>
      </c>
    </row>
    <row r="503" spans="1:29" ht="33">
      <c r="A503" s="8">
        <f t="shared" si="15"/>
        <v>502</v>
      </c>
      <c r="B503" s="34" t="s">
        <v>2829</v>
      </c>
      <c r="C503" s="8" t="s">
        <v>2842</v>
      </c>
      <c r="D503" s="8" t="s">
        <v>2843</v>
      </c>
      <c r="E503" s="1" t="s">
        <v>769</v>
      </c>
      <c r="F503" s="1" t="s">
        <v>773</v>
      </c>
      <c r="G503" s="1" t="s">
        <v>2844</v>
      </c>
      <c r="H503" s="49" t="s">
        <v>2845</v>
      </c>
      <c r="I503" s="8">
        <v>271252</v>
      </c>
      <c r="J503" s="8">
        <v>2673935</v>
      </c>
      <c r="M503" s="1">
        <v>110</v>
      </c>
      <c r="N503" s="1" t="s">
        <v>2846</v>
      </c>
      <c r="O503" s="46">
        <v>44346.958333333336</v>
      </c>
      <c r="P503" s="48" t="s">
        <v>2847</v>
      </c>
      <c r="R503" s="8" t="s">
        <v>2848</v>
      </c>
      <c r="S503" s="8" t="s">
        <v>2849</v>
      </c>
      <c r="T503" s="1">
        <v>3</v>
      </c>
      <c r="U503" s="1">
        <v>144</v>
      </c>
      <c r="V503" s="8">
        <v>300</v>
      </c>
      <c r="W503" s="8">
        <f t="shared" si="14"/>
        <v>0</v>
      </c>
      <c r="X503" s="8">
        <v>0.03</v>
      </c>
      <c r="Y503" s="8">
        <v>150</v>
      </c>
      <c r="Z503" s="8">
        <v>150</v>
      </c>
      <c r="AC503" s="8" t="str">
        <f>IF(COUNTIFS(作業區!$W$2:$W$2000, T503, 作業區!$X$2:$X$2000, U503)&gt;0, "已存在", "未擴充")</f>
        <v>已存在</v>
      </c>
    </row>
    <row r="504" spans="1:29" ht="27.75" customHeight="1">
      <c r="A504" s="8">
        <f t="shared" si="15"/>
        <v>503</v>
      </c>
      <c r="B504" s="34" t="s">
        <v>2829</v>
      </c>
      <c r="C504" s="8" t="s">
        <v>2842</v>
      </c>
      <c r="D504" s="8" t="s">
        <v>2850</v>
      </c>
      <c r="E504" s="1" t="s">
        <v>769</v>
      </c>
      <c r="F504" s="1" t="s">
        <v>773</v>
      </c>
      <c r="G504" s="1" t="s">
        <v>2844</v>
      </c>
      <c r="H504" s="49" t="s">
        <v>2845</v>
      </c>
      <c r="I504" s="8">
        <v>271252</v>
      </c>
      <c r="J504" s="8">
        <v>2673935</v>
      </c>
      <c r="M504" s="1">
        <v>110</v>
      </c>
      <c r="N504" s="1" t="s">
        <v>2846</v>
      </c>
      <c r="O504" s="46">
        <v>44351.458333333336</v>
      </c>
      <c r="P504" s="8" t="s">
        <v>2851</v>
      </c>
      <c r="R504" s="8" t="s">
        <v>2848</v>
      </c>
      <c r="S504" s="8" t="s">
        <v>2849</v>
      </c>
      <c r="T504" s="1">
        <v>11</v>
      </c>
      <c r="U504" s="1">
        <v>75</v>
      </c>
      <c r="V504" s="8">
        <v>300</v>
      </c>
      <c r="W504" s="8">
        <f t="shared" si="14"/>
        <v>0</v>
      </c>
      <c r="X504" s="8">
        <v>0.3</v>
      </c>
      <c r="Y504" s="8">
        <v>1500</v>
      </c>
      <c r="Z504" s="8">
        <v>1500</v>
      </c>
      <c r="AC504" s="8" t="str">
        <f>IF(COUNTIFS(作業區!$W$2:$W$2000, T504, 作業區!$X$2:$X$2000, U504)&gt;0, "已存在", "未擴充")</f>
        <v>已存在</v>
      </c>
    </row>
    <row r="505" spans="1:29">
      <c r="A505" s="8">
        <f t="shared" si="15"/>
        <v>504</v>
      </c>
      <c r="B505" s="34" t="s">
        <v>2829</v>
      </c>
      <c r="C505" s="8" t="s">
        <v>2852</v>
      </c>
      <c r="D505" s="8" t="s">
        <v>2853</v>
      </c>
      <c r="E505" s="1" t="s">
        <v>769</v>
      </c>
      <c r="F505" s="1" t="s">
        <v>773</v>
      </c>
      <c r="G505" s="1" t="s">
        <v>877</v>
      </c>
      <c r="H505" s="49"/>
      <c r="I505" s="8">
        <v>266488</v>
      </c>
      <c r="J505" s="8">
        <v>2663532</v>
      </c>
      <c r="M505" s="1">
        <v>110</v>
      </c>
      <c r="N505" s="1" t="s">
        <v>2846</v>
      </c>
      <c r="O505" s="46">
        <v>44351.708333333336</v>
      </c>
      <c r="P505" s="8" t="s">
        <v>2854</v>
      </c>
      <c r="R505" s="8" t="s">
        <v>2855</v>
      </c>
      <c r="S505" s="8" t="s">
        <v>2856</v>
      </c>
      <c r="T505" s="1">
        <v>0</v>
      </c>
      <c r="U505" s="1">
        <v>134</v>
      </c>
      <c r="V505" s="8">
        <v>300</v>
      </c>
      <c r="W505" s="8">
        <f t="shared" si="14"/>
        <v>0</v>
      </c>
      <c r="X505" s="49">
        <v>0.1</v>
      </c>
      <c r="Y505" s="8">
        <v>500</v>
      </c>
      <c r="Z505" s="8">
        <v>500</v>
      </c>
      <c r="AC505" s="8" t="str">
        <f>IF(COUNTIFS(作業區!$W$2:$W$2000, T505, 作業區!$X$2:$X$2000, U505)&gt;0, "已存在", "未擴充")</f>
        <v>已存在</v>
      </c>
    </row>
    <row r="506" spans="1:29">
      <c r="A506" s="8">
        <f t="shared" si="15"/>
        <v>505</v>
      </c>
      <c r="B506" s="34" t="s">
        <v>2829</v>
      </c>
      <c r="C506" s="8" t="s">
        <v>2857</v>
      </c>
      <c r="D506" s="8" t="s">
        <v>2858</v>
      </c>
      <c r="E506" s="1" t="s">
        <v>846</v>
      </c>
      <c r="F506" s="1" t="s">
        <v>2859</v>
      </c>
      <c r="G506" s="1" t="s">
        <v>2860</v>
      </c>
      <c r="I506" s="8">
        <v>254669</v>
      </c>
      <c r="J506" s="8">
        <v>2719896</v>
      </c>
      <c r="M506" s="1">
        <v>110</v>
      </c>
      <c r="N506" s="1" t="s">
        <v>2354</v>
      </c>
      <c r="O506" s="46">
        <v>44360.458333333336</v>
      </c>
      <c r="P506" s="8" t="s">
        <v>2861</v>
      </c>
      <c r="R506" s="8" t="s">
        <v>2862</v>
      </c>
      <c r="S506" s="8" t="s">
        <v>2863</v>
      </c>
      <c r="T506" s="1">
        <v>0</v>
      </c>
      <c r="U506" s="1">
        <v>140</v>
      </c>
      <c r="V506" s="8">
        <v>500</v>
      </c>
      <c r="W506" s="8">
        <f t="shared" si="14"/>
        <v>0</v>
      </c>
      <c r="X506" s="8">
        <v>0.1</v>
      </c>
      <c r="Y506" s="8">
        <v>2000</v>
      </c>
      <c r="Z506" s="8">
        <v>2000</v>
      </c>
      <c r="AC506" s="8" t="str">
        <f>IF(COUNTIFS(作業區!$W$2:$W$2000, T506, 作業區!$X$2:$X$2000, U506)&gt;0, "已存在", "未擴充")</f>
        <v>已存在</v>
      </c>
    </row>
    <row r="507" spans="1:29">
      <c r="A507" s="8">
        <f t="shared" si="15"/>
        <v>506</v>
      </c>
      <c r="B507" s="34" t="s">
        <v>2829</v>
      </c>
      <c r="C507" s="8" t="s">
        <v>2864</v>
      </c>
      <c r="D507" s="8" t="s">
        <v>2865</v>
      </c>
      <c r="E507" s="1" t="s">
        <v>846</v>
      </c>
      <c r="F507" s="1" t="s">
        <v>1383</v>
      </c>
      <c r="G507" s="1" t="s">
        <v>2707</v>
      </c>
      <c r="I507" s="8">
        <v>238632</v>
      </c>
      <c r="J507" s="8">
        <v>2704218</v>
      </c>
      <c r="M507" s="1">
        <v>110</v>
      </c>
      <c r="N507" s="1" t="s">
        <v>2354</v>
      </c>
      <c r="O507" s="46">
        <v>44377.916666666664</v>
      </c>
      <c r="P507" s="8" t="s">
        <v>2866</v>
      </c>
      <c r="R507" s="50" t="s">
        <v>2867</v>
      </c>
      <c r="S507" s="8" t="s">
        <v>2868</v>
      </c>
      <c r="T507" s="1">
        <v>0</v>
      </c>
      <c r="U507" s="1">
        <v>56</v>
      </c>
      <c r="V507" s="8">
        <v>500</v>
      </c>
      <c r="W507" s="8">
        <f t="shared" si="14"/>
        <v>0</v>
      </c>
      <c r="X507" s="8">
        <v>0.33</v>
      </c>
      <c r="Y507" s="8">
        <v>9900</v>
      </c>
      <c r="Z507" s="8">
        <v>9900</v>
      </c>
      <c r="AC507" s="8" t="str">
        <f>IF(COUNTIFS(作業區!$W$2:$W$2000, T507, 作業區!$X$2:$X$2000, U507)&gt;0, "已存在", "未擴充")</f>
        <v>已存在</v>
      </c>
    </row>
    <row r="508" spans="1:29">
      <c r="A508" s="8">
        <f t="shared" si="15"/>
        <v>507</v>
      </c>
      <c r="B508" s="34" t="s">
        <v>2829</v>
      </c>
      <c r="C508" s="8" t="s">
        <v>2869</v>
      </c>
      <c r="D508" s="8" t="s">
        <v>2870</v>
      </c>
      <c r="E508" s="1" t="s">
        <v>1897</v>
      </c>
      <c r="F508" s="1" t="s">
        <v>2871</v>
      </c>
      <c r="G508" s="1" t="s">
        <v>2872</v>
      </c>
      <c r="I508" s="8">
        <v>193645</v>
      </c>
      <c r="J508" s="8">
        <v>2520213</v>
      </c>
      <c r="M508" s="1">
        <v>110</v>
      </c>
      <c r="N508" s="1" t="s">
        <v>2354</v>
      </c>
      <c r="O508" s="46">
        <v>44416.333333333336</v>
      </c>
      <c r="P508" s="8" t="s">
        <v>2873</v>
      </c>
      <c r="R508" s="8" t="s">
        <v>2874</v>
      </c>
      <c r="S508" s="8" t="s">
        <v>2875</v>
      </c>
      <c r="T508" s="1">
        <v>24</v>
      </c>
      <c r="U508" s="1">
        <v>171.5</v>
      </c>
      <c r="V508" s="8">
        <v>500</v>
      </c>
      <c r="W508" s="8">
        <f t="shared" si="14"/>
        <v>0</v>
      </c>
      <c r="X508" s="49">
        <v>0.21</v>
      </c>
      <c r="Y508" s="51">
        <v>10500</v>
      </c>
      <c r="Z508" s="51">
        <v>10500</v>
      </c>
      <c r="AC508" s="8" t="str">
        <f>IF(COUNTIFS(作業區!$W$2:$W$2000, T508, 作業區!$X$2:$X$2000, U508)&gt;0, "已存在", "未擴充")</f>
        <v>已存在</v>
      </c>
    </row>
    <row r="509" spans="1:29">
      <c r="A509" s="8">
        <f t="shared" si="15"/>
        <v>508</v>
      </c>
      <c r="B509" s="34" t="s">
        <v>2829</v>
      </c>
      <c r="C509" s="8" t="s">
        <v>2876</v>
      </c>
      <c r="D509" s="8" t="s">
        <v>2877</v>
      </c>
      <c r="E509" s="1" t="s">
        <v>1897</v>
      </c>
      <c r="F509" s="1" t="s">
        <v>1915</v>
      </c>
      <c r="G509" s="1" t="s">
        <v>2878</v>
      </c>
      <c r="I509" s="8">
        <v>221305</v>
      </c>
      <c r="J509" s="8">
        <v>2554772</v>
      </c>
      <c r="M509" s="1">
        <v>110</v>
      </c>
      <c r="N509" s="1" t="s">
        <v>2354</v>
      </c>
      <c r="O509" s="46">
        <v>44419.791666666664</v>
      </c>
      <c r="P509" s="8" t="s">
        <v>2879</v>
      </c>
      <c r="R509" s="8" t="s">
        <v>2880</v>
      </c>
      <c r="S509" s="8" t="s">
        <v>2881</v>
      </c>
      <c r="T509" s="1">
        <v>10</v>
      </c>
      <c r="U509" s="1">
        <v>169.4</v>
      </c>
      <c r="V509" s="8">
        <v>300</v>
      </c>
      <c r="W509" s="8">
        <f t="shared" si="14"/>
        <v>0</v>
      </c>
      <c r="X509" s="49">
        <v>1.02</v>
      </c>
      <c r="Y509" s="51">
        <v>30600</v>
      </c>
      <c r="Z509" s="51">
        <v>30600</v>
      </c>
      <c r="AC509" s="8" t="str">
        <f>IF(COUNTIFS(作業區!$W$2:$W$2000, T509, 作業區!$X$2:$X$2000, U509)&gt;0, "已存在", "未擴充")</f>
        <v>已存在</v>
      </c>
    </row>
    <row r="510" spans="1:29">
      <c r="A510" s="8">
        <f t="shared" si="15"/>
        <v>509</v>
      </c>
      <c r="B510" s="34" t="s">
        <v>2829</v>
      </c>
      <c r="C510" s="8" t="s">
        <v>2882</v>
      </c>
      <c r="D510" s="8" t="s">
        <v>2883</v>
      </c>
      <c r="E510" s="1" t="s">
        <v>769</v>
      </c>
      <c r="F510" s="1" t="s">
        <v>2884</v>
      </c>
      <c r="G510" s="1" t="s">
        <v>2885</v>
      </c>
      <c r="I510" s="8">
        <v>231563</v>
      </c>
      <c r="J510" s="8">
        <v>2635442</v>
      </c>
      <c r="M510" s="1">
        <v>110</v>
      </c>
      <c r="N510" s="1" t="s">
        <v>2354</v>
      </c>
      <c r="O510" s="46">
        <v>44422.125</v>
      </c>
      <c r="P510" s="8" t="s">
        <v>2886</v>
      </c>
      <c r="R510" s="8" t="s">
        <v>2887</v>
      </c>
      <c r="S510" s="8" t="s">
        <v>958</v>
      </c>
      <c r="T510" s="1">
        <v>0</v>
      </c>
      <c r="U510" s="1">
        <v>9.4499999999999993</v>
      </c>
      <c r="V510" s="8">
        <v>500</v>
      </c>
      <c r="W510" s="8">
        <f t="shared" si="14"/>
        <v>0</v>
      </c>
      <c r="X510" s="49">
        <v>1.04</v>
      </c>
      <c r="Y510" s="51">
        <v>52000</v>
      </c>
      <c r="Z510" s="51">
        <v>52000</v>
      </c>
      <c r="AC510" s="8" t="str">
        <f>IF(COUNTIFS(作業區!$W$2:$W$2000, T510, 作業區!$X$2:$X$2000, U510)&gt;0, "已存在", "未擴充")</f>
        <v>已存在</v>
      </c>
    </row>
    <row r="511" spans="1:29">
      <c r="A511" s="8">
        <f t="shared" si="15"/>
        <v>510</v>
      </c>
      <c r="B511" s="34" t="s">
        <v>2829</v>
      </c>
      <c r="C511" s="8" t="s">
        <v>2888</v>
      </c>
      <c r="D511" s="8" t="s">
        <v>2889</v>
      </c>
      <c r="E511" s="1" t="s">
        <v>740</v>
      </c>
      <c r="F511" s="1" t="s">
        <v>2890</v>
      </c>
      <c r="G511" s="1" t="s">
        <v>2891</v>
      </c>
      <c r="I511" s="8">
        <v>279099</v>
      </c>
      <c r="J511" s="8">
        <v>2723585</v>
      </c>
      <c r="M511" s="1">
        <v>110</v>
      </c>
      <c r="N511" s="1" t="s">
        <v>2354</v>
      </c>
      <c r="O511" s="46">
        <v>44452.416666666664</v>
      </c>
      <c r="P511" s="8" t="s">
        <v>2892</v>
      </c>
      <c r="R511" s="8" t="s">
        <v>2893</v>
      </c>
      <c r="S511" s="8" t="s">
        <v>2894</v>
      </c>
      <c r="T511" s="1">
        <v>0</v>
      </c>
      <c r="U511" s="1">
        <v>77</v>
      </c>
      <c r="V511" s="8">
        <v>350</v>
      </c>
      <c r="W511" s="8">
        <f t="shared" si="14"/>
        <v>1</v>
      </c>
      <c r="X511" s="49">
        <v>4.2</v>
      </c>
      <c r="Y511" s="51">
        <v>96000</v>
      </c>
      <c r="Z511" s="51">
        <v>66000</v>
      </c>
      <c r="AC511" s="8" t="str">
        <f>IF(COUNTIFS(作業區!$W$2:$W$2000, T511, 作業區!$X$2:$X$2000, U511)&gt;0, "已存在", "未擴充")</f>
        <v>已存在</v>
      </c>
    </row>
    <row r="512" spans="1:29" ht="33">
      <c r="A512" s="8">
        <f t="shared" si="15"/>
        <v>511</v>
      </c>
      <c r="B512" s="34" t="s">
        <v>2829</v>
      </c>
      <c r="C512" s="49" t="s">
        <v>2895</v>
      </c>
      <c r="D512" s="48" t="s">
        <v>2896</v>
      </c>
      <c r="E512" s="1" t="s">
        <v>1033</v>
      </c>
      <c r="F512" s="1" t="s">
        <v>1034</v>
      </c>
      <c r="G512" s="1" t="s">
        <v>2897</v>
      </c>
      <c r="I512" s="8">
        <v>290824</v>
      </c>
      <c r="J512" s="8">
        <v>2730041</v>
      </c>
      <c r="M512" s="1">
        <v>110</v>
      </c>
      <c r="N512" s="1" t="s">
        <v>2898</v>
      </c>
      <c r="O512" s="46">
        <v>44363.541666666664</v>
      </c>
      <c r="P512" s="8" t="s">
        <v>2899</v>
      </c>
      <c r="R512" s="8" t="s">
        <v>2900</v>
      </c>
      <c r="S512" s="8" t="s">
        <v>2901</v>
      </c>
      <c r="T512" s="1">
        <v>0</v>
      </c>
      <c r="U512" s="1">
        <v>25</v>
      </c>
      <c r="V512" s="8">
        <v>300</v>
      </c>
      <c r="W512" s="8">
        <f t="shared" si="14"/>
        <v>0</v>
      </c>
      <c r="X512" s="8">
        <v>0.4</v>
      </c>
      <c r="Y512" s="8">
        <v>40000</v>
      </c>
      <c r="Z512" s="8">
        <v>40000</v>
      </c>
      <c r="AC512" s="8" t="str">
        <f>IF(COUNTIFS(作業區!$W$2:$W$2000, T512, 作業區!$X$2:$X$2000, U512)&gt;0, "已存在", "未擴充")</f>
        <v>已存在</v>
      </c>
    </row>
    <row r="513" spans="1:29" ht="33">
      <c r="A513" s="8">
        <f t="shared" si="15"/>
        <v>512</v>
      </c>
      <c r="B513" s="34" t="s">
        <v>2829</v>
      </c>
      <c r="C513" s="49" t="s">
        <v>2902</v>
      </c>
      <c r="D513" s="8" t="s">
        <v>2903</v>
      </c>
      <c r="E513" s="1" t="s">
        <v>1061</v>
      </c>
      <c r="F513" s="1" t="s">
        <v>1605</v>
      </c>
      <c r="G513" s="1" t="s">
        <v>2314</v>
      </c>
      <c r="I513" s="8">
        <v>213398</v>
      </c>
      <c r="J513" s="8">
        <v>2574888</v>
      </c>
      <c r="M513" s="1">
        <v>110</v>
      </c>
      <c r="N513" s="1" t="s">
        <v>2898</v>
      </c>
      <c r="O513" s="46">
        <v>44371.458333333336</v>
      </c>
      <c r="P513" s="8" t="s">
        <v>2899</v>
      </c>
      <c r="R513" s="8" t="s">
        <v>2904</v>
      </c>
      <c r="S513" s="8" t="s">
        <v>1307</v>
      </c>
      <c r="T513" s="1">
        <v>38</v>
      </c>
      <c r="U513" s="1">
        <v>148</v>
      </c>
      <c r="V513" s="8">
        <v>450</v>
      </c>
      <c r="W513" s="8">
        <f t="shared" si="14"/>
        <v>0</v>
      </c>
      <c r="X513" s="8">
        <v>0.2</v>
      </c>
      <c r="Y513" s="8">
        <v>6000</v>
      </c>
      <c r="Z513" s="8">
        <v>6000</v>
      </c>
      <c r="AC513" s="8" t="str">
        <f>IF(COUNTIFS(作業區!$W$2:$W$2000, T513, 作業區!$X$2:$X$2000, U513)&gt;0, "已存在", "未擴充")</f>
        <v>已存在</v>
      </c>
    </row>
    <row r="514" spans="1:29">
      <c r="A514" s="8">
        <f t="shared" si="15"/>
        <v>513</v>
      </c>
      <c r="B514" s="34" t="s">
        <v>2829</v>
      </c>
      <c r="C514" s="8" t="s">
        <v>2905</v>
      </c>
      <c r="D514" s="8" t="s">
        <v>2906</v>
      </c>
      <c r="E514" s="1" t="s">
        <v>1061</v>
      </c>
      <c r="F514" s="1" t="s">
        <v>1062</v>
      </c>
      <c r="G514" s="1" t="s">
        <v>1063</v>
      </c>
      <c r="I514" s="8">
        <v>214441</v>
      </c>
      <c r="J514" s="8">
        <v>2596903</v>
      </c>
      <c r="M514" s="1">
        <v>110</v>
      </c>
      <c r="N514" s="1" t="s">
        <v>2907</v>
      </c>
      <c r="O514" s="46">
        <v>44409.25</v>
      </c>
      <c r="P514" s="8" t="s">
        <v>2908</v>
      </c>
      <c r="R514" s="8" t="s">
        <v>1065</v>
      </c>
      <c r="S514" s="8" t="s">
        <v>1066</v>
      </c>
      <c r="T514" s="1">
        <v>6</v>
      </c>
      <c r="U514" s="1">
        <v>267</v>
      </c>
      <c r="V514" s="8">
        <v>400</v>
      </c>
      <c r="W514" s="8">
        <f t="shared" ref="W514:W537" si="16">IF(IF(ISERROR(SEARCH("-",P514))=TRUE,0,1)=1,IF(H514&lt;&gt;"",0,1),0)</f>
        <v>0</v>
      </c>
      <c r="X514" s="8">
        <v>0.36</v>
      </c>
      <c r="Y514" s="8">
        <v>8400</v>
      </c>
      <c r="Z514" s="8">
        <v>8400</v>
      </c>
      <c r="AC514" s="8" t="str">
        <f>IF(COUNTIFS(作業區!$W$2:$W$2000, T514, 作業區!$X$2:$X$2000, U514)&gt;0, "已存在", "未擴充")</f>
        <v>已存在</v>
      </c>
    </row>
    <row r="515" spans="1:29">
      <c r="A515" s="8">
        <f t="shared" si="15"/>
        <v>514</v>
      </c>
      <c r="B515" s="1" t="s">
        <v>1856</v>
      </c>
      <c r="C515" s="8" t="s">
        <v>2909</v>
      </c>
      <c r="D515" s="8" t="s">
        <v>2910</v>
      </c>
      <c r="E515" s="8" t="s">
        <v>1897</v>
      </c>
      <c r="F515" s="1" t="s">
        <v>1908</v>
      </c>
      <c r="G515" s="1" t="s">
        <v>806</v>
      </c>
      <c r="H515" s="1" t="s">
        <v>2911</v>
      </c>
      <c r="I515" s="8">
        <v>214241</v>
      </c>
      <c r="J515" s="8">
        <v>2541341</v>
      </c>
      <c r="M515" s="1">
        <v>110</v>
      </c>
      <c r="N515" s="1" t="s">
        <v>2907</v>
      </c>
      <c r="O515" s="46">
        <v>44410.375</v>
      </c>
      <c r="P515" s="8" t="s">
        <v>2912</v>
      </c>
      <c r="R515" s="8" t="s">
        <v>1065</v>
      </c>
      <c r="S515" s="8" t="s">
        <v>2913</v>
      </c>
      <c r="T515" s="1">
        <v>2</v>
      </c>
      <c r="U515" s="1">
        <v>484.8</v>
      </c>
      <c r="V515" s="8">
        <v>350</v>
      </c>
      <c r="W515" s="8">
        <f t="shared" si="16"/>
        <v>0</v>
      </c>
      <c r="X515" s="8">
        <v>0.21</v>
      </c>
      <c r="Y515" s="8">
        <v>3000</v>
      </c>
      <c r="Z515" s="8">
        <v>3000</v>
      </c>
      <c r="AC515" s="8" t="str">
        <f>IF(COUNTIFS(作業區!$W$2:$W$2000, T515, 作業區!$X$2:$X$2000, U515)&gt;0, "已存在", "未擴充")</f>
        <v>已存在</v>
      </c>
    </row>
    <row r="516" spans="1:29">
      <c r="A516" s="8">
        <f t="shared" si="15"/>
        <v>515</v>
      </c>
      <c r="B516" s="34" t="s">
        <v>2829</v>
      </c>
      <c r="C516" s="8" t="s">
        <v>2914</v>
      </c>
      <c r="D516" s="8" t="s">
        <v>2915</v>
      </c>
      <c r="E516" s="1" t="s">
        <v>2816</v>
      </c>
      <c r="F516" s="1" t="s">
        <v>1106</v>
      </c>
      <c r="G516" s="1" t="s">
        <v>2916</v>
      </c>
      <c r="I516" s="8">
        <v>186634</v>
      </c>
      <c r="J516" s="8">
        <v>2541620</v>
      </c>
      <c r="M516" s="1">
        <v>110</v>
      </c>
      <c r="N516" s="1" t="s">
        <v>2917</v>
      </c>
      <c r="O516" s="46">
        <v>44413.375</v>
      </c>
      <c r="P516" s="8" t="s">
        <v>2918</v>
      </c>
      <c r="R516" s="8" t="s">
        <v>2919</v>
      </c>
      <c r="S516" s="8" t="s">
        <v>1110</v>
      </c>
      <c r="T516" s="1">
        <v>12</v>
      </c>
      <c r="U516" s="1">
        <v>225</v>
      </c>
      <c r="V516" s="8">
        <v>550</v>
      </c>
      <c r="W516" s="8">
        <f t="shared" si="16"/>
        <v>0</v>
      </c>
      <c r="X516" s="8">
        <v>0.15</v>
      </c>
      <c r="Y516" s="8">
        <v>1500</v>
      </c>
      <c r="Z516" s="8">
        <v>1500</v>
      </c>
      <c r="AC516" s="8" t="str">
        <f>IF(COUNTIFS(作業區!$W$2:$W$2000, T516, 作業區!$X$2:$X$2000, U516)&gt;0, "已存在", "未擴充")</f>
        <v>已存在</v>
      </c>
    </row>
    <row r="517" spans="1:29">
      <c r="A517" s="8">
        <f t="shared" si="15"/>
        <v>516</v>
      </c>
      <c r="B517" s="34" t="s">
        <v>2829</v>
      </c>
      <c r="C517" s="8" t="s">
        <v>2920</v>
      </c>
      <c r="D517" s="8" t="s">
        <v>2921</v>
      </c>
      <c r="E517" s="1" t="s">
        <v>1061</v>
      </c>
      <c r="F517" s="1" t="s">
        <v>2375</v>
      </c>
      <c r="G517" s="1" t="s">
        <v>1848</v>
      </c>
      <c r="I517" s="8">
        <v>228519</v>
      </c>
      <c r="J517" s="8">
        <v>2600464</v>
      </c>
      <c r="M517" s="1">
        <v>110</v>
      </c>
      <c r="N517" s="1" t="s">
        <v>2917</v>
      </c>
      <c r="O517" s="46">
        <v>44415.125</v>
      </c>
      <c r="P517" s="8" t="s">
        <v>2922</v>
      </c>
      <c r="R517" s="8">
        <v>467530</v>
      </c>
      <c r="S517" s="8" t="s">
        <v>2923</v>
      </c>
      <c r="T517" s="1">
        <v>38</v>
      </c>
      <c r="U517" s="1">
        <v>348</v>
      </c>
      <c r="V517" s="8">
        <v>300</v>
      </c>
      <c r="W517" s="8">
        <f t="shared" si="16"/>
        <v>0</v>
      </c>
      <c r="X517" s="8">
        <v>0.7</v>
      </c>
      <c r="Y517" s="8">
        <v>7000</v>
      </c>
      <c r="Z517" s="8">
        <v>7000</v>
      </c>
      <c r="AC517" s="8" t="str">
        <f>IF(COUNTIFS(作業區!$W$2:$W$2000, T517, 作業區!$X$2:$X$2000, U517)&gt;0, "已存在", "未擴充")</f>
        <v>已存在</v>
      </c>
    </row>
    <row r="518" spans="1:29">
      <c r="A518" s="8">
        <f t="shared" si="15"/>
        <v>517</v>
      </c>
      <c r="B518" s="34" t="s">
        <v>2829</v>
      </c>
      <c r="C518" s="8" t="s">
        <v>2924</v>
      </c>
      <c r="D518" s="8" t="s">
        <v>2925</v>
      </c>
      <c r="E518" s="1" t="s">
        <v>1897</v>
      </c>
      <c r="F518" s="1" t="s">
        <v>1908</v>
      </c>
      <c r="G518" s="1" t="s">
        <v>1909</v>
      </c>
      <c r="H518" s="1" t="s">
        <v>2926</v>
      </c>
      <c r="I518" s="8">
        <v>215894</v>
      </c>
      <c r="J518" s="8">
        <v>2545860</v>
      </c>
      <c r="M518" s="1">
        <v>110</v>
      </c>
      <c r="N518" s="1" t="s">
        <v>2917</v>
      </c>
      <c r="O518" s="46">
        <v>44415.125</v>
      </c>
      <c r="P518" s="8" t="s">
        <v>2925</v>
      </c>
      <c r="R518" s="8" t="s">
        <v>241</v>
      </c>
      <c r="S518" s="8" t="s">
        <v>2913</v>
      </c>
      <c r="T518" s="1">
        <v>49</v>
      </c>
      <c r="U518" s="1">
        <v>543</v>
      </c>
      <c r="V518" s="8">
        <v>350</v>
      </c>
      <c r="W518" s="8">
        <f t="shared" si="16"/>
        <v>0</v>
      </c>
      <c r="X518" s="8">
        <v>0.03</v>
      </c>
      <c r="Y518" s="8">
        <v>450</v>
      </c>
      <c r="Z518" s="8">
        <v>450</v>
      </c>
      <c r="AC518" s="8" t="str">
        <f>IF(COUNTIFS(作業區!$W$2:$W$2000, T518, 作業區!$X$2:$X$2000, U518)&gt;0, "已存在", "未擴充")</f>
        <v>已存在</v>
      </c>
    </row>
    <row r="519" spans="1:29">
      <c r="A519" s="8">
        <f t="shared" si="15"/>
        <v>518</v>
      </c>
      <c r="B519" s="34" t="s">
        <v>2829</v>
      </c>
      <c r="C519" s="8" t="s">
        <v>2927</v>
      </c>
      <c r="D519" s="48" t="s">
        <v>2928</v>
      </c>
      <c r="E519" s="1" t="s">
        <v>769</v>
      </c>
      <c r="F519" s="1" t="s">
        <v>908</v>
      </c>
      <c r="G519" s="1" t="s">
        <v>2929</v>
      </c>
      <c r="I519" s="8">
        <v>235269</v>
      </c>
      <c r="J519" s="8">
        <v>2653753</v>
      </c>
      <c r="M519" s="1">
        <v>110</v>
      </c>
      <c r="N519" s="1" t="s">
        <v>2917</v>
      </c>
      <c r="O519" s="46">
        <v>44415.166666666664</v>
      </c>
      <c r="P519" s="8" t="s">
        <v>2930</v>
      </c>
      <c r="R519" s="8" t="s">
        <v>459</v>
      </c>
      <c r="S519" s="8" t="s">
        <v>2931</v>
      </c>
      <c r="T519" s="1">
        <v>21</v>
      </c>
      <c r="U519" s="1">
        <v>126</v>
      </c>
      <c r="V519" s="8">
        <v>350</v>
      </c>
      <c r="W519" s="8">
        <f t="shared" si="16"/>
        <v>0</v>
      </c>
      <c r="X519" s="8">
        <v>0.1</v>
      </c>
      <c r="Y519" s="8">
        <v>1000</v>
      </c>
      <c r="Z519" s="8">
        <v>1000</v>
      </c>
      <c r="AC519" s="8" t="str">
        <f>IF(COUNTIFS(作業區!$W$2:$W$2000, T519, 作業區!$X$2:$X$2000, U519)&gt;0, "已存在", "未擴充")</f>
        <v>已存在</v>
      </c>
    </row>
    <row r="520" spans="1:29">
      <c r="A520" s="8">
        <f t="shared" si="15"/>
        <v>519</v>
      </c>
      <c r="B520" s="34" t="s">
        <v>2829</v>
      </c>
      <c r="C520" s="8" t="s">
        <v>2932</v>
      </c>
      <c r="D520" s="8" t="s">
        <v>2933</v>
      </c>
      <c r="E520" s="1" t="s">
        <v>1897</v>
      </c>
      <c r="F520" s="1" t="s">
        <v>1915</v>
      </c>
      <c r="G520" s="1" t="s">
        <v>2934</v>
      </c>
      <c r="I520" s="8">
        <v>230617</v>
      </c>
      <c r="J520" s="8">
        <v>2569868</v>
      </c>
      <c r="M520" s="1">
        <v>110</v>
      </c>
      <c r="N520" s="1" t="s">
        <v>2917</v>
      </c>
      <c r="O520" s="46">
        <v>44415.208333333336</v>
      </c>
      <c r="P520" s="8" t="s">
        <v>2935</v>
      </c>
      <c r="R520" s="8" t="s">
        <v>2936</v>
      </c>
      <c r="S520" s="8" t="s">
        <v>2937</v>
      </c>
      <c r="T520" s="1">
        <v>56</v>
      </c>
      <c r="U520" s="1">
        <v>369.6</v>
      </c>
      <c r="V520" s="8">
        <v>300</v>
      </c>
      <c r="W520" s="8">
        <f t="shared" si="16"/>
        <v>0</v>
      </c>
      <c r="X520" s="8">
        <v>0.25</v>
      </c>
      <c r="Y520" s="8">
        <v>2500</v>
      </c>
      <c r="Z520" s="25">
        <v>2500</v>
      </c>
      <c r="AC520" s="8" t="str">
        <f>IF(COUNTIFS(作業區!$W$2:$W$2000, T520, 作業區!$X$2:$X$2000, U520)&gt;0, "已存在", "未擴充")</f>
        <v>已存在</v>
      </c>
    </row>
    <row r="521" spans="1:29">
      <c r="A521" s="8">
        <f t="shared" ref="A521:A584" si="17">ROW(A521)-1</f>
        <v>520</v>
      </c>
      <c r="B521" s="34" t="s">
        <v>2829</v>
      </c>
      <c r="C521" s="8" t="s">
        <v>2938</v>
      </c>
      <c r="D521" s="8" t="s">
        <v>2939</v>
      </c>
      <c r="E521" s="1" t="s">
        <v>2816</v>
      </c>
      <c r="F521" s="1" t="s">
        <v>1106</v>
      </c>
      <c r="G521" s="1" t="s">
        <v>2940</v>
      </c>
      <c r="I521" s="8">
        <v>190146</v>
      </c>
      <c r="J521" s="8">
        <v>2538997</v>
      </c>
      <c r="M521" s="1">
        <v>110</v>
      </c>
      <c r="N521" s="1" t="s">
        <v>2917</v>
      </c>
      <c r="O521" s="46">
        <v>44415.208333333336</v>
      </c>
      <c r="P521" s="8" t="s">
        <v>2941</v>
      </c>
      <c r="R521" s="8" t="s">
        <v>2919</v>
      </c>
      <c r="S521" s="8" t="s">
        <v>1110</v>
      </c>
      <c r="T521" s="1">
        <v>8</v>
      </c>
      <c r="U521" s="1">
        <v>266</v>
      </c>
      <c r="V521" s="8">
        <v>550</v>
      </c>
      <c r="W521" s="8">
        <f t="shared" si="16"/>
        <v>0</v>
      </c>
      <c r="X521" s="8">
        <v>3.2000000000000001E-2</v>
      </c>
      <c r="Y521" s="8">
        <v>320</v>
      </c>
      <c r="Z521" s="8">
        <v>320</v>
      </c>
      <c r="AC521" s="8" t="str">
        <f>IF(COUNTIFS(作業區!$W$2:$W$2000, T521, 作業區!$X$2:$X$2000, U521)&gt;0, "已存在", "未擴充")</f>
        <v>已存在</v>
      </c>
    </row>
    <row r="522" spans="1:29">
      <c r="A522" s="8">
        <f t="shared" si="17"/>
        <v>521</v>
      </c>
      <c r="B522" s="34" t="s">
        <v>2829</v>
      </c>
      <c r="C522" s="8" t="s">
        <v>2942</v>
      </c>
      <c r="D522" s="8" t="s">
        <v>2943</v>
      </c>
      <c r="E522" s="1" t="s">
        <v>769</v>
      </c>
      <c r="F522" s="1" t="s">
        <v>1055</v>
      </c>
      <c r="G522" s="1" t="s">
        <v>2944</v>
      </c>
      <c r="I522" s="8">
        <v>229533</v>
      </c>
      <c r="J522" s="8">
        <v>2643177</v>
      </c>
      <c r="M522" s="1">
        <v>110</v>
      </c>
      <c r="N522" s="1" t="s">
        <v>2917</v>
      </c>
      <c r="O522" s="46">
        <v>44415.208333333336</v>
      </c>
      <c r="P522" s="8" t="s">
        <v>2945</v>
      </c>
      <c r="R522" s="8" t="s">
        <v>423</v>
      </c>
      <c r="S522" s="8" t="s">
        <v>1343</v>
      </c>
      <c r="T522" s="1">
        <v>14</v>
      </c>
      <c r="U522" s="1">
        <v>173.6</v>
      </c>
      <c r="V522" s="8">
        <v>450</v>
      </c>
      <c r="W522" s="8">
        <f t="shared" si="16"/>
        <v>0</v>
      </c>
      <c r="X522" s="8">
        <v>0.27</v>
      </c>
      <c r="Y522" s="8">
        <v>1350</v>
      </c>
      <c r="Z522" s="8">
        <v>1350</v>
      </c>
      <c r="AC522" s="8" t="str">
        <f>IF(COUNTIFS(作業區!$W$2:$W$2000, T522, 作業區!$X$2:$X$2000, U522)&gt;0, "已存在", "未擴充")</f>
        <v>已存在</v>
      </c>
    </row>
    <row r="523" spans="1:29">
      <c r="A523" s="8">
        <f t="shared" si="17"/>
        <v>522</v>
      </c>
      <c r="B523" s="34" t="s">
        <v>2829</v>
      </c>
      <c r="C523" s="8" t="s">
        <v>2946</v>
      </c>
      <c r="D523" s="8" t="s">
        <v>2947</v>
      </c>
      <c r="E523" s="1" t="s">
        <v>846</v>
      </c>
      <c r="F523" s="1" t="s">
        <v>1383</v>
      </c>
      <c r="G523" s="1" t="s">
        <v>2948</v>
      </c>
      <c r="I523" s="8">
        <v>234571</v>
      </c>
      <c r="J523" s="8">
        <v>2697140</v>
      </c>
      <c r="M523" s="1">
        <v>110</v>
      </c>
      <c r="N523" s="1" t="s">
        <v>2917</v>
      </c>
      <c r="O523" s="46">
        <v>44415.333333333336</v>
      </c>
      <c r="P523" s="8" t="s">
        <v>2949</v>
      </c>
      <c r="R523" s="8" t="s">
        <v>2351</v>
      </c>
      <c r="S523" s="8" t="s">
        <v>2950</v>
      </c>
      <c r="T523" s="1">
        <v>31</v>
      </c>
      <c r="U523" s="1">
        <v>70</v>
      </c>
      <c r="V523" s="8">
        <v>500</v>
      </c>
      <c r="W523" s="8">
        <f t="shared" si="16"/>
        <v>0</v>
      </c>
      <c r="X523" s="8">
        <v>0.3</v>
      </c>
      <c r="Y523" s="8">
        <v>3000</v>
      </c>
      <c r="Z523" s="8">
        <v>3000</v>
      </c>
      <c r="AC523" s="8" t="str">
        <f>IF(COUNTIFS(作業區!$W$2:$W$2000, T523, 作業區!$X$2:$X$2000, U523)&gt;0, "已存在", "未擴充")</f>
        <v>已存在</v>
      </c>
    </row>
    <row r="524" spans="1:29" ht="33">
      <c r="A524" s="8">
        <f t="shared" si="17"/>
        <v>523</v>
      </c>
      <c r="B524" s="34" t="s">
        <v>2829</v>
      </c>
      <c r="C524" s="49" t="s">
        <v>2951</v>
      </c>
      <c r="D524" s="8" t="s">
        <v>2952</v>
      </c>
      <c r="E524" s="1" t="s">
        <v>1461</v>
      </c>
      <c r="F524" s="1" t="s">
        <v>2953</v>
      </c>
      <c r="G524" s="1" t="s">
        <v>2954</v>
      </c>
      <c r="I524" s="8">
        <v>206924</v>
      </c>
      <c r="J524" s="8">
        <v>2662935</v>
      </c>
      <c r="M524" s="1">
        <v>110</v>
      </c>
      <c r="N524" s="1" t="s">
        <v>2917</v>
      </c>
      <c r="O524" s="46">
        <v>44415.416666666664</v>
      </c>
      <c r="P524" s="8" t="s">
        <v>2955</v>
      </c>
      <c r="R524" s="8" t="s">
        <v>2956</v>
      </c>
      <c r="S524" s="8" t="s">
        <v>2957</v>
      </c>
      <c r="T524" s="1">
        <v>12</v>
      </c>
      <c r="U524" s="1">
        <v>268</v>
      </c>
      <c r="V524" s="8">
        <v>550</v>
      </c>
      <c r="W524" s="8">
        <f t="shared" si="16"/>
        <v>0</v>
      </c>
      <c r="X524" s="8">
        <v>0.24</v>
      </c>
      <c r="Y524" s="8">
        <v>3600</v>
      </c>
      <c r="Z524" s="8">
        <v>3600</v>
      </c>
      <c r="AC524" s="8" t="str">
        <f>IF(COUNTIFS(作業區!$W$2:$W$2000, T524, 作業區!$X$2:$X$2000, U524)&gt;0, "已存在", "未擴充")</f>
        <v>已存在</v>
      </c>
    </row>
    <row r="525" spans="1:29" ht="33" hidden="1">
      <c r="A525" s="8">
        <f t="shared" si="17"/>
        <v>524</v>
      </c>
      <c r="B525" s="1" t="s">
        <v>920</v>
      </c>
      <c r="C525" s="49" t="s">
        <v>2958</v>
      </c>
      <c r="D525" s="8" t="s">
        <v>2959</v>
      </c>
      <c r="E525" s="1" t="s">
        <v>1897</v>
      </c>
      <c r="F525" s="1" t="s">
        <v>1908</v>
      </c>
      <c r="G525" s="1" t="s">
        <v>808</v>
      </c>
      <c r="H525" s="1" t="s">
        <v>2960</v>
      </c>
      <c r="I525" s="8">
        <v>218042</v>
      </c>
      <c r="J525" s="8">
        <v>2552030</v>
      </c>
      <c r="M525" s="1">
        <v>110</v>
      </c>
      <c r="N525" s="1" t="s">
        <v>2917</v>
      </c>
      <c r="O525" s="46">
        <v>44415.5</v>
      </c>
      <c r="P525" s="8" t="s">
        <v>2961</v>
      </c>
      <c r="R525" s="8" t="s">
        <v>553</v>
      </c>
      <c r="S525" s="8" t="s">
        <v>1053</v>
      </c>
      <c r="T525" s="1">
        <v>9</v>
      </c>
      <c r="U525" s="1">
        <v>889</v>
      </c>
      <c r="V525" s="8">
        <v>350</v>
      </c>
      <c r="W525" s="8">
        <f t="shared" si="16"/>
        <v>0</v>
      </c>
      <c r="X525" s="8">
        <v>0.27</v>
      </c>
      <c r="Y525" s="8">
        <v>2700</v>
      </c>
      <c r="Z525" s="8">
        <v>2700</v>
      </c>
      <c r="AC525" s="8" t="str">
        <f>IF(COUNTIFS(作業區!$W$2:$W$2000, T525, 作業區!$X$2:$X$2000, U525)&gt;0, "已存在", "未擴充")</f>
        <v>已存在</v>
      </c>
    </row>
    <row r="526" spans="1:29" ht="33" hidden="1">
      <c r="A526" s="8">
        <f t="shared" si="17"/>
        <v>525</v>
      </c>
      <c r="B526" s="1" t="s">
        <v>920</v>
      </c>
      <c r="C526" s="49" t="s">
        <v>2962</v>
      </c>
      <c r="D526" s="8" t="s">
        <v>2963</v>
      </c>
      <c r="E526" s="1" t="s">
        <v>1897</v>
      </c>
      <c r="F526" s="1" t="s">
        <v>1908</v>
      </c>
      <c r="G526" s="1" t="s">
        <v>808</v>
      </c>
      <c r="H526" s="1" t="s">
        <v>2964</v>
      </c>
      <c r="I526" s="8">
        <v>217832</v>
      </c>
      <c r="J526" s="8">
        <v>2551883</v>
      </c>
      <c r="M526" s="1">
        <v>110</v>
      </c>
      <c r="N526" s="1" t="s">
        <v>2917</v>
      </c>
      <c r="O526" s="46">
        <v>44415.541666666664</v>
      </c>
      <c r="P526" s="8" t="s">
        <v>2965</v>
      </c>
      <c r="R526" s="8" t="s">
        <v>553</v>
      </c>
      <c r="S526" s="8" t="s">
        <v>1053</v>
      </c>
      <c r="T526" s="1">
        <v>9</v>
      </c>
      <c r="U526" s="1">
        <v>889</v>
      </c>
      <c r="V526" s="8">
        <v>350</v>
      </c>
      <c r="W526" s="8">
        <f t="shared" si="16"/>
        <v>0</v>
      </c>
      <c r="X526" s="8">
        <v>0.18</v>
      </c>
      <c r="Y526" s="8">
        <v>1440</v>
      </c>
      <c r="Z526" s="8">
        <v>1440</v>
      </c>
      <c r="AC526" s="8" t="str">
        <f>IF(COUNTIFS(作業區!$W$2:$W$2000, T526, 作業區!$X$2:$X$2000, U526)&gt;0, "已存在", "未擴充")</f>
        <v>已存在</v>
      </c>
    </row>
    <row r="527" spans="1:29" ht="33">
      <c r="A527" s="8">
        <f t="shared" si="17"/>
        <v>526</v>
      </c>
      <c r="B527" s="34" t="s">
        <v>2829</v>
      </c>
      <c r="C527" s="49" t="s">
        <v>2966</v>
      </c>
      <c r="D527" s="8" t="s">
        <v>2967</v>
      </c>
      <c r="E527" s="8" t="s">
        <v>740</v>
      </c>
      <c r="F527" s="1" t="s">
        <v>2968</v>
      </c>
      <c r="G527" s="1" t="s">
        <v>2969</v>
      </c>
      <c r="I527" s="8">
        <v>272933</v>
      </c>
      <c r="J527" s="8">
        <v>2743159</v>
      </c>
      <c r="M527" s="1">
        <v>110</v>
      </c>
      <c r="N527" s="1" t="s">
        <v>2917</v>
      </c>
      <c r="O527" s="46">
        <v>44415.583333333336</v>
      </c>
      <c r="P527" s="8" t="s">
        <v>2970</v>
      </c>
      <c r="R527" s="8" t="s">
        <v>2971</v>
      </c>
      <c r="S527" s="8" t="s">
        <v>2972</v>
      </c>
      <c r="T527" s="1">
        <v>7</v>
      </c>
      <c r="U527" s="1">
        <v>101.9</v>
      </c>
      <c r="V527" s="8">
        <v>500</v>
      </c>
      <c r="W527" s="8">
        <f t="shared" si="16"/>
        <v>0</v>
      </c>
      <c r="X527" s="8">
        <v>7.0000000000000007E-2</v>
      </c>
      <c r="Y527" s="8">
        <v>560</v>
      </c>
      <c r="Z527" s="8">
        <v>560</v>
      </c>
      <c r="AC527" s="8" t="str">
        <f>IF(COUNTIFS(作業區!$W$2:$W$2000, T527, 作業區!$X$2:$X$2000, U527)&gt;0, "已存在", "未擴充")</f>
        <v>已存在</v>
      </c>
    </row>
    <row r="528" spans="1:29" ht="33">
      <c r="A528" s="8">
        <f t="shared" si="17"/>
        <v>527</v>
      </c>
      <c r="B528" s="34" t="s">
        <v>2973</v>
      </c>
      <c r="C528" s="49" t="s">
        <v>2974</v>
      </c>
      <c r="D528" s="8" t="s">
        <v>2975</v>
      </c>
      <c r="E528" s="1" t="s">
        <v>1897</v>
      </c>
      <c r="F528" s="1" t="s">
        <v>1915</v>
      </c>
      <c r="G528" s="1" t="s">
        <v>2976</v>
      </c>
      <c r="I528" s="8">
        <v>228344</v>
      </c>
      <c r="J528" s="8">
        <v>2565172</v>
      </c>
      <c r="M528" s="1">
        <v>110</v>
      </c>
      <c r="N528" s="1" t="s">
        <v>2917</v>
      </c>
      <c r="O528" s="46">
        <v>44415.645833333336</v>
      </c>
      <c r="P528" s="8" t="s">
        <v>2977</v>
      </c>
      <c r="R528" s="8" t="s">
        <v>591</v>
      </c>
      <c r="S528" s="8" t="s">
        <v>2978</v>
      </c>
      <c r="T528" s="1">
        <v>7</v>
      </c>
      <c r="U528" s="1">
        <v>571.9</v>
      </c>
      <c r="V528" s="8">
        <v>300</v>
      </c>
      <c r="W528" s="8">
        <f t="shared" si="16"/>
        <v>0</v>
      </c>
      <c r="X528" s="8">
        <v>78</v>
      </c>
      <c r="Y528" s="8">
        <v>8510000</v>
      </c>
      <c r="Z528" s="25">
        <v>5290000</v>
      </c>
      <c r="AC528" s="8" t="str">
        <f>IF(COUNTIFS(作業區!$W$2:$W$2000, T528, 作業區!$X$2:$X$2000, U528)&gt;0, "已存在", "未擴充")</f>
        <v>已存在</v>
      </c>
    </row>
    <row r="529" spans="1:29" ht="33">
      <c r="A529" s="8">
        <f t="shared" si="17"/>
        <v>528</v>
      </c>
      <c r="B529" s="34" t="s">
        <v>2829</v>
      </c>
      <c r="C529" s="49" t="s">
        <v>2979</v>
      </c>
      <c r="D529" s="8" t="s">
        <v>2980</v>
      </c>
      <c r="E529" s="1" t="s">
        <v>769</v>
      </c>
      <c r="F529" s="1" t="s">
        <v>773</v>
      </c>
      <c r="G529" s="1" t="s">
        <v>2208</v>
      </c>
      <c r="I529" s="8">
        <v>255956</v>
      </c>
      <c r="J529" s="8">
        <v>2645402</v>
      </c>
      <c r="M529" s="1">
        <v>110</v>
      </c>
      <c r="N529" s="1" t="s">
        <v>2917</v>
      </c>
      <c r="O529" s="46">
        <v>44415.833333333336</v>
      </c>
      <c r="P529" s="8" t="s">
        <v>2981</v>
      </c>
      <c r="R529" s="8" t="s">
        <v>391</v>
      </c>
      <c r="S529" s="8" t="s">
        <v>2982</v>
      </c>
      <c r="T529" s="1">
        <v>3</v>
      </c>
      <c r="U529" s="1">
        <v>205.8</v>
      </c>
      <c r="V529" s="8">
        <v>300</v>
      </c>
      <c r="W529" s="8">
        <f t="shared" si="16"/>
        <v>0</v>
      </c>
      <c r="X529" s="8">
        <v>3.08</v>
      </c>
      <c r="Y529" s="8">
        <v>61600</v>
      </c>
      <c r="Z529" s="8">
        <v>61600</v>
      </c>
      <c r="AC529" s="8" t="str">
        <f>IF(COUNTIFS(作業區!$W$2:$W$2000, T529, 作業區!$X$2:$X$2000, U529)&gt;0, "已存在", "未擴充")</f>
        <v>已存在</v>
      </c>
    </row>
    <row r="530" spans="1:29">
      <c r="A530" s="8">
        <f t="shared" si="17"/>
        <v>529</v>
      </c>
      <c r="B530" s="34" t="s">
        <v>2973</v>
      </c>
      <c r="C530" s="49" t="s">
        <v>2983</v>
      </c>
      <c r="D530" s="8" t="s">
        <v>2984</v>
      </c>
      <c r="E530" s="1" t="s">
        <v>985</v>
      </c>
      <c r="F530" s="1" t="s">
        <v>2313</v>
      </c>
      <c r="G530" s="1" t="s">
        <v>2985</v>
      </c>
      <c r="I530" s="8">
        <v>300849</v>
      </c>
      <c r="J530" s="8">
        <v>2651136</v>
      </c>
      <c r="M530" s="1">
        <v>110</v>
      </c>
      <c r="N530" s="1" t="s">
        <v>2986</v>
      </c>
      <c r="O530" s="46">
        <v>44481.416666666664</v>
      </c>
      <c r="P530" s="8" t="s">
        <v>2987</v>
      </c>
      <c r="R530" s="8" t="s">
        <v>2988</v>
      </c>
      <c r="S530" s="8" t="s">
        <v>2989</v>
      </c>
      <c r="T530" s="1">
        <v>12.5</v>
      </c>
      <c r="U530" s="1">
        <v>203</v>
      </c>
      <c r="V530" s="8">
        <v>350</v>
      </c>
      <c r="W530" s="8">
        <f t="shared" si="16"/>
        <v>0</v>
      </c>
      <c r="X530" s="8">
        <v>0.24</v>
      </c>
      <c r="Y530" s="8">
        <v>4800</v>
      </c>
      <c r="Z530" s="8">
        <v>4800</v>
      </c>
      <c r="AC530" s="8" t="str">
        <f>IF(COUNTIFS(作業區!$W$2:$W$2000, T530, 作業區!$X$2:$X$2000, U530)&gt;0, "已存在", "未擴充")</f>
        <v>已存在</v>
      </c>
    </row>
    <row r="531" spans="1:29" hidden="1">
      <c r="A531" s="8">
        <f t="shared" si="17"/>
        <v>530</v>
      </c>
      <c r="B531" s="1" t="s">
        <v>920</v>
      </c>
      <c r="C531" s="49" t="s">
        <v>2990</v>
      </c>
      <c r="D531" s="8" t="s">
        <v>2991</v>
      </c>
      <c r="E531" s="1" t="s">
        <v>2391</v>
      </c>
      <c r="F531" s="1" t="s">
        <v>1503</v>
      </c>
      <c r="G531" s="1" t="s">
        <v>1504</v>
      </c>
      <c r="H531" s="1" t="s">
        <v>2992</v>
      </c>
      <c r="I531" s="8">
        <v>242873</v>
      </c>
      <c r="J531" s="8">
        <v>2480128</v>
      </c>
      <c r="M531" s="1">
        <v>110</v>
      </c>
      <c r="N531" s="1" t="s">
        <v>2986</v>
      </c>
      <c r="O531" s="46">
        <v>44481.5625</v>
      </c>
      <c r="P531" s="8" t="s">
        <v>2993</v>
      </c>
      <c r="R531" s="8" t="s">
        <v>625</v>
      </c>
      <c r="S531" s="8" t="s">
        <v>2994</v>
      </c>
      <c r="T531" s="1">
        <v>11</v>
      </c>
      <c r="U531" s="1">
        <v>283.5</v>
      </c>
      <c r="V531" s="8">
        <v>450</v>
      </c>
      <c r="W531" s="8">
        <f t="shared" si="16"/>
        <v>0</v>
      </c>
      <c r="X531" s="8" t="s">
        <v>81</v>
      </c>
      <c r="Y531" s="8" t="s">
        <v>81</v>
      </c>
      <c r="Z531" s="8">
        <v>5000</v>
      </c>
      <c r="AC531" s="8" t="str">
        <f>IF(COUNTIFS(作業區!$W$2:$W$2000, T531, 作業區!$X$2:$X$2000, U531)&gt;0, "已存在", "未擴充")</f>
        <v>已存在</v>
      </c>
    </row>
    <row r="532" spans="1:29">
      <c r="A532" s="8">
        <f t="shared" si="17"/>
        <v>531</v>
      </c>
      <c r="B532" s="34" t="s">
        <v>2829</v>
      </c>
      <c r="C532" s="49" t="s">
        <v>2995</v>
      </c>
      <c r="D532" s="8" t="s">
        <v>2996</v>
      </c>
      <c r="E532" s="1" t="s">
        <v>985</v>
      </c>
      <c r="F532" s="1" t="s">
        <v>2997</v>
      </c>
      <c r="G532" s="1" t="s">
        <v>2998</v>
      </c>
      <c r="I532" s="8">
        <v>288103</v>
      </c>
      <c r="J532" s="8">
        <v>2591594</v>
      </c>
      <c r="M532" s="1">
        <v>110</v>
      </c>
      <c r="N532" s="1" t="s">
        <v>2999</v>
      </c>
      <c r="O532" s="46">
        <v>44482.208333333336</v>
      </c>
      <c r="P532" s="8" t="s">
        <v>3000</v>
      </c>
      <c r="R532" s="8" t="s">
        <v>3001</v>
      </c>
      <c r="S532" s="8" t="s">
        <v>3002</v>
      </c>
      <c r="T532" s="1">
        <v>50</v>
      </c>
      <c r="U532" s="1">
        <v>340</v>
      </c>
      <c r="V532" s="8">
        <v>600</v>
      </c>
      <c r="W532" s="8">
        <f t="shared" si="16"/>
        <v>1</v>
      </c>
      <c r="X532" s="8">
        <v>0.02</v>
      </c>
      <c r="Y532" s="8">
        <v>200</v>
      </c>
      <c r="Z532" s="8">
        <v>200</v>
      </c>
      <c r="AC532" s="8" t="str">
        <f>IF(COUNTIFS(作業區!$W$2:$W$2000, T532, 作業區!$X$2:$X$2000, U532)&gt;0, "已存在", "未擴充")</f>
        <v>已存在</v>
      </c>
    </row>
    <row r="533" spans="1:29" hidden="1">
      <c r="A533" s="8">
        <f t="shared" si="17"/>
        <v>532</v>
      </c>
      <c r="B533" s="1" t="s">
        <v>920</v>
      </c>
      <c r="C533" s="49" t="s">
        <v>3003</v>
      </c>
      <c r="D533" s="8" t="s">
        <v>3004</v>
      </c>
      <c r="E533" s="1" t="s">
        <v>985</v>
      </c>
      <c r="F533" s="1" t="s">
        <v>2997</v>
      </c>
      <c r="G533" s="8" t="s">
        <v>3005</v>
      </c>
      <c r="H533" s="1" t="s">
        <v>3006</v>
      </c>
      <c r="I533" s="8">
        <v>283150</v>
      </c>
      <c r="J533" s="8">
        <v>2586868</v>
      </c>
      <c r="M533" s="1">
        <v>110</v>
      </c>
      <c r="N533" s="1" t="s">
        <v>2999</v>
      </c>
      <c r="O533" s="46">
        <v>44482.291666666664</v>
      </c>
      <c r="P533" s="8" t="s">
        <v>3007</v>
      </c>
      <c r="R533" s="8" t="s">
        <v>664</v>
      </c>
      <c r="S533" s="8" t="s">
        <v>3008</v>
      </c>
      <c r="T533" s="1">
        <v>76</v>
      </c>
      <c r="U533" s="1">
        <v>462.7</v>
      </c>
      <c r="V533" s="8">
        <v>600</v>
      </c>
      <c r="W533" s="8">
        <f t="shared" si="16"/>
        <v>0</v>
      </c>
      <c r="X533" s="8" t="s">
        <v>81</v>
      </c>
      <c r="Y533" s="8" t="s">
        <v>81</v>
      </c>
      <c r="Z533" s="8">
        <v>150</v>
      </c>
      <c r="AC533" s="8" t="str">
        <f>IF(COUNTIFS(作業區!$W$2:$W$2000, T533, 作業區!$X$2:$X$2000, U533)&gt;0, "已存在", "未擴充")</f>
        <v>已存在</v>
      </c>
    </row>
    <row r="534" spans="1:29" hidden="1">
      <c r="A534" s="8">
        <f t="shared" si="17"/>
        <v>533</v>
      </c>
      <c r="B534" s="1" t="s">
        <v>920</v>
      </c>
      <c r="C534" s="49" t="s">
        <v>3009</v>
      </c>
      <c r="D534" s="8" t="s">
        <v>3010</v>
      </c>
      <c r="E534" s="1" t="s">
        <v>985</v>
      </c>
      <c r="F534" s="1" t="s">
        <v>2997</v>
      </c>
      <c r="G534" s="8" t="s">
        <v>3005</v>
      </c>
      <c r="H534" s="1" t="s">
        <v>3011</v>
      </c>
      <c r="I534" s="8">
        <v>282944</v>
      </c>
      <c r="J534" s="8">
        <v>2587852</v>
      </c>
      <c r="M534" s="1">
        <v>110</v>
      </c>
      <c r="N534" s="1" t="s">
        <v>2999</v>
      </c>
      <c r="O534" s="46">
        <v>44482.291666666664</v>
      </c>
      <c r="P534" s="8" t="s">
        <v>3012</v>
      </c>
      <c r="R534" s="8" t="s">
        <v>664</v>
      </c>
      <c r="S534" s="8" t="s">
        <v>3008</v>
      </c>
      <c r="T534" s="1">
        <v>76</v>
      </c>
      <c r="U534" s="1">
        <v>462.7</v>
      </c>
      <c r="V534" s="8">
        <v>600</v>
      </c>
      <c r="W534" s="8">
        <f t="shared" si="16"/>
        <v>0</v>
      </c>
      <c r="X534" s="8" t="s">
        <v>81</v>
      </c>
      <c r="Y534" s="8" t="s">
        <v>81</v>
      </c>
      <c r="Z534" s="8">
        <v>300</v>
      </c>
      <c r="AC534" s="8" t="str">
        <f>IF(COUNTIFS(作業區!$W$2:$W$2000, T534, 作業區!$X$2:$X$2000, U534)&gt;0, "已存在", "未擴充")</f>
        <v>已存在</v>
      </c>
    </row>
    <row r="535" spans="1:29">
      <c r="A535" s="8">
        <f t="shared" si="17"/>
        <v>534</v>
      </c>
      <c r="B535" s="34" t="s">
        <v>2829</v>
      </c>
      <c r="C535" s="49" t="s">
        <v>3013</v>
      </c>
      <c r="D535" s="8" t="s">
        <v>3014</v>
      </c>
      <c r="E535" s="1" t="s">
        <v>985</v>
      </c>
      <c r="F535" s="1" t="s">
        <v>3015</v>
      </c>
      <c r="G535" s="1" t="s">
        <v>3016</v>
      </c>
      <c r="I535" s="8">
        <v>291812</v>
      </c>
      <c r="J535" s="8">
        <v>2599462</v>
      </c>
      <c r="M535" s="1">
        <v>110</v>
      </c>
      <c r="N535" s="1" t="s">
        <v>2999</v>
      </c>
      <c r="O535" s="46">
        <v>44482.791666666664</v>
      </c>
      <c r="P535" s="8" t="s">
        <v>3017</v>
      </c>
      <c r="R535" s="8" t="s">
        <v>3001</v>
      </c>
      <c r="S535" s="8" t="s">
        <v>3002</v>
      </c>
      <c r="T535" s="1">
        <v>15</v>
      </c>
      <c r="U535" s="1">
        <v>453</v>
      </c>
      <c r="V535" s="8">
        <v>550</v>
      </c>
      <c r="W535" s="8">
        <f t="shared" si="16"/>
        <v>0</v>
      </c>
      <c r="X535" s="8">
        <v>0.12</v>
      </c>
      <c r="Y535" s="8">
        <v>3600</v>
      </c>
      <c r="Z535" s="8">
        <v>3600</v>
      </c>
      <c r="AC535" s="8" t="str">
        <f>IF(COUNTIFS(作業區!$W$2:$W$2000, T535, 作業區!$X$2:$X$2000, U535)&gt;0, "已存在", "未擴充")</f>
        <v>已存在</v>
      </c>
    </row>
    <row r="536" spans="1:29">
      <c r="A536" s="8">
        <f t="shared" si="17"/>
        <v>535</v>
      </c>
      <c r="B536" s="34" t="s">
        <v>3018</v>
      </c>
      <c r="C536" s="49" t="s">
        <v>3019</v>
      </c>
      <c r="D536" s="8" t="s">
        <v>3020</v>
      </c>
      <c r="E536" s="1" t="s">
        <v>2306</v>
      </c>
      <c r="F536" s="1" t="s">
        <v>3021</v>
      </c>
      <c r="G536" s="1" t="s">
        <v>3022</v>
      </c>
      <c r="I536" s="8">
        <v>316291</v>
      </c>
      <c r="J536" s="8">
        <v>2774353</v>
      </c>
      <c r="M536" s="1">
        <v>111</v>
      </c>
      <c r="N536" s="1" t="s">
        <v>3023</v>
      </c>
      <c r="O536" s="46">
        <v>44866.472916666666</v>
      </c>
      <c r="P536" s="8" t="s">
        <v>3024</v>
      </c>
      <c r="R536" s="8" t="s">
        <v>2545</v>
      </c>
      <c r="S536" s="8" t="s">
        <v>2546</v>
      </c>
      <c r="T536" s="1">
        <v>0</v>
      </c>
      <c r="U536" s="1">
        <v>259</v>
      </c>
      <c r="V536" s="8">
        <v>500</v>
      </c>
      <c r="W536" s="8">
        <f t="shared" si="16"/>
        <v>0</v>
      </c>
      <c r="X536" s="8">
        <v>0.5</v>
      </c>
      <c r="Y536" s="8">
        <v>20000</v>
      </c>
      <c r="Z536" s="8">
        <v>20000</v>
      </c>
      <c r="AC536" s="8" t="str">
        <f>IF(COUNTIFS(作業區!$W$2:$W$2000, T536, 作業區!$X$2:$X$2000, U536)&gt;0, "已存在", "未擴充")</f>
        <v>已存在</v>
      </c>
    </row>
    <row r="537" spans="1:29">
      <c r="A537" s="8">
        <f t="shared" si="17"/>
        <v>536</v>
      </c>
      <c r="B537" s="34" t="s">
        <v>2829</v>
      </c>
      <c r="C537" s="49" t="s">
        <v>3025</v>
      </c>
      <c r="D537" s="8" t="s">
        <v>3026</v>
      </c>
      <c r="E537" s="1" t="s">
        <v>914</v>
      </c>
      <c r="F537" s="1" t="s">
        <v>3027</v>
      </c>
      <c r="G537" s="1" t="s">
        <v>3028</v>
      </c>
      <c r="I537" s="8">
        <v>322970</v>
      </c>
      <c r="J537" s="8">
        <v>2775747</v>
      </c>
      <c r="M537" s="1">
        <v>111</v>
      </c>
      <c r="N537" s="1" t="s">
        <v>3029</v>
      </c>
      <c r="O537" s="46">
        <v>44851.708333333336</v>
      </c>
      <c r="P537" s="8" t="s">
        <v>3030</v>
      </c>
      <c r="R537" s="8" t="s">
        <v>3031</v>
      </c>
      <c r="S537" s="8" t="s">
        <v>3032</v>
      </c>
      <c r="T537" s="1">
        <v>34</v>
      </c>
      <c r="U537" s="1">
        <v>521</v>
      </c>
      <c r="V537" s="8">
        <v>550</v>
      </c>
      <c r="W537" s="8">
        <f t="shared" si="16"/>
        <v>1</v>
      </c>
      <c r="X537" s="8">
        <v>0.3</v>
      </c>
      <c r="Y537" s="8">
        <v>9000</v>
      </c>
      <c r="Z537" s="8">
        <v>9000</v>
      </c>
      <c r="AC537" s="8" t="str">
        <f>IF(COUNTIFS(作業區!$W$2:$W$2000, T537, 作業區!$X$2:$X$2000, U537)&gt;0, "已存在", "未擴充")</f>
        <v>已存在</v>
      </c>
    </row>
    <row r="538" spans="1:29">
      <c r="A538" s="8">
        <f t="shared" si="17"/>
        <v>537</v>
      </c>
      <c r="B538" s="34" t="s">
        <v>2829</v>
      </c>
      <c r="C538" s="49" t="s">
        <v>3033</v>
      </c>
      <c r="D538" s="8" t="s">
        <v>3034</v>
      </c>
      <c r="E538" s="1" t="s">
        <v>2306</v>
      </c>
      <c r="F538" s="1" t="s">
        <v>3021</v>
      </c>
      <c r="G538" s="1" t="s">
        <v>3035</v>
      </c>
      <c r="H538" s="1" t="s">
        <v>3036</v>
      </c>
      <c r="I538" s="8">
        <v>319982</v>
      </c>
      <c r="J538" s="8">
        <v>2772380</v>
      </c>
      <c r="M538" s="1">
        <v>111</v>
      </c>
      <c r="N538" s="1" t="s">
        <v>3029</v>
      </c>
      <c r="O538" s="46">
        <v>44851.5</v>
      </c>
      <c r="P538" s="52" t="s">
        <v>3037</v>
      </c>
      <c r="R538" s="8" t="s">
        <v>2545</v>
      </c>
      <c r="S538" s="8" t="s">
        <v>2546</v>
      </c>
      <c r="T538" s="1">
        <v>15</v>
      </c>
      <c r="U538" s="1">
        <v>649</v>
      </c>
      <c r="V538" s="8">
        <v>500</v>
      </c>
      <c r="X538" s="8">
        <v>3.38</v>
      </c>
      <c r="Y538" s="8">
        <v>81400</v>
      </c>
      <c r="Z538" s="8">
        <v>81400</v>
      </c>
      <c r="AC538" s="8" t="str">
        <f>IF(COUNTIFS(作業區!$W$2:$W$2000, T538, 作業區!$X$2:$X$2000, U538)&gt;0, "已存在", "未擴充")</f>
        <v>已存在</v>
      </c>
    </row>
    <row r="539" spans="1:29">
      <c r="A539" s="8">
        <f t="shared" si="17"/>
        <v>538</v>
      </c>
      <c r="B539" s="34" t="s">
        <v>2829</v>
      </c>
      <c r="C539" s="49" t="s">
        <v>3038</v>
      </c>
      <c r="D539" s="8" t="s">
        <v>3039</v>
      </c>
      <c r="E539" s="1" t="s">
        <v>1482</v>
      </c>
      <c r="F539" s="1" t="s">
        <v>1491</v>
      </c>
      <c r="G539" s="1" t="s">
        <v>3040</v>
      </c>
      <c r="I539" s="8">
        <v>300960</v>
      </c>
      <c r="J539" s="8">
        <v>2722418</v>
      </c>
      <c r="M539" s="1">
        <v>111</v>
      </c>
      <c r="N539" s="1" t="s">
        <v>3029</v>
      </c>
      <c r="O539" s="46">
        <v>44851.333333333336</v>
      </c>
      <c r="P539" s="8" t="s">
        <v>3041</v>
      </c>
      <c r="R539" s="8" t="s">
        <v>3042</v>
      </c>
      <c r="S539" s="8" t="s">
        <v>3043</v>
      </c>
      <c r="T539" s="1">
        <v>7</v>
      </c>
      <c r="U539" s="1">
        <v>685</v>
      </c>
      <c r="V539" s="8">
        <v>550</v>
      </c>
      <c r="X539" s="8">
        <v>1.6</v>
      </c>
      <c r="Y539" s="8">
        <v>80000</v>
      </c>
      <c r="Z539" s="8">
        <v>80000</v>
      </c>
      <c r="AC539" s="8" t="str">
        <f>IF(COUNTIFS(作業區!$W$2:$W$2000, T539, 作業區!$X$2:$X$2000, U539)&gt;0, "已存在", "未擴充")</f>
        <v>已存在</v>
      </c>
    </row>
    <row r="540" spans="1:29">
      <c r="A540" s="8">
        <f t="shared" si="17"/>
        <v>539</v>
      </c>
      <c r="B540" s="34" t="s">
        <v>2829</v>
      </c>
      <c r="C540" s="49" t="s">
        <v>3044</v>
      </c>
      <c r="D540" s="8" t="s">
        <v>3045</v>
      </c>
      <c r="E540" s="1" t="s">
        <v>914</v>
      </c>
      <c r="F540" s="1" t="s">
        <v>3046</v>
      </c>
      <c r="G540" s="1" t="s">
        <v>3047</v>
      </c>
      <c r="I540" s="8">
        <v>324206</v>
      </c>
      <c r="J540" s="8">
        <v>2776808</v>
      </c>
      <c r="M540" s="1">
        <v>111</v>
      </c>
      <c r="N540" s="1" t="s">
        <v>3029</v>
      </c>
      <c r="O540" s="46">
        <v>44850.708333333336</v>
      </c>
      <c r="P540" s="8" t="s">
        <v>3048</v>
      </c>
      <c r="R540" s="8" t="s">
        <v>3031</v>
      </c>
      <c r="S540" s="8" t="s">
        <v>3032</v>
      </c>
      <c r="T540" s="1">
        <v>41</v>
      </c>
      <c r="U540" s="1">
        <v>301</v>
      </c>
      <c r="V540" s="8">
        <v>550</v>
      </c>
      <c r="X540" s="8">
        <v>0.15</v>
      </c>
      <c r="Y540" s="8">
        <v>6000</v>
      </c>
      <c r="Z540" s="8">
        <v>6000</v>
      </c>
      <c r="AC540" s="8" t="str">
        <f>IF(COUNTIFS(作業區!$W$2:$W$2000, T540, 作業區!$X$2:$X$2000, U540)&gt;0, "已存在", "未擴充")</f>
        <v>已存在</v>
      </c>
    </row>
    <row r="541" spans="1:29">
      <c r="A541" s="8">
        <f t="shared" si="17"/>
        <v>540</v>
      </c>
      <c r="B541" s="34" t="s">
        <v>2829</v>
      </c>
      <c r="C541" s="49" t="s">
        <v>3049</v>
      </c>
      <c r="D541" s="48" t="s">
        <v>3050</v>
      </c>
      <c r="E541" s="1" t="s">
        <v>2306</v>
      </c>
      <c r="F541" s="1" t="s">
        <v>3021</v>
      </c>
      <c r="G541" s="1" t="s">
        <v>3051</v>
      </c>
      <c r="I541" s="8">
        <v>314739</v>
      </c>
      <c r="J541" s="8">
        <v>2774323</v>
      </c>
      <c r="M541" s="1">
        <v>111</v>
      </c>
      <c r="N541" s="1" t="s">
        <v>3029</v>
      </c>
      <c r="O541" s="46">
        <v>44850.666666666664</v>
      </c>
      <c r="P541" s="8" t="s">
        <v>3052</v>
      </c>
      <c r="R541" s="8" t="s">
        <v>2545</v>
      </c>
      <c r="S541" s="8" t="s">
        <v>2546</v>
      </c>
      <c r="T541" s="1">
        <v>47</v>
      </c>
      <c r="U541" s="1">
        <v>425</v>
      </c>
      <c r="V541" s="8">
        <v>500</v>
      </c>
      <c r="X541" s="8">
        <v>1.4999999999999999E-2</v>
      </c>
      <c r="Y541" s="8">
        <v>300</v>
      </c>
      <c r="Z541" s="8">
        <v>300</v>
      </c>
      <c r="AC541" s="8" t="str">
        <f>IF(COUNTIFS(作業區!$W$2:$W$2000, T541, 作業區!$X$2:$X$2000, U541)&gt;0, "已存在", "未擴充")</f>
        <v>已存在</v>
      </c>
    </row>
    <row r="542" spans="1:29">
      <c r="A542" s="8">
        <f t="shared" si="17"/>
        <v>541</v>
      </c>
      <c r="B542" s="34" t="s">
        <v>2829</v>
      </c>
      <c r="C542" s="49" t="s">
        <v>3053</v>
      </c>
      <c r="D542" s="8" t="s">
        <v>3054</v>
      </c>
      <c r="E542" s="1" t="s">
        <v>1482</v>
      </c>
      <c r="F542" s="1" t="s">
        <v>1491</v>
      </c>
      <c r="G542" s="1" t="s">
        <v>3055</v>
      </c>
      <c r="I542" s="8">
        <v>301626</v>
      </c>
      <c r="J542" s="8">
        <v>2721123</v>
      </c>
      <c r="M542" s="1">
        <v>111</v>
      </c>
      <c r="N542" s="1" t="s">
        <v>3029</v>
      </c>
      <c r="O542" s="46">
        <v>44850.666666666664</v>
      </c>
      <c r="P542" s="8" t="s">
        <v>3056</v>
      </c>
      <c r="R542" s="8" t="s">
        <v>3042</v>
      </c>
      <c r="S542" s="8" t="s">
        <v>3043</v>
      </c>
      <c r="T542" s="1">
        <v>0</v>
      </c>
      <c r="U542" s="1">
        <v>805</v>
      </c>
      <c r="V542" s="8">
        <v>550</v>
      </c>
      <c r="X542" s="8">
        <v>0.5</v>
      </c>
      <c r="Y542" s="8">
        <v>15000</v>
      </c>
      <c r="Z542" s="8">
        <v>15000</v>
      </c>
      <c r="AC542" s="8" t="str">
        <f>IF(COUNTIFS(作業區!$W$2:$W$2000, T542, 作業區!$X$2:$X$2000, U542)&gt;0, "已存在", "未擴充")</f>
        <v>已存在</v>
      </c>
    </row>
    <row r="543" spans="1:29">
      <c r="A543" s="8">
        <f t="shared" si="17"/>
        <v>542</v>
      </c>
      <c r="B543" s="34" t="s">
        <v>2829</v>
      </c>
      <c r="C543" s="47" t="s">
        <v>3057</v>
      </c>
      <c r="D543" s="8" t="s">
        <v>3058</v>
      </c>
      <c r="E543" s="1" t="s">
        <v>1482</v>
      </c>
      <c r="F543" s="1" t="s">
        <v>1491</v>
      </c>
      <c r="G543" s="1" t="s">
        <v>3040</v>
      </c>
      <c r="I543" s="8">
        <v>302458</v>
      </c>
      <c r="J543" s="8">
        <v>2721951</v>
      </c>
      <c r="M543" s="1">
        <v>111</v>
      </c>
      <c r="N543" s="1" t="s">
        <v>3029</v>
      </c>
      <c r="O543" s="46">
        <v>44850.25</v>
      </c>
      <c r="P543" s="8" t="s">
        <v>3059</v>
      </c>
      <c r="R543" s="8" t="s">
        <v>3042</v>
      </c>
      <c r="S543" s="8" t="s">
        <v>3043</v>
      </c>
      <c r="T543" s="1">
        <v>44</v>
      </c>
      <c r="U543" s="1">
        <v>459</v>
      </c>
      <c r="V543" s="8">
        <v>550</v>
      </c>
      <c r="X543" s="8">
        <v>1.7</v>
      </c>
      <c r="Y543" s="8">
        <v>111000</v>
      </c>
      <c r="Z543" s="8">
        <v>111000</v>
      </c>
      <c r="AC543" s="8" t="str">
        <f>IF(COUNTIFS(作業區!$W$2:$W$2000, T543, 作業區!$X$2:$X$2000, U543)&gt;0, "已存在", "未擴充")</f>
        <v>已存在</v>
      </c>
    </row>
    <row r="544" spans="1:29">
      <c r="A544" s="53">
        <f t="shared" si="17"/>
        <v>543</v>
      </c>
      <c r="B544" s="54" t="s">
        <v>739</v>
      </c>
      <c r="C544" s="54" t="s">
        <v>3060</v>
      </c>
      <c r="D544" s="53" t="s">
        <v>3061</v>
      </c>
      <c r="E544" s="55" t="s">
        <v>2420</v>
      </c>
      <c r="F544" s="55" t="s">
        <v>3062</v>
      </c>
      <c r="G544" s="55" t="s">
        <v>3063</v>
      </c>
      <c r="H544" s="55"/>
      <c r="I544" s="53">
        <v>304921</v>
      </c>
      <c r="J544" s="53">
        <v>2783968</v>
      </c>
      <c r="K544" s="53"/>
      <c r="L544" s="53"/>
      <c r="M544" s="55">
        <v>111</v>
      </c>
      <c r="N544" s="55" t="s">
        <v>3029</v>
      </c>
      <c r="O544" s="56">
        <v>44850.083333333336</v>
      </c>
      <c r="P544" s="57" t="s">
        <v>3064</v>
      </c>
      <c r="Q544" s="53"/>
      <c r="R544" s="53">
        <v>466930</v>
      </c>
      <c r="S544" s="53" t="s">
        <v>3065</v>
      </c>
      <c r="T544" s="55">
        <v>2</v>
      </c>
      <c r="U544" s="55">
        <v>308</v>
      </c>
      <c r="V544" s="53">
        <v>500</v>
      </c>
      <c r="X544" s="8" t="s">
        <v>81</v>
      </c>
      <c r="Y544" s="8" t="s">
        <v>81</v>
      </c>
      <c r="Z544" s="8">
        <v>900</v>
      </c>
      <c r="AC544" s="8" t="str">
        <f>IF(COUNTIFS(作業區!$W$2:$W$2000, T544, 作業區!$X$2:$X$2000, U544)&gt;0, "已存在", "未擴充")</f>
        <v>已存在</v>
      </c>
    </row>
    <row r="545" spans="1:29">
      <c r="A545" s="8">
        <f t="shared" si="17"/>
        <v>544</v>
      </c>
      <c r="B545" s="34" t="s">
        <v>2829</v>
      </c>
      <c r="C545" s="47" t="s">
        <v>3066</v>
      </c>
      <c r="D545" s="8" t="s">
        <v>3067</v>
      </c>
      <c r="E545" s="1" t="s">
        <v>1482</v>
      </c>
      <c r="F545" s="1" t="s">
        <v>2137</v>
      </c>
      <c r="G545" s="1" t="s">
        <v>3068</v>
      </c>
      <c r="I545" s="8">
        <v>329560</v>
      </c>
      <c r="J545" s="8">
        <v>2699016</v>
      </c>
      <c r="M545" s="1">
        <v>111</v>
      </c>
      <c r="N545" s="1" t="s">
        <v>3069</v>
      </c>
      <c r="O545" s="46">
        <v>44841.583333333336</v>
      </c>
      <c r="P545" s="52" t="s">
        <v>3070</v>
      </c>
      <c r="R545" s="8" t="s">
        <v>2402</v>
      </c>
      <c r="S545" s="8" t="s">
        <v>2304</v>
      </c>
      <c r="T545" s="1">
        <v>31</v>
      </c>
      <c r="U545" s="1">
        <v>237</v>
      </c>
      <c r="V545" s="8">
        <v>450</v>
      </c>
      <c r="X545" s="8">
        <v>0.04</v>
      </c>
      <c r="Y545" s="8">
        <v>800</v>
      </c>
      <c r="Z545" s="8">
        <v>800</v>
      </c>
      <c r="AC545" s="8" t="str">
        <f>IF(COUNTIFS(作業區!$W$2:$W$2000, T545, 作業區!$X$2:$X$2000, U545)&gt;0, "已存在", "未擴充")</f>
        <v>已存在</v>
      </c>
    </row>
    <row r="546" spans="1:29">
      <c r="A546" s="8">
        <f t="shared" si="17"/>
        <v>545</v>
      </c>
      <c r="B546" s="34" t="s">
        <v>2829</v>
      </c>
      <c r="C546" s="47" t="s">
        <v>3071</v>
      </c>
      <c r="D546" s="8" t="s">
        <v>3072</v>
      </c>
      <c r="E546" s="1" t="s">
        <v>985</v>
      </c>
      <c r="F546" s="1" t="s">
        <v>2997</v>
      </c>
      <c r="G546" s="1" t="s">
        <v>3073</v>
      </c>
      <c r="I546" s="8">
        <v>289087</v>
      </c>
      <c r="J546" s="8">
        <v>2586977</v>
      </c>
      <c r="M546" s="1">
        <v>111</v>
      </c>
      <c r="N546" s="1" t="s">
        <v>3069</v>
      </c>
      <c r="O546" s="46">
        <v>44822.625</v>
      </c>
      <c r="P546" s="52" t="s">
        <v>3074</v>
      </c>
      <c r="R546" s="8" t="s">
        <v>3075</v>
      </c>
      <c r="S546" s="8" t="s">
        <v>3076</v>
      </c>
      <c r="T546" s="1">
        <v>0</v>
      </c>
      <c r="U546" s="1">
        <v>30</v>
      </c>
      <c r="V546" s="8">
        <v>450</v>
      </c>
      <c r="X546" s="8">
        <v>1.66</v>
      </c>
      <c r="Y546" s="8">
        <v>7880</v>
      </c>
      <c r="Z546" s="8">
        <v>7880</v>
      </c>
      <c r="AC546" s="8" t="str">
        <f>IF(COUNTIFS(作業區!$W$2:$W$2000, T546, 作業區!$X$2:$X$2000, U546)&gt;0, "已存在", "未擴充")</f>
        <v>已存在</v>
      </c>
    </row>
    <row r="547" spans="1:29">
      <c r="A547" s="8">
        <f t="shared" si="17"/>
        <v>546</v>
      </c>
      <c r="B547" s="34" t="s">
        <v>2829</v>
      </c>
      <c r="C547" s="47" t="s">
        <v>3077</v>
      </c>
      <c r="D547" s="8" t="s">
        <v>3078</v>
      </c>
      <c r="E547" s="1" t="s">
        <v>2838</v>
      </c>
      <c r="F547" s="1" t="s">
        <v>3079</v>
      </c>
      <c r="G547" s="58" t="s">
        <v>3080</v>
      </c>
      <c r="I547" s="8">
        <v>273923</v>
      </c>
      <c r="J547" s="8">
        <v>2682548</v>
      </c>
      <c r="M547" s="1">
        <v>111</v>
      </c>
      <c r="N547" s="1" t="s">
        <v>2354</v>
      </c>
      <c r="O547" s="46">
        <v>44773.583333333336</v>
      </c>
      <c r="P547" s="52" t="s">
        <v>3081</v>
      </c>
      <c r="R547" s="8" t="s">
        <v>3082</v>
      </c>
      <c r="S547" s="8" t="s">
        <v>2286</v>
      </c>
      <c r="T547" s="1">
        <v>0</v>
      </c>
      <c r="U547" s="1">
        <v>27</v>
      </c>
      <c r="V547" s="8">
        <v>350</v>
      </c>
      <c r="X547" s="8">
        <v>0.23</v>
      </c>
      <c r="Y547" s="8">
        <v>2250</v>
      </c>
      <c r="Z547" s="8">
        <v>2250</v>
      </c>
      <c r="AC547" s="8" t="str">
        <f>IF(COUNTIFS(作業區!$W$2:$W$2000, T547, 作業區!$X$2:$X$2000, U547)&gt;0, "已存在", "未擴充")</f>
        <v>已存在</v>
      </c>
    </row>
    <row r="548" spans="1:29">
      <c r="A548" s="8">
        <f t="shared" si="17"/>
        <v>547</v>
      </c>
      <c r="B548" s="34" t="s">
        <v>2829</v>
      </c>
      <c r="C548" s="47" t="s">
        <v>3083</v>
      </c>
      <c r="D548" s="8" t="s">
        <v>3084</v>
      </c>
      <c r="E548" s="1" t="s">
        <v>846</v>
      </c>
      <c r="F548" s="1" t="s">
        <v>3085</v>
      </c>
      <c r="G548" s="1" t="s">
        <v>3086</v>
      </c>
      <c r="I548" s="8">
        <v>236660</v>
      </c>
      <c r="J548" s="8">
        <v>2723727</v>
      </c>
      <c r="M548" s="1">
        <v>111</v>
      </c>
      <c r="N548" s="1" t="s">
        <v>2354</v>
      </c>
      <c r="O548" s="46">
        <v>44721.041666666664</v>
      </c>
      <c r="P548" s="8" t="s">
        <v>3087</v>
      </c>
      <c r="R548" s="8" t="s">
        <v>3088</v>
      </c>
      <c r="S548" s="8" t="s">
        <v>3089</v>
      </c>
      <c r="T548" s="1">
        <v>0</v>
      </c>
      <c r="U548" s="1">
        <v>157</v>
      </c>
      <c r="V548" s="8">
        <v>500</v>
      </c>
      <c r="X548" s="8">
        <v>0.15</v>
      </c>
      <c r="Y548" s="8">
        <v>3000</v>
      </c>
      <c r="Z548" s="8">
        <v>3000</v>
      </c>
      <c r="AC548" s="8" t="str">
        <f>IF(COUNTIFS(作業區!$W$2:$W$2000, T548, 作業區!$X$2:$X$2000, U548)&gt;0, "已存在", "未擴充")</f>
        <v>已存在</v>
      </c>
    </row>
    <row r="549" spans="1:29">
      <c r="A549" s="8">
        <f t="shared" si="17"/>
        <v>548</v>
      </c>
      <c r="B549" s="34" t="s">
        <v>2829</v>
      </c>
      <c r="C549" s="47" t="s">
        <v>3090</v>
      </c>
      <c r="D549" s="8" t="s">
        <v>3091</v>
      </c>
      <c r="E549" s="59" t="s">
        <v>3092</v>
      </c>
      <c r="F549" s="59" t="s">
        <v>3093</v>
      </c>
      <c r="G549" s="1" t="s">
        <v>3094</v>
      </c>
      <c r="I549" s="8">
        <v>250779</v>
      </c>
      <c r="J549" s="8">
        <v>2739234</v>
      </c>
      <c r="M549" s="1">
        <v>111</v>
      </c>
      <c r="N549" s="59" t="s">
        <v>3095</v>
      </c>
      <c r="O549" s="46">
        <v>44698.083333333336</v>
      </c>
      <c r="P549" s="52" t="s">
        <v>3096</v>
      </c>
      <c r="R549" s="8" t="s">
        <v>3097</v>
      </c>
      <c r="S549" s="8" t="s">
        <v>2630</v>
      </c>
      <c r="T549" s="1">
        <v>2</v>
      </c>
      <c r="U549" s="1">
        <v>137</v>
      </c>
      <c r="V549" s="8">
        <v>550</v>
      </c>
      <c r="X549" s="8">
        <v>0.24</v>
      </c>
      <c r="Y549" s="8">
        <v>4800</v>
      </c>
      <c r="Z549" s="8">
        <v>4800</v>
      </c>
      <c r="AC549" s="8" t="str">
        <f>IF(COUNTIFS(作業區!$W$2:$W$2000, T549, 作業區!$X$2:$X$2000, U549)&gt;0, "已存在", "未擴充")</f>
        <v>已存在</v>
      </c>
    </row>
    <row r="550" spans="1:29">
      <c r="A550" s="8">
        <f t="shared" si="17"/>
        <v>549</v>
      </c>
      <c r="B550" s="34" t="s">
        <v>2829</v>
      </c>
      <c r="C550" s="47" t="s">
        <v>3098</v>
      </c>
      <c r="D550" s="8" t="s">
        <v>3099</v>
      </c>
      <c r="E550" s="1" t="s">
        <v>985</v>
      </c>
      <c r="F550" s="1" t="s">
        <v>2313</v>
      </c>
      <c r="G550" s="1" t="s">
        <v>3100</v>
      </c>
      <c r="I550" s="8">
        <v>285622</v>
      </c>
      <c r="J550" s="8">
        <v>2675762</v>
      </c>
      <c r="M550" s="1">
        <v>111</v>
      </c>
      <c r="N550" s="1" t="s">
        <v>2354</v>
      </c>
      <c r="O550" s="46">
        <v>44677.125</v>
      </c>
      <c r="P550" s="52" t="s">
        <v>3101</v>
      </c>
      <c r="R550" s="8" t="s">
        <v>2655</v>
      </c>
      <c r="S550" s="8" t="s">
        <v>2656</v>
      </c>
      <c r="T550" s="1">
        <v>0</v>
      </c>
      <c r="U550" s="1">
        <v>16</v>
      </c>
      <c r="V550" s="8">
        <v>350</v>
      </c>
      <c r="X550" s="8">
        <v>3.52</v>
      </c>
      <c r="Y550" s="8">
        <v>176000</v>
      </c>
      <c r="Z550" s="8">
        <v>176000</v>
      </c>
      <c r="AC550" s="8" t="str">
        <f>IF(COUNTIFS(作業區!$W$2:$W$2000, T550, 作業區!$X$2:$X$2000, U550)&gt;0, "已存在", "未擴充")</f>
        <v>已存在</v>
      </c>
    </row>
    <row r="551" spans="1:29">
      <c r="A551" s="8">
        <f t="shared" si="17"/>
        <v>550</v>
      </c>
      <c r="B551" s="47" t="s">
        <v>3102</v>
      </c>
      <c r="C551" s="47" t="s">
        <v>3103</v>
      </c>
      <c r="D551" s="8" t="s">
        <v>3104</v>
      </c>
      <c r="E551" s="1" t="s">
        <v>2391</v>
      </c>
      <c r="F551" s="1" t="s">
        <v>923</v>
      </c>
      <c r="G551" s="1" t="s">
        <v>3105</v>
      </c>
      <c r="I551" s="8">
        <v>245711</v>
      </c>
      <c r="J551" s="8">
        <v>2489532</v>
      </c>
      <c r="M551" s="1">
        <v>111</v>
      </c>
      <c r="N551" s="1" t="s">
        <v>2354</v>
      </c>
      <c r="O551" s="46">
        <v>44673.916666666664</v>
      </c>
      <c r="P551" s="8" t="s">
        <v>3106</v>
      </c>
      <c r="R551" s="8" t="s">
        <v>3107</v>
      </c>
      <c r="S551" s="8" t="s">
        <v>3108</v>
      </c>
      <c r="T551" s="1">
        <v>87</v>
      </c>
      <c r="U551" s="1">
        <v>148</v>
      </c>
      <c r="V551" s="8">
        <v>450</v>
      </c>
      <c r="X551" s="8">
        <v>5.0000000000000001E-3</v>
      </c>
      <c r="Y551" s="8">
        <v>100</v>
      </c>
      <c r="Z551" s="8">
        <v>100</v>
      </c>
      <c r="AC551" s="8" t="str">
        <f>IF(COUNTIFS(作業區!$W$2:$W$2000, T551, 作業區!$X$2:$X$2000, U551)&gt;0, "已存在", "未擴充")</f>
        <v>已存在</v>
      </c>
    </row>
    <row r="552" spans="1:29">
      <c r="A552" s="8">
        <f t="shared" si="17"/>
        <v>551</v>
      </c>
      <c r="B552" s="34" t="s">
        <v>2829</v>
      </c>
      <c r="C552" s="47" t="s">
        <v>3109</v>
      </c>
      <c r="D552" s="8" t="s">
        <v>3110</v>
      </c>
      <c r="E552" s="1" t="s">
        <v>846</v>
      </c>
      <c r="F552" s="1" t="s">
        <v>1372</v>
      </c>
      <c r="G552" s="1" t="s">
        <v>1404</v>
      </c>
      <c r="I552" s="8">
        <v>242448</v>
      </c>
      <c r="J552" s="8">
        <v>2720084</v>
      </c>
      <c r="M552" s="1">
        <v>111</v>
      </c>
      <c r="N552" s="1" t="s">
        <v>2354</v>
      </c>
      <c r="O552" s="46">
        <v>44648.333333333336</v>
      </c>
      <c r="P552" s="8" t="s">
        <v>3111</v>
      </c>
      <c r="R552" s="8" t="s">
        <v>3112</v>
      </c>
      <c r="S552" s="8" t="s">
        <v>867</v>
      </c>
      <c r="T552" s="1">
        <v>10</v>
      </c>
      <c r="U552" s="1">
        <v>144</v>
      </c>
      <c r="V552" s="8">
        <v>500</v>
      </c>
      <c r="X552" s="8">
        <v>0.56000000000000005</v>
      </c>
      <c r="Y552" s="8">
        <v>17700</v>
      </c>
      <c r="Z552" s="8">
        <v>17700</v>
      </c>
      <c r="AC552" s="8" t="str">
        <f>IF(COUNTIFS(作業區!$W$2:$W$2000, T552, 作業區!$X$2:$X$2000, U552)&gt;0, "已存在", "未擴充")</f>
        <v>已存在</v>
      </c>
    </row>
    <row r="553" spans="1:29">
      <c r="A553" s="8">
        <f t="shared" si="17"/>
        <v>552</v>
      </c>
      <c r="B553" s="34" t="s">
        <v>2829</v>
      </c>
      <c r="C553" s="47" t="s">
        <v>3113</v>
      </c>
      <c r="D553" s="8" t="s">
        <v>3114</v>
      </c>
      <c r="E553" s="1" t="s">
        <v>914</v>
      </c>
      <c r="F553" s="1" t="s">
        <v>2266</v>
      </c>
      <c r="G553" s="1" t="s">
        <v>3115</v>
      </c>
      <c r="I553" s="8">
        <v>328272</v>
      </c>
      <c r="J553" s="8">
        <v>2781911</v>
      </c>
      <c r="M553" s="1">
        <v>111</v>
      </c>
      <c r="N553" s="1" t="s">
        <v>2354</v>
      </c>
      <c r="O553" s="46">
        <v>44615.75</v>
      </c>
      <c r="P553" s="8" t="s">
        <v>3116</v>
      </c>
      <c r="R553" s="8">
        <v>466940</v>
      </c>
      <c r="S553" s="8" t="s">
        <v>2539</v>
      </c>
      <c r="T553" s="1">
        <v>3</v>
      </c>
      <c r="U553" s="1">
        <v>205</v>
      </c>
      <c r="V553" s="8">
        <v>600</v>
      </c>
      <c r="X553" s="8">
        <v>0.9</v>
      </c>
      <c r="Y553" s="8">
        <v>72000</v>
      </c>
      <c r="Z553" s="8">
        <v>72000</v>
      </c>
      <c r="AC553" s="8" t="str">
        <f>IF(COUNTIFS(作業區!$W$2:$W$2000, T553, 作業區!$X$2:$X$2000, U553)&gt;0, "已存在", "未擴充")</f>
        <v>已存在</v>
      </c>
    </row>
    <row r="554" spans="1:29">
      <c r="A554" s="8">
        <f t="shared" si="17"/>
        <v>553</v>
      </c>
      <c r="B554" s="1" t="s">
        <v>3117</v>
      </c>
      <c r="C554" s="1" t="s">
        <v>3118</v>
      </c>
      <c r="D554" s="8" t="s">
        <v>3119</v>
      </c>
      <c r="E554" s="1" t="s">
        <v>769</v>
      </c>
      <c r="F554" s="1" t="s">
        <v>773</v>
      </c>
      <c r="G554" s="1" t="s">
        <v>877</v>
      </c>
      <c r="I554" s="8">
        <v>266023</v>
      </c>
      <c r="J554" s="8">
        <v>2662043</v>
      </c>
      <c r="M554" s="1">
        <v>112</v>
      </c>
      <c r="N554" s="1" t="s">
        <v>3120</v>
      </c>
      <c r="O554" s="46">
        <v>45142.333333333336</v>
      </c>
      <c r="P554" s="8" t="s">
        <v>3121</v>
      </c>
      <c r="R554" s="8" t="s">
        <v>3122</v>
      </c>
      <c r="S554" s="8" t="s">
        <v>3123</v>
      </c>
      <c r="T554" s="1">
        <v>42</v>
      </c>
      <c r="U554" s="1">
        <v>221</v>
      </c>
      <c r="V554" s="8">
        <v>300</v>
      </c>
      <c r="W554" s="8">
        <f t="shared" ref="W554:W559" si="18">IF(IF(ISERROR(SEARCH("-",P554))=TRUE,0,1)=1,IF(H554&lt;&gt;"",0,1),0)</f>
        <v>0</v>
      </c>
      <c r="X554" s="8" t="s">
        <v>81</v>
      </c>
      <c r="Y554" s="8">
        <v>13400</v>
      </c>
      <c r="Z554" s="8">
        <v>1200</v>
      </c>
      <c r="AC554" s="8" t="str">
        <f>IF(COUNTIFS(作業區!$W$2:$W$2000, T554, 作業區!$X$2:$X$2000, U554)&gt;0, "已存在", "未擴充")</f>
        <v>已存在</v>
      </c>
    </row>
    <row r="555" spans="1:29">
      <c r="A555" s="8">
        <f t="shared" si="17"/>
        <v>554</v>
      </c>
      <c r="B555" s="34" t="s">
        <v>2829</v>
      </c>
      <c r="C555" s="47" t="s">
        <v>3124</v>
      </c>
      <c r="D555" s="8" t="s">
        <v>3125</v>
      </c>
      <c r="E555" s="1" t="s">
        <v>769</v>
      </c>
      <c r="F555" s="1" t="s">
        <v>773</v>
      </c>
      <c r="G555" s="1" t="s">
        <v>1425</v>
      </c>
      <c r="I555" s="8">
        <v>268496</v>
      </c>
      <c r="J555" s="8">
        <v>2657346</v>
      </c>
      <c r="M555" s="1">
        <v>112</v>
      </c>
      <c r="N555" s="1" t="s">
        <v>3120</v>
      </c>
      <c r="O555" s="46">
        <v>45142.416666666664</v>
      </c>
      <c r="P555" s="8" t="s">
        <v>3126</v>
      </c>
      <c r="R555" s="8" t="s">
        <v>2519</v>
      </c>
      <c r="S555" s="8" t="s">
        <v>1428</v>
      </c>
      <c r="T555" s="1">
        <v>89</v>
      </c>
      <c r="U555" s="1">
        <v>457</v>
      </c>
      <c r="V555" s="8">
        <v>300</v>
      </c>
      <c r="W555" s="8">
        <f t="shared" si="18"/>
        <v>0</v>
      </c>
      <c r="X555" s="8">
        <v>5.2499999999999998E-2</v>
      </c>
      <c r="Y555" s="8">
        <v>2100</v>
      </c>
      <c r="Z555" s="8">
        <v>600</v>
      </c>
      <c r="AC555" s="8" t="str">
        <f>IF(COUNTIFS(作業區!$W$2:$W$2000, T555, 作業區!$X$2:$X$2000, U555)&gt;0, "已存在", "未擴充")</f>
        <v>已存在</v>
      </c>
    </row>
    <row r="556" spans="1:29">
      <c r="A556" s="8">
        <f t="shared" si="17"/>
        <v>555</v>
      </c>
      <c r="B556" s="1" t="s">
        <v>739</v>
      </c>
      <c r="C556" s="1" t="s">
        <v>3127</v>
      </c>
      <c r="D556" s="8" t="s">
        <v>3128</v>
      </c>
      <c r="E556" s="1" t="s">
        <v>769</v>
      </c>
      <c r="F556" s="1" t="s">
        <v>773</v>
      </c>
      <c r="G556" s="1" t="s">
        <v>1357</v>
      </c>
      <c r="H556" s="1" t="s">
        <v>3129</v>
      </c>
      <c r="I556" s="8">
        <v>257468</v>
      </c>
      <c r="J556" s="8">
        <v>2654459</v>
      </c>
      <c r="M556" s="1">
        <v>112</v>
      </c>
      <c r="N556" s="1" t="s">
        <v>3120</v>
      </c>
      <c r="O556" s="46">
        <v>45142.416666666664</v>
      </c>
      <c r="P556" s="8" t="s">
        <v>3130</v>
      </c>
      <c r="R556" s="8" t="s">
        <v>3131</v>
      </c>
      <c r="S556" s="8" t="s">
        <v>3132</v>
      </c>
      <c r="T556" s="59">
        <v>2</v>
      </c>
      <c r="U556" s="59">
        <v>431</v>
      </c>
      <c r="V556" s="8">
        <v>300</v>
      </c>
      <c r="W556" s="8">
        <f t="shared" si="18"/>
        <v>0</v>
      </c>
      <c r="X556" s="8" t="s">
        <v>81</v>
      </c>
      <c r="Y556" s="8" t="s">
        <v>81</v>
      </c>
      <c r="Z556" s="8">
        <v>3600</v>
      </c>
      <c r="AA556" s="8" t="s">
        <v>3133</v>
      </c>
      <c r="AC556" s="8" t="str">
        <f>IF(COUNTIFS(作業區!$W$2:$W$2000, T556, 作業區!$X$2:$X$2000, U556)&gt;0, "已存在", "未擴充")</f>
        <v>已存在</v>
      </c>
    </row>
    <row r="557" spans="1:29" hidden="1">
      <c r="A557" s="8">
        <f t="shared" si="17"/>
        <v>556</v>
      </c>
      <c r="B557" s="1" t="s">
        <v>739</v>
      </c>
      <c r="C557" s="1" t="s">
        <v>3134</v>
      </c>
      <c r="D557" s="8" t="s">
        <v>3135</v>
      </c>
      <c r="E557" s="1" t="s">
        <v>769</v>
      </c>
      <c r="F557" s="1" t="s">
        <v>773</v>
      </c>
      <c r="G557" s="1" t="s">
        <v>1357</v>
      </c>
      <c r="H557" s="1" t="s">
        <v>3136</v>
      </c>
      <c r="I557" s="8">
        <v>258736</v>
      </c>
      <c r="J557" s="8">
        <v>2655392</v>
      </c>
      <c r="M557" s="1">
        <v>112</v>
      </c>
      <c r="N557" s="1" t="s">
        <v>3120</v>
      </c>
      <c r="O557" s="46">
        <v>45142.625</v>
      </c>
      <c r="P557" s="8" t="s">
        <v>3137</v>
      </c>
      <c r="R557" s="8" t="s">
        <v>3131</v>
      </c>
      <c r="S557" s="8" t="s">
        <v>3132</v>
      </c>
      <c r="T557" s="1">
        <v>49</v>
      </c>
      <c r="U557" s="1">
        <v>648</v>
      </c>
      <c r="V557" s="8">
        <v>300</v>
      </c>
      <c r="W557" s="8">
        <f t="shared" si="18"/>
        <v>0</v>
      </c>
      <c r="X557" s="8" t="s">
        <v>81</v>
      </c>
      <c r="Y557" s="8" t="s">
        <v>81</v>
      </c>
      <c r="Z557" s="8">
        <v>30000</v>
      </c>
      <c r="AC557" s="8" t="str">
        <f>IF(COUNTIFS(作業區!$W$2:$W$2000, T557, 作業區!$X$2:$X$2000, U557)&gt;0, "已存在", "未擴充")</f>
        <v>已存在</v>
      </c>
    </row>
    <row r="558" spans="1:29">
      <c r="A558" s="8">
        <f t="shared" si="17"/>
        <v>557</v>
      </c>
      <c r="B558" s="34" t="s">
        <v>3138</v>
      </c>
      <c r="C558" s="47" t="s">
        <v>3139</v>
      </c>
      <c r="D558" s="8" t="s">
        <v>3140</v>
      </c>
      <c r="E558" s="1" t="s">
        <v>769</v>
      </c>
      <c r="F558" s="1" t="s">
        <v>773</v>
      </c>
      <c r="G558" s="1" t="s">
        <v>1357</v>
      </c>
      <c r="I558" s="8">
        <v>261329</v>
      </c>
      <c r="J558" s="8">
        <v>2655918</v>
      </c>
      <c r="M558" s="1">
        <v>112</v>
      </c>
      <c r="N558" s="1" t="s">
        <v>3120</v>
      </c>
      <c r="O558" s="46">
        <v>45142.541666666664</v>
      </c>
      <c r="P558" s="8" t="s">
        <v>3141</v>
      </c>
      <c r="R558" s="8" t="s">
        <v>3142</v>
      </c>
      <c r="S558" s="8" t="s">
        <v>1413</v>
      </c>
      <c r="T558" s="1">
        <v>44</v>
      </c>
      <c r="U558" s="1">
        <v>695</v>
      </c>
      <c r="V558" s="8">
        <v>300</v>
      </c>
      <c r="W558" s="8">
        <f t="shared" si="18"/>
        <v>0</v>
      </c>
      <c r="X558" s="8">
        <v>1.4999999999999999E-2</v>
      </c>
      <c r="Y558" s="8">
        <v>300</v>
      </c>
      <c r="Z558" s="8">
        <v>600</v>
      </c>
      <c r="AC558" s="8" t="str">
        <f>IF(COUNTIFS(作業區!$W$2:$W$2000, T558, 作業區!$X$2:$X$2000, U558)&gt;0, "已存在", "未擴充")</f>
        <v>已存在</v>
      </c>
    </row>
    <row r="559" spans="1:29">
      <c r="A559" s="8">
        <f t="shared" si="17"/>
        <v>558</v>
      </c>
      <c r="B559" s="1" t="s">
        <v>739</v>
      </c>
      <c r="C559" s="1" t="s">
        <v>3143</v>
      </c>
      <c r="D559" s="8" t="s">
        <v>3144</v>
      </c>
      <c r="E559" s="1" t="s">
        <v>769</v>
      </c>
      <c r="F559" s="1" t="s">
        <v>773</v>
      </c>
      <c r="G559" s="1" t="s">
        <v>3145</v>
      </c>
      <c r="H559" s="1" t="s">
        <v>3146</v>
      </c>
      <c r="I559" s="8">
        <v>265243</v>
      </c>
      <c r="J559" s="8">
        <v>2658076</v>
      </c>
      <c r="M559" s="1">
        <v>112</v>
      </c>
      <c r="N559" s="1" t="s">
        <v>3120</v>
      </c>
      <c r="O559" s="46">
        <v>45142.708333333336</v>
      </c>
      <c r="P559" s="8" t="s">
        <v>3147</v>
      </c>
      <c r="R559" s="8" t="s">
        <v>3142</v>
      </c>
      <c r="S559" s="8" t="s">
        <v>1413</v>
      </c>
      <c r="T559" s="1">
        <v>0</v>
      </c>
      <c r="U559" s="1">
        <v>934</v>
      </c>
      <c r="V559" s="8">
        <v>300</v>
      </c>
      <c r="W559" s="8">
        <f t="shared" si="18"/>
        <v>0</v>
      </c>
      <c r="X559" s="8" t="s">
        <v>81</v>
      </c>
      <c r="Y559" s="8" t="s">
        <v>81</v>
      </c>
      <c r="Z559" s="8">
        <v>6000</v>
      </c>
      <c r="AC559" s="8" t="str">
        <f>IF(COUNTIFS(作業區!$W$2:$W$2000, T559, 作業區!$X$2:$X$2000, U559)&gt;0, "已存在", "未擴充")</f>
        <v>已存在</v>
      </c>
    </row>
    <row r="560" spans="1:29" hidden="1">
      <c r="A560" s="8">
        <f t="shared" si="17"/>
        <v>559</v>
      </c>
      <c r="B560" s="1" t="s">
        <v>3148</v>
      </c>
      <c r="C560" s="1" t="s">
        <v>3149</v>
      </c>
      <c r="D560" s="8" t="s">
        <v>3150</v>
      </c>
      <c r="E560" s="1" t="s">
        <v>769</v>
      </c>
      <c r="F560" s="1" t="s">
        <v>773</v>
      </c>
      <c r="G560" s="1" t="s">
        <v>3145</v>
      </c>
      <c r="H560" s="1" t="s">
        <v>3151</v>
      </c>
      <c r="I560" s="8">
        <v>265370</v>
      </c>
      <c r="J560" s="8">
        <v>2657994</v>
      </c>
      <c r="M560" s="1">
        <v>112</v>
      </c>
      <c r="N560" s="1" t="s">
        <v>3120</v>
      </c>
      <c r="O560" s="46">
        <v>45143.416666666664</v>
      </c>
      <c r="P560" s="8" t="s">
        <v>3152</v>
      </c>
      <c r="R560" s="8" t="s">
        <v>2519</v>
      </c>
      <c r="S560" s="8" t="s">
        <v>1428</v>
      </c>
      <c r="T560" s="1">
        <v>6</v>
      </c>
      <c r="U560" s="1">
        <v>695</v>
      </c>
      <c r="V560" s="8">
        <v>300</v>
      </c>
      <c r="X560" s="8">
        <v>0.12</v>
      </c>
      <c r="Y560" s="8">
        <v>6000</v>
      </c>
      <c r="Z560" s="8">
        <v>450</v>
      </c>
      <c r="AC560" s="8" t="str">
        <f>IF(COUNTIFS(作業區!$W$2:$W$2000, T560, 作業區!$X$2:$X$2000, U560)&gt;0, "已存在", "未擴充")</f>
        <v>已存在</v>
      </c>
    </row>
    <row r="561" spans="1:29" hidden="1">
      <c r="A561" s="8">
        <f t="shared" si="17"/>
        <v>560</v>
      </c>
      <c r="B561" s="1" t="s">
        <v>739</v>
      </c>
      <c r="C561" s="1" t="s">
        <v>3153</v>
      </c>
      <c r="D561" s="8" t="s">
        <v>3154</v>
      </c>
      <c r="E561" s="1" t="s">
        <v>769</v>
      </c>
      <c r="F561" s="1" t="s">
        <v>773</v>
      </c>
      <c r="G561" s="1" t="s">
        <v>1357</v>
      </c>
      <c r="H561" s="1" t="s">
        <v>3155</v>
      </c>
      <c r="I561" s="8">
        <v>257842</v>
      </c>
      <c r="J561" s="8">
        <v>2654498</v>
      </c>
      <c r="M561" s="1">
        <v>112</v>
      </c>
      <c r="N561" s="1" t="s">
        <v>3120</v>
      </c>
      <c r="O561" s="46">
        <v>45142.625</v>
      </c>
      <c r="P561" s="8" t="s">
        <v>3156</v>
      </c>
      <c r="R561" s="8" t="s">
        <v>3131</v>
      </c>
      <c r="S561" s="8" t="s">
        <v>3132</v>
      </c>
      <c r="T561" s="1">
        <v>49</v>
      </c>
      <c r="U561" s="1">
        <v>648</v>
      </c>
      <c r="V561" s="8">
        <v>300</v>
      </c>
      <c r="X561" s="8" t="s">
        <v>81</v>
      </c>
      <c r="Y561" s="8" t="s">
        <v>81</v>
      </c>
      <c r="Z561" s="8">
        <v>7200</v>
      </c>
      <c r="AC561" s="8" t="str">
        <f>IF(COUNTIFS(作業區!$W$2:$W$2000, T561, 作業區!$X$2:$X$2000, U561)&gt;0, "已存在", "未擴充")</f>
        <v>已存在</v>
      </c>
    </row>
    <row r="562" spans="1:29" hidden="1">
      <c r="A562" s="8">
        <f t="shared" si="17"/>
        <v>561</v>
      </c>
      <c r="B562" s="1" t="s">
        <v>739</v>
      </c>
      <c r="C562" s="1" t="s">
        <v>3157</v>
      </c>
      <c r="D562" s="8" t="s">
        <v>3158</v>
      </c>
      <c r="E562" s="1" t="s">
        <v>769</v>
      </c>
      <c r="F562" s="1" t="s">
        <v>773</v>
      </c>
      <c r="G562" s="1" t="s">
        <v>1357</v>
      </c>
      <c r="H562" s="1" t="s">
        <v>3159</v>
      </c>
      <c r="I562" s="8">
        <v>259540</v>
      </c>
      <c r="J562" s="8">
        <v>2655757</v>
      </c>
      <c r="M562" s="1">
        <v>112</v>
      </c>
      <c r="N562" s="1" t="s">
        <v>3120</v>
      </c>
      <c r="O562" s="46">
        <v>45142.666666666664</v>
      </c>
      <c r="P562" s="8" t="s">
        <v>3160</v>
      </c>
      <c r="R562" s="8" t="s">
        <v>3131</v>
      </c>
      <c r="S562" s="8" t="s">
        <v>3132</v>
      </c>
      <c r="T562" s="1">
        <v>112</v>
      </c>
      <c r="U562" s="1">
        <v>782</v>
      </c>
      <c r="V562" s="8">
        <v>300</v>
      </c>
      <c r="X562" s="8">
        <v>0.3</v>
      </c>
      <c r="Y562" s="8">
        <v>6000</v>
      </c>
      <c r="Z562" s="8">
        <v>14000</v>
      </c>
      <c r="AC562" s="8" t="str">
        <f>IF(COUNTIFS(作業區!$W$2:$W$2000, T562, 作業區!$X$2:$X$2000, U562)&gt;0, "已存在", "未擴充")</f>
        <v>已存在</v>
      </c>
    </row>
    <row r="563" spans="1:29">
      <c r="A563" s="8">
        <f t="shared" si="17"/>
        <v>562</v>
      </c>
      <c r="B563" s="34" t="s">
        <v>3161</v>
      </c>
      <c r="C563" s="47" t="s">
        <v>3162</v>
      </c>
      <c r="D563" s="8" t="s">
        <v>3163</v>
      </c>
      <c r="E563" s="1" t="s">
        <v>769</v>
      </c>
      <c r="F563" s="1" t="s">
        <v>773</v>
      </c>
      <c r="G563" s="1" t="s">
        <v>3145</v>
      </c>
      <c r="I563" s="8">
        <v>267457</v>
      </c>
      <c r="J563" s="8">
        <v>2658287</v>
      </c>
      <c r="M563" s="1">
        <v>112</v>
      </c>
      <c r="N563" s="1" t="s">
        <v>3120</v>
      </c>
      <c r="O563" s="46">
        <v>45142.375</v>
      </c>
      <c r="P563" s="8" t="s">
        <v>3164</v>
      </c>
      <c r="R563" s="8" t="s">
        <v>3142</v>
      </c>
      <c r="S563" s="8" t="s">
        <v>1413</v>
      </c>
      <c r="T563" s="1">
        <v>60</v>
      </c>
      <c r="U563" s="1">
        <v>526</v>
      </c>
      <c r="V563" s="8">
        <v>300</v>
      </c>
      <c r="X563" s="8">
        <v>0.37</v>
      </c>
      <c r="Y563" s="8" t="s">
        <v>81</v>
      </c>
      <c r="Z563" s="8">
        <v>3700</v>
      </c>
      <c r="AC563" s="8" t="str">
        <f>IF(COUNTIFS(作業區!$W$2:$W$2000, T563, 作業區!$X$2:$X$2000, U563)&gt;0, "已存在", "未擴充")</f>
        <v>已存在</v>
      </c>
    </row>
    <row r="564" spans="1:29">
      <c r="A564" s="8">
        <f t="shared" si="17"/>
        <v>563</v>
      </c>
      <c r="B564" s="34" t="s">
        <v>2829</v>
      </c>
      <c r="C564" s="47" t="s">
        <v>3165</v>
      </c>
      <c r="D564" s="8" t="s">
        <v>3166</v>
      </c>
      <c r="E564" s="1" t="s">
        <v>769</v>
      </c>
      <c r="F564" s="1" t="s">
        <v>773</v>
      </c>
      <c r="G564" s="1" t="s">
        <v>3167</v>
      </c>
      <c r="I564" s="8">
        <v>268588</v>
      </c>
      <c r="J564" s="8">
        <v>2649709</v>
      </c>
      <c r="M564" s="1">
        <v>112</v>
      </c>
      <c r="N564" s="1" t="s">
        <v>3120</v>
      </c>
      <c r="O564" s="46">
        <v>45142.666666666664</v>
      </c>
      <c r="P564" s="8" t="s">
        <v>3168</v>
      </c>
      <c r="R564" s="8" t="s">
        <v>3169</v>
      </c>
      <c r="S564" s="8" t="s">
        <v>3170</v>
      </c>
      <c r="T564" s="1">
        <v>106</v>
      </c>
      <c r="U564" s="1">
        <v>639</v>
      </c>
      <c r="V564" s="8">
        <v>300</v>
      </c>
      <c r="X564" s="8">
        <v>6</v>
      </c>
      <c r="Y564" s="8">
        <v>168000</v>
      </c>
      <c r="Z564" s="8">
        <v>112500</v>
      </c>
      <c r="AC564" s="8" t="str">
        <f>IF(COUNTIFS(作業區!$W$2:$W$2000, T564, 作業區!$X$2:$X$2000, U564)&gt;0, "已存在", "未擴充")</f>
        <v>已存在</v>
      </c>
    </row>
    <row r="565" spans="1:29" hidden="1">
      <c r="A565" s="8">
        <f t="shared" si="17"/>
        <v>564</v>
      </c>
      <c r="B565" s="47" t="s">
        <v>2973</v>
      </c>
      <c r="C565" s="47" t="s">
        <v>3171</v>
      </c>
      <c r="D565" s="8" t="s">
        <v>3172</v>
      </c>
      <c r="E565" s="1" t="s">
        <v>769</v>
      </c>
      <c r="F565" s="1" t="s">
        <v>773</v>
      </c>
      <c r="G565" s="1" t="s">
        <v>3167</v>
      </c>
      <c r="H565" s="1" t="s">
        <v>3173</v>
      </c>
      <c r="I565" s="8">
        <v>260749</v>
      </c>
      <c r="J565" s="8">
        <v>2651361</v>
      </c>
      <c r="M565" s="1">
        <v>112</v>
      </c>
      <c r="N565" s="1" t="s">
        <v>3120</v>
      </c>
      <c r="O565" s="46">
        <v>45142.625</v>
      </c>
      <c r="P565" s="8" t="s">
        <v>3174</v>
      </c>
      <c r="R565" s="8" t="s">
        <v>3175</v>
      </c>
      <c r="S565" s="8" t="s">
        <v>3176</v>
      </c>
      <c r="T565" s="1">
        <v>89</v>
      </c>
      <c r="U565" s="1">
        <v>540</v>
      </c>
      <c r="V565" s="8">
        <v>300</v>
      </c>
      <c r="X565" s="8">
        <v>0.18</v>
      </c>
      <c r="Y565" s="8">
        <v>1800</v>
      </c>
      <c r="Z565" s="8">
        <v>2700</v>
      </c>
      <c r="AC565" s="8" t="str">
        <f>IF(COUNTIFS(作業區!$W$2:$W$2000, T565, 作業區!$X$2:$X$2000, U565)&gt;0, "已存在", "未擴充")</f>
        <v>已存在</v>
      </c>
    </row>
    <row r="566" spans="1:29">
      <c r="A566" s="8">
        <f t="shared" si="17"/>
        <v>565</v>
      </c>
      <c r="B566" s="8" t="s">
        <v>3177</v>
      </c>
      <c r="C566" s="1" t="s">
        <v>3178</v>
      </c>
      <c r="D566" s="8" t="s">
        <v>3179</v>
      </c>
      <c r="E566" s="1" t="s">
        <v>985</v>
      </c>
      <c r="F566" s="1" t="s">
        <v>3180</v>
      </c>
      <c r="G566" s="1" t="s">
        <v>2376</v>
      </c>
      <c r="I566" s="8">
        <v>299287</v>
      </c>
      <c r="J566" s="8">
        <v>2639466</v>
      </c>
      <c r="M566" s="1">
        <v>112</v>
      </c>
      <c r="N566" s="1" t="s">
        <v>3181</v>
      </c>
      <c r="O566" s="46">
        <v>45173.5</v>
      </c>
      <c r="P566" s="8" t="s">
        <v>3182</v>
      </c>
      <c r="R566" s="8" t="s">
        <v>3183</v>
      </c>
      <c r="S566" s="8" t="s">
        <v>3184</v>
      </c>
      <c r="T566" s="1">
        <v>3</v>
      </c>
      <c r="U566" s="1">
        <v>542</v>
      </c>
      <c r="V566" s="8">
        <v>450</v>
      </c>
      <c r="X566" s="8" t="s">
        <v>81</v>
      </c>
      <c r="Y566" s="8" t="s">
        <v>81</v>
      </c>
      <c r="Z566" s="8">
        <v>1675</v>
      </c>
      <c r="AC566" s="8" t="str">
        <f>IF(COUNTIFS(作業區!$W$2:$W$2000, T566, 作業區!$X$2:$X$2000, U566)&gt;0, "已存在", "未擴充")</f>
        <v>已存在</v>
      </c>
    </row>
    <row r="567" spans="1:29">
      <c r="A567" s="8">
        <f t="shared" si="17"/>
        <v>566</v>
      </c>
      <c r="B567" s="1" t="s">
        <v>739</v>
      </c>
      <c r="C567" s="1" t="s">
        <v>3185</v>
      </c>
      <c r="D567" s="8" t="s">
        <v>3186</v>
      </c>
      <c r="E567" s="1" t="s">
        <v>1482</v>
      </c>
      <c r="F567" s="1" t="s">
        <v>2137</v>
      </c>
      <c r="G567" s="1" t="s">
        <v>3187</v>
      </c>
      <c r="I567" s="8">
        <v>328153</v>
      </c>
      <c r="J567" s="8">
        <v>2710028</v>
      </c>
      <c r="M567" s="1">
        <v>112</v>
      </c>
      <c r="N567" s="1" t="s">
        <v>3181</v>
      </c>
      <c r="O567" s="46">
        <v>45172.631944444445</v>
      </c>
      <c r="P567" s="8" t="s">
        <v>3188</v>
      </c>
      <c r="R567" s="8" t="s">
        <v>3189</v>
      </c>
      <c r="S567" s="8" t="s">
        <v>3190</v>
      </c>
      <c r="T567" s="1">
        <v>45</v>
      </c>
      <c r="U567" s="1">
        <v>216</v>
      </c>
      <c r="V567" s="8">
        <v>500</v>
      </c>
      <c r="X567" s="8">
        <v>0.64</v>
      </c>
      <c r="Y567" s="8">
        <v>12800</v>
      </c>
      <c r="Z567" s="8">
        <v>9600</v>
      </c>
      <c r="AC567" s="8" t="str">
        <f>IF(COUNTIFS(作業區!$W$2:$W$2000, T567, 作業區!$X$2:$X$2000, U567)&gt;0, "已存在", "未擴充")</f>
        <v>已存在</v>
      </c>
    </row>
    <row r="568" spans="1:29">
      <c r="A568" s="8">
        <f t="shared" si="17"/>
        <v>567</v>
      </c>
      <c r="B568" s="34" t="s">
        <v>2829</v>
      </c>
      <c r="C568" s="47" t="s">
        <v>3191</v>
      </c>
      <c r="D568" s="8" t="s">
        <v>3192</v>
      </c>
      <c r="E568" s="60" t="s">
        <v>3193</v>
      </c>
      <c r="F568" s="1" t="s">
        <v>3194</v>
      </c>
      <c r="G568" s="1" t="s">
        <v>3195</v>
      </c>
      <c r="I568" s="8">
        <v>247501</v>
      </c>
      <c r="J568" s="8">
        <v>2574412</v>
      </c>
      <c r="M568" s="1">
        <v>112</v>
      </c>
      <c r="N568" s="1" t="s">
        <v>3196</v>
      </c>
      <c r="O568" s="46">
        <v>45137.5</v>
      </c>
      <c r="P568" s="8" t="s">
        <v>3197</v>
      </c>
      <c r="R568" s="8" t="s">
        <v>3198</v>
      </c>
      <c r="S568" s="8" t="s">
        <v>3199</v>
      </c>
      <c r="T568" s="1">
        <v>0</v>
      </c>
      <c r="U568" s="1">
        <v>279</v>
      </c>
      <c r="V568" s="8">
        <v>400</v>
      </c>
      <c r="X568" s="8" t="s">
        <v>81</v>
      </c>
      <c r="Y568" s="8">
        <v>31750</v>
      </c>
      <c r="Z568" s="8" t="s">
        <v>81</v>
      </c>
      <c r="AC568" s="8" t="str">
        <f>IF(COUNTIFS(作業區!$W$2:$W$2000, T568, 作業區!$X$2:$X$2000, U568)&gt;0, "已存在", "未擴充")</f>
        <v>已存在</v>
      </c>
    </row>
    <row r="569" spans="1:29">
      <c r="A569" s="8">
        <f t="shared" si="17"/>
        <v>568</v>
      </c>
      <c r="B569" s="34" t="s">
        <v>2829</v>
      </c>
      <c r="C569" s="47" t="s">
        <v>3200</v>
      </c>
      <c r="D569" s="8" t="s">
        <v>3201</v>
      </c>
      <c r="E569" s="1" t="s">
        <v>985</v>
      </c>
      <c r="F569" s="1" t="s">
        <v>2313</v>
      </c>
      <c r="G569" s="1" t="s">
        <v>3100</v>
      </c>
      <c r="I569" s="8">
        <v>309641</v>
      </c>
      <c r="J569" s="8">
        <v>2674439</v>
      </c>
      <c r="M569" s="1">
        <v>112</v>
      </c>
      <c r="N569" s="1" t="s">
        <v>3196</v>
      </c>
      <c r="O569" s="46">
        <v>45134.604166666664</v>
      </c>
      <c r="P569" s="8" t="s">
        <v>3202</v>
      </c>
      <c r="R569" s="8" t="s">
        <v>3203</v>
      </c>
      <c r="S569" s="8" t="s">
        <v>3204</v>
      </c>
      <c r="T569" s="1">
        <v>17</v>
      </c>
      <c r="U569" s="1">
        <v>534</v>
      </c>
      <c r="V569" s="8">
        <v>400</v>
      </c>
      <c r="X569" s="8">
        <v>0.75</v>
      </c>
      <c r="Y569" s="8">
        <v>7500</v>
      </c>
      <c r="Z569" s="8">
        <v>7500</v>
      </c>
      <c r="AC569" s="8" t="str">
        <f>IF(COUNTIFS(作業區!$W$2:$W$2000, T569, 作業區!$X$2:$X$2000, U569)&gt;0, "已存在", "未擴充")</f>
        <v>已存在</v>
      </c>
    </row>
    <row r="570" spans="1:29" hidden="1">
      <c r="A570" s="8">
        <f t="shared" si="17"/>
        <v>569</v>
      </c>
      <c r="B570" s="8" t="s">
        <v>3205</v>
      </c>
      <c r="C570" s="8" t="s">
        <v>3206</v>
      </c>
      <c r="D570" s="8" t="s">
        <v>3207</v>
      </c>
      <c r="E570" s="1" t="s">
        <v>1061</v>
      </c>
      <c r="F570" s="1" t="s">
        <v>781</v>
      </c>
      <c r="G570" s="1" t="s">
        <v>1277</v>
      </c>
      <c r="H570" s="1" t="s">
        <v>1563</v>
      </c>
      <c r="I570" s="8">
        <v>205404</v>
      </c>
      <c r="J570" s="8">
        <v>2585533</v>
      </c>
      <c r="M570" s="1">
        <v>112</v>
      </c>
      <c r="N570" s="59" t="s">
        <v>3208</v>
      </c>
      <c r="O570" s="46">
        <v>45179.833333333336</v>
      </c>
      <c r="P570" s="8" t="s">
        <v>3209</v>
      </c>
      <c r="R570" s="8" t="s">
        <v>3210</v>
      </c>
      <c r="S570" s="8" t="s">
        <v>2603</v>
      </c>
      <c r="T570" s="1">
        <v>25</v>
      </c>
      <c r="U570" s="1">
        <v>391</v>
      </c>
      <c r="V570" s="8">
        <v>300</v>
      </c>
      <c r="X570" s="8">
        <v>1.08</v>
      </c>
      <c r="Y570" s="8">
        <v>21600</v>
      </c>
      <c r="Z570" s="8">
        <v>18750</v>
      </c>
      <c r="AC570" s="8" t="str">
        <f>IF(COUNTIFS(作業區!$W$2:$W$2000, T570, 作業區!$X$2:$X$2000, U570)&gt;0, "已存在", "未擴充")</f>
        <v>已存在</v>
      </c>
    </row>
    <row r="571" spans="1:29">
      <c r="A571" s="8">
        <f t="shared" si="17"/>
        <v>570</v>
      </c>
      <c r="B571" s="8" t="s">
        <v>3205</v>
      </c>
      <c r="C571" s="8" t="s">
        <v>3211</v>
      </c>
      <c r="D571" s="8" t="s">
        <v>3207</v>
      </c>
      <c r="E571" s="1" t="s">
        <v>1061</v>
      </c>
      <c r="F571" s="1" t="s">
        <v>781</v>
      </c>
      <c r="G571" s="1" t="s">
        <v>1277</v>
      </c>
      <c r="H571" s="1" t="s">
        <v>1563</v>
      </c>
      <c r="I571" s="8">
        <v>205404</v>
      </c>
      <c r="J571" s="8">
        <v>2585533</v>
      </c>
      <c r="M571" s="1">
        <v>112</v>
      </c>
      <c r="N571" s="59" t="s">
        <v>3208</v>
      </c>
      <c r="O571" s="46">
        <v>45180.75</v>
      </c>
      <c r="P571" s="8" t="s">
        <v>3209</v>
      </c>
      <c r="R571" s="8" t="s">
        <v>3210</v>
      </c>
      <c r="S571" s="8" t="s">
        <v>2603</v>
      </c>
      <c r="T571" s="1">
        <v>0</v>
      </c>
      <c r="U571" s="1">
        <v>323</v>
      </c>
      <c r="V571" s="8">
        <v>300</v>
      </c>
      <c r="X571" s="8">
        <v>1.08</v>
      </c>
      <c r="Y571" s="8">
        <v>21600</v>
      </c>
      <c r="Z571" s="8">
        <v>18750</v>
      </c>
      <c r="AC571" s="8" t="str">
        <f>IF(COUNTIFS(作業區!$W$2:$W$2000, T571, 作業區!$X$2:$X$2000, U571)&gt;0, "已存在", "未擴充")</f>
        <v>已存在</v>
      </c>
    </row>
    <row r="572" spans="1:29">
      <c r="A572" s="8">
        <f t="shared" si="17"/>
        <v>571</v>
      </c>
      <c r="B572" s="8" t="s">
        <v>3205</v>
      </c>
      <c r="C572" s="8" t="s">
        <v>3212</v>
      </c>
      <c r="D572" s="8" t="s">
        <v>3213</v>
      </c>
      <c r="E572" s="1" t="s">
        <v>1061</v>
      </c>
      <c r="F572" s="1" t="s">
        <v>1062</v>
      </c>
      <c r="G572" s="1" t="s">
        <v>3214</v>
      </c>
      <c r="I572" s="8">
        <v>209912</v>
      </c>
      <c r="J572" s="8">
        <v>2600535</v>
      </c>
      <c r="M572" s="1">
        <v>112</v>
      </c>
      <c r="N572" s="59" t="s">
        <v>3208</v>
      </c>
      <c r="O572" s="46">
        <v>45179.791666666664</v>
      </c>
      <c r="P572" s="8" t="s">
        <v>3215</v>
      </c>
      <c r="R572" s="8" t="s">
        <v>2577</v>
      </c>
      <c r="S572" s="8" t="s">
        <v>2578</v>
      </c>
      <c r="T572" s="59">
        <v>43</v>
      </c>
      <c r="U572" s="59">
        <v>192</v>
      </c>
      <c r="V572" s="8">
        <v>400</v>
      </c>
      <c r="X572" s="8">
        <v>0.52</v>
      </c>
      <c r="Y572" s="8">
        <v>5200</v>
      </c>
      <c r="Z572" s="8">
        <v>5200</v>
      </c>
      <c r="AC572" s="8" t="str">
        <f>IF(COUNTIFS(作業區!$W$2:$W$2000, T572, 作業區!$X$2:$X$2000, U572)&gt;0, "已存在", "未擴充")</f>
        <v>已存在</v>
      </c>
    </row>
    <row r="573" spans="1:29">
      <c r="A573" s="8">
        <f t="shared" si="17"/>
        <v>572</v>
      </c>
      <c r="B573" s="1" t="s">
        <v>739</v>
      </c>
      <c r="C573" s="1" t="s">
        <v>3216</v>
      </c>
      <c r="D573" s="8" t="s">
        <v>3217</v>
      </c>
      <c r="E573" s="1" t="s">
        <v>769</v>
      </c>
      <c r="F573" s="1" t="s">
        <v>859</v>
      </c>
      <c r="G573" s="1" t="s">
        <v>3218</v>
      </c>
      <c r="H573" s="1" t="s">
        <v>3219</v>
      </c>
      <c r="I573" s="8">
        <v>241282</v>
      </c>
      <c r="J573" s="8">
        <v>2607370</v>
      </c>
      <c r="M573" s="1">
        <v>112</v>
      </c>
      <c r="N573" s="59" t="s">
        <v>3208</v>
      </c>
      <c r="O573" s="46">
        <v>45161.833333333336</v>
      </c>
      <c r="P573" s="8" t="s">
        <v>3220</v>
      </c>
      <c r="R573" s="8" t="s">
        <v>3221</v>
      </c>
      <c r="S573" s="8" t="s">
        <v>3222</v>
      </c>
      <c r="T573" s="1">
        <v>0</v>
      </c>
      <c r="U573" s="1">
        <v>6</v>
      </c>
      <c r="V573" s="8">
        <v>300</v>
      </c>
      <c r="X573" s="8">
        <v>0.75</v>
      </c>
      <c r="Y573" s="8" t="s">
        <v>81</v>
      </c>
      <c r="Z573" s="8">
        <v>15000</v>
      </c>
      <c r="AC573" s="8" t="str">
        <f>IF(COUNTIFS(作業區!$W$2:$W$2000, T573, 作業區!$X$2:$X$2000, U573)&gt;0, "已存在", "未擴充")</f>
        <v>已存在</v>
      </c>
    </row>
    <row r="574" spans="1:29">
      <c r="A574" s="8">
        <f t="shared" si="17"/>
        <v>573</v>
      </c>
      <c r="B574" s="1" t="s">
        <v>739</v>
      </c>
      <c r="C574" s="1" t="s">
        <v>3223</v>
      </c>
      <c r="D574" s="8" t="s">
        <v>3217</v>
      </c>
      <c r="E574" s="1" t="s">
        <v>769</v>
      </c>
      <c r="F574" s="1" t="s">
        <v>859</v>
      </c>
      <c r="G574" s="1" t="s">
        <v>3218</v>
      </c>
      <c r="H574" s="1" t="s">
        <v>3219</v>
      </c>
      <c r="I574" s="8">
        <v>241282</v>
      </c>
      <c r="J574" s="8">
        <v>2607370</v>
      </c>
      <c r="M574" s="1">
        <v>112</v>
      </c>
      <c r="N574" s="59" t="s">
        <v>3208</v>
      </c>
      <c r="O574" s="46">
        <v>45162.708333333336</v>
      </c>
      <c r="P574" s="8" t="s">
        <v>3220</v>
      </c>
      <c r="R574" s="8" t="s">
        <v>3221</v>
      </c>
      <c r="S574" s="8" t="s">
        <v>3222</v>
      </c>
      <c r="T574" s="1">
        <v>24</v>
      </c>
      <c r="U574" s="1">
        <v>46</v>
      </c>
      <c r="V574" s="8">
        <v>300</v>
      </c>
      <c r="X574" s="8">
        <v>0.75</v>
      </c>
      <c r="Y574" s="8" t="s">
        <v>81</v>
      </c>
      <c r="Z574" s="8">
        <v>15000</v>
      </c>
      <c r="AC574" s="8" t="str">
        <f>IF(COUNTIFS(作業區!$W$2:$W$2000, T574, 作業區!$X$2:$X$2000, U574)&gt;0, "已存在", "未擴充")</f>
        <v>已存在</v>
      </c>
    </row>
    <row r="575" spans="1:29">
      <c r="A575" s="8">
        <f t="shared" si="17"/>
        <v>574</v>
      </c>
      <c r="B575" s="1" t="s">
        <v>739</v>
      </c>
      <c r="C575" s="1" t="s">
        <v>3224</v>
      </c>
      <c r="D575" s="8" t="s">
        <v>3225</v>
      </c>
      <c r="E575" s="1" t="s">
        <v>1897</v>
      </c>
      <c r="F575" s="1" t="s">
        <v>1915</v>
      </c>
      <c r="G575" s="1" t="s">
        <v>3226</v>
      </c>
      <c r="I575" s="8">
        <v>228344</v>
      </c>
      <c r="J575" s="8">
        <v>2565172</v>
      </c>
      <c r="M575" s="1">
        <v>112</v>
      </c>
      <c r="N575" s="59" t="s">
        <v>3208</v>
      </c>
      <c r="O575" s="46">
        <v>45160.791666666664</v>
      </c>
      <c r="P575" s="8" t="s">
        <v>3227</v>
      </c>
      <c r="R575" s="8" t="s">
        <v>591</v>
      </c>
      <c r="S575" s="8" t="s">
        <v>2978</v>
      </c>
      <c r="T575" s="1">
        <v>7</v>
      </c>
      <c r="U575" s="1">
        <v>38</v>
      </c>
      <c r="V575" s="8">
        <v>300</v>
      </c>
      <c r="X575" s="8" t="s">
        <v>81</v>
      </c>
      <c r="Y575" s="8" t="s">
        <v>81</v>
      </c>
      <c r="Z575" s="25">
        <v>214000</v>
      </c>
      <c r="AC575" s="8" t="str">
        <f>IF(COUNTIFS(作業區!$W$2:$W$2000, T575, 作業區!$X$2:$X$2000, U575)&gt;0, "已存在", "未擴充")</f>
        <v>已存在</v>
      </c>
    </row>
    <row r="576" spans="1:29">
      <c r="A576" s="8">
        <f t="shared" si="17"/>
        <v>575</v>
      </c>
      <c r="B576" s="1" t="s">
        <v>739</v>
      </c>
      <c r="C576" s="1" t="s">
        <v>3228</v>
      </c>
      <c r="D576" s="8" t="s">
        <v>3225</v>
      </c>
      <c r="E576" s="1" t="s">
        <v>1897</v>
      </c>
      <c r="F576" s="1" t="s">
        <v>1915</v>
      </c>
      <c r="G576" s="1" t="s">
        <v>3226</v>
      </c>
      <c r="I576" s="8">
        <v>228344</v>
      </c>
      <c r="J576" s="8">
        <v>2565172</v>
      </c>
      <c r="M576" s="1">
        <v>112</v>
      </c>
      <c r="N576" s="59" t="s">
        <v>3208</v>
      </c>
      <c r="O576" s="46">
        <v>45161.75</v>
      </c>
      <c r="P576" s="8" t="s">
        <v>3227</v>
      </c>
      <c r="R576" s="8" t="s">
        <v>591</v>
      </c>
      <c r="S576" s="8" t="s">
        <v>2978</v>
      </c>
      <c r="T576" s="1">
        <v>2</v>
      </c>
      <c r="U576" s="1">
        <v>65</v>
      </c>
      <c r="V576" s="8">
        <v>300</v>
      </c>
      <c r="X576" s="8" t="s">
        <v>81</v>
      </c>
      <c r="Y576" s="8" t="s">
        <v>81</v>
      </c>
      <c r="Z576" s="25">
        <v>214000</v>
      </c>
      <c r="AC576" s="8" t="str">
        <f>IF(COUNTIFS(作業區!$W$2:$W$2000, T576, 作業區!$X$2:$X$2000, U576)&gt;0, "已存在", "未擴充")</f>
        <v>已存在</v>
      </c>
    </row>
    <row r="577" spans="1:29">
      <c r="A577" s="8">
        <f t="shared" si="17"/>
        <v>576</v>
      </c>
      <c r="B577" s="34" t="s">
        <v>2829</v>
      </c>
      <c r="C577" s="47" t="s">
        <v>3229</v>
      </c>
      <c r="D577" s="8" t="s">
        <v>3230</v>
      </c>
      <c r="E577" s="1" t="s">
        <v>769</v>
      </c>
      <c r="F577" s="1" t="s">
        <v>773</v>
      </c>
      <c r="G577" s="1" t="s">
        <v>877</v>
      </c>
      <c r="I577" s="8">
        <v>270546</v>
      </c>
      <c r="J577" s="8">
        <v>2667258</v>
      </c>
      <c r="M577" s="1">
        <v>112</v>
      </c>
      <c r="N577" s="59" t="s">
        <v>3208</v>
      </c>
      <c r="O577" s="46">
        <v>45109.458333333336</v>
      </c>
      <c r="P577" s="8" t="s">
        <v>3231</v>
      </c>
      <c r="R577" s="8" t="s">
        <v>3232</v>
      </c>
      <c r="S577" s="8" t="s">
        <v>3233</v>
      </c>
      <c r="T577" s="1">
        <v>0</v>
      </c>
      <c r="U577" s="1">
        <v>36</v>
      </c>
      <c r="V577" s="8">
        <v>300</v>
      </c>
      <c r="X577" s="8">
        <v>0.1</v>
      </c>
      <c r="Y577" s="8">
        <v>2000</v>
      </c>
      <c r="Z577" s="8">
        <v>2000</v>
      </c>
      <c r="AC577" s="8" t="str">
        <f>IF(COUNTIFS(作業區!$W$2:$W$2000, T577, 作業區!$X$2:$X$2000, U577)&gt;0, "已存在", "未擴充")</f>
        <v>已存在</v>
      </c>
    </row>
    <row r="578" spans="1:29">
      <c r="A578" s="8">
        <f t="shared" si="17"/>
        <v>577</v>
      </c>
      <c r="B578" s="34" t="s">
        <v>2829</v>
      </c>
      <c r="C578" s="47" t="s">
        <v>3234</v>
      </c>
      <c r="D578" s="8" t="s">
        <v>3235</v>
      </c>
      <c r="E578" s="1" t="s">
        <v>2306</v>
      </c>
      <c r="F578" s="1" t="s">
        <v>3236</v>
      </c>
      <c r="G578" s="1" t="s">
        <v>3237</v>
      </c>
      <c r="I578" s="8">
        <v>310206</v>
      </c>
      <c r="J578" s="8">
        <v>2789108</v>
      </c>
      <c r="M578" s="1">
        <v>112</v>
      </c>
      <c r="N578" s="59" t="s">
        <v>3208</v>
      </c>
      <c r="O578" s="46">
        <v>44962.916666666664</v>
      </c>
      <c r="P578" s="8" t="s">
        <v>3238</v>
      </c>
      <c r="R578" s="8" t="s">
        <v>3239</v>
      </c>
      <c r="S578" s="8" t="s">
        <v>3240</v>
      </c>
      <c r="T578" s="1">
        <v>7</v>
      </c>
      <c r="U578" s="1">
        <v>63</v>
      </c>
      <c r="V578" s="8">
        <v>500</v>
      </c>
      <c r="X578" s="8">
        <v>0.3</v>
      </c>
      <c r="Y578" s="8">
        <v>12000</v>
      </c>
      <c r="Z578" s="8">
        <v>12000</v>
      </c>
      <c r="AC578" s="8" t="str">
        <f>IF(COUNTIFS(作業區!$W$2:$W$2000, T578, 作業區!$X$2:$X$2000, U578)&gt;0, "已存在", "未擴充")</f>
        <v>已存在</v>
      </c>
    </row>
    <row r="579" spans="1:29">
      <c r="A579" s="8">
        <f t="shared" si="17"/>
        <v>578</v>
      </c>
      <c r="B579" s="1" t="s">
        <v>739</v>
      </c>
      <c r="C579" s="1" t="s">
        <v>3241</v>
      </c>
      <c r="D579" s="8" t="s">
        <v>3242</v>
      </c>
      <c r="E579" s="1" t="s">
        <v>985</v>
      </c>
      <c r="F579" s="1" t="s">
        <v>2313</v>
      </c>
      <c r="G579" s="1" t="s">
        <v>3243</v>
      </c>
      <c r="I579" s="8">
        <v>318080</v>
      </c>
      <c r="J579" s="8">
        <v>2678267</v>
      </c>
      <c r="M579" s="1">
        <v>113</v>
      </c>
      <c r="N579" s="1" t="s">
        <v>3244</v>
      </c>
      <c r="O579" s="46">
        <v>45404.625</v>
      </c>
      <c r="P579" s="8" t="s">
        <v>3245</v>
      </c>
      <c r="R579" s="8" t="s">
        <v>3246</v>
      </c>
      <c r="S579" s="8" t="s">
        <v>3247</v>
      </c>
      <c r="T579" s="1">
        <v>20.5</v>
      </c>
      <c r="U579" s="1">
        <v>49</v>
      </c>
      <c r="V579" s="8">
        <v>300</v>
      </c>
      <c r="X579" s="8">
        <v>0.8</v>
      </c>
      <c r="Y579" s="8">
        <v>16000</v>
      </c>
      <c r="Z579" s="8">
        <v>3600</v>
      </c>
      <c r="AC579" s="8" t="str">
        <f>IF(COUNTIFS(作業區!$W$2:$W$2000, T579, 作業區!$X$2:$X$2000, U579)&gt;0, "已存在", "未擴充")</f>
        <v>已存在</v>
      </c>
    </row>
    <row r="580" spans="1:29" hidden="1">
      <c r="A580" s="8">
        <f t="shared" si="17"/>
        <v>579</v>
      </c>
      <c r="B580" s="1" t="s">
        <v>739</v>
      </c>
      <c r="C580" s="1" t="s">
        <v>3248</v>
      </c>
      <c r="E580" s="1" t="s">
        <v>985</v>
      </c>
      <c r="F580" s="1" t="s">
        <v>2313</v>
      </c>
      <c r="G580" s="1" t="s">
        <v>3249</v>
      </c>
      <c r="H580" s="1" t="s">
        <v>3250</v>
      </c>
      <c r="I580" s="8">
        <v>322922</v>
      </c>
      <c r="J580" s="8">
        <v>2682566</v>
      </c>
      <c r="M580" s="1">
        <v>113</v>
      </c>
      <c r="N580" s="1" t="s">
        <v>3251</v>
      </c>
      <c r="O580" s="46">
        <v>45472.875</v>
      </c>
      <c r="P580" s="52" t="s">
        <v>3252</v>
      </c>
      <c r="R580" s="8" t="s">
        <v>3253</v>
      </c>
      <c r="S580" s="8" t="s">
        <v>3254</v>
      </c>
      <c r="T580" s="1">
        <v>15.5</v>
      </c>
      <c r="U580" s="1">
        <v>221.2</v>
      </c>
      <c r="V580" s="8">
        <v>300</v>
      </c>
      <c r="Y580" s="8"/>
      <c r="Z580" s="8">
        <v>1600</v>
      </c>
      <c r="AC580" s="8" t="str">
        <f>IF(COUNTIFS(作業區!$W$2:$W$2000, T580, 作業區!$X$2:$X$2000, U580)&gt;0, "已存在", "未擴充")</f>
        <v>已存在</v>
      </c>
    </row>
    <row r="581" spans="1:29">
      <c r="A581" s="8">
        <f t="shared" si="17"/>
        <v>580</v>
      </c>
      <c r="B581" s="1" t="s">
        <v>739</v>
      </c>
      <c r="C581" s="1" t="s">
        <v>3255</v>
      </c>
      <c r="D581" s="8" t="s">
        <v>3256</v>
      </c>
      <c r="E581" s="1" t="s">
        <v>985</v>
      </c>
      <c r="F581" s="1" t="s">
        <v>2313</v>
      </c>
      <c r="G581" s="1" t="s">
        <v>3243</v>
      </c>
      <c r="H581" s="1" t="s">
        <v>3257</v>
      </c>
      <c r="I581" s="8">
        <v>319974</v>
      </c>
      <c r="J581" s="8">
        <v>2679325</v>
      </c>
      <c r="M581" s="1">
        <v>113</v>
      </c>
      <c r="N581" s="1" t="s">
        <v>2354</v>
      </c>
      <c r="O581" s="46">
        <v>45464.6875</v>
      </c>
      <c r="P581" s="8" t="s">
        <v>3258</v>
      </c>
      <c r="R581" s="8" t="s">
        <v>684</v>
      </c>
      <c r="S581" s="8" t="s">
        <v>3247</v>
      </c>
      <c r="T581" s="1">
        <v>2</v>
      </c>
      <c r="U581" s="1">
        <v>48.2</v>
      </c>
      <c r="V581" s="8">
        <v>300</v>
      </c>
      <c r="Y581" s="8"/>
      <c r="Z581" s="8" t="s">
        <v>3259</v>
      </c>
      <c r="AC581" s="8" t="str">
        <f>IF(COUNTIFS(作業區!$W$2:$W$2000, T581, 作業區!$X$2:$X$2000, U581)&gt;0, "已存在", "未擴充")</f>
        <v>已存在</v>
      </c>
    </row>
    <row r="582" spans="1:29">
      <c r="A582" s="8">
        <f t="shared" si="17"/>
        <v>581</v>
      </c>
      <c r="B582" s="1" t="s">
        <v>739</v>
      </c>
      <c r="C582" s="1" t="s">
        <v>3260</v>
      </c>
      <c r="D582" s="8" t="s">
        <v>3261</v>
      </c>
      <c r="E582" s="1" t="s">
        <v>985</v>
      </c>
      <c r="F582" s="1" t="s">
        <v>2313</v>
      </c>
      <c r="G582" s="1" t="s">
        <v>3262</v>
      </c>
      <c r="H582" s="1" t="s">
        <v>3263</v>
      </c>
      <c r="I582" s="8">
        <v>311896</v>
      </c>
      <c r="J582" s="8">
        <v>2666867</v>
      </c>
      <c r="M582" s="1">
        <v>113</v>
      </c>
      <c r="N582" s="1" t="s">
        <v>2354</v>
      </c>
      <c r="O582" s="46">
        <v>45463.809027777781</v>
      </c>
      <c r="P582" s="8" t="s">
        <v>3264</v>
      </c>
      <c r="R582" s="8" t="s">
        <v>282</v>
      </c>
      <c r="S582" s="8" t="s">
        <v>3265</v>
      </c>
      <c r="T582" s="1">
        <v>4.5</v>
      </c>
      <c r="U582" s="1">
        <v>45.3</v>
      </c>
      <c r="V582" s="8">
        <v>300</v>
      </c>
      <c r="Y582" s="8"/>
      <c r="Z582" s="8">
        <v>22800</v>
      </c>
      <c r="AC582" s="8" t="str">
        <f>IF(COUNTIFS(作業區!$W$2:$W$2000, T582, 作業區!$X$2:$X$2000, U582)&gt;0, "已存在", "未擴充")</f>
        <v>已存在</v>
      </c>
    </row>
    <row r="583" spans="1:29" hidden="1">
      <c r="A583" s="8">
        <f t="shared" si="17"/>
        <v>582</v>
      </c>
      <c r="B583" s="1" t="s">
        <v>739</v>
      </c>
      <c r="C583" s="1" t="s">
        <v>3266</v>
      </c>
      <c r="D583" s="8" t="s">
        <v>3207</v>
      </c>
      <c r="E583" s="8" t="s">
        <v>1061</v>
      </c>
      <c r="F583" s="1" t="s">
        <v>781</v>
      </c>
      <c r="G583" s="1" t="s">
        <v>1277</v>
      </c>
      <c r="H583" s="1" t="s">
        <v>1563</v>
      </c>
      <c r="I583" s="8">
        <v>205404</v>
      </c>
      <c r="J583" s="8">
        <v>2585533</v>
      </c>
      <c r="M583" s="1">
        <v>113</v>
      </c>
      <c r="N583" s="1" t="s">
        <v>2354</v>
      </c>
      <c r="O583" s="46">
        <v>45450.708333333336</v>
      </c>
      <c r="P583" s="8" t="s">
        <v>3267</v>
      </c>
      <c r="R583" s="8" t="s">
        <v>189</v>
      </c>
      <c r="S583" s="8" t="s">
        <v>3268</v>
      </c>
      <c r="T583" s="1">
        <v>3.5</v>
      </c>
      <c r="U583" s="1">
        <v>15</v>
      </c>
      <c r="V583" s="8">
        <v>300</v>
      </c>
      <c r="Y583" s="8"/>
      <c r="Z583" s="8">
        <v>1365</v>
      </c>
      <c r="AC583" s="8" t="str">
        <f>IF(COUNTIFS(作業區!$W$2:$W$2000, T583, 作業區!$X$2:$X$2000, U583)&gt;0, "已存在", "未擴充")</f>
        <v>已存在</v>
      </c>
    </row>
    <row r="584" spans="1:29">
      <c r="A584" s="8">
        <f t="shared" si="17"/>
        <v>583</v>
      </c>
      <c r="B584" s="1" t="s">
        <v>739</v>
      </c>
      <c r="C584" s="1" t="s">
        <v>3269</v>
      </c>
      <c r="D584" s="8" t="s">
        <v>3270</v>
      </c>
      <c r="E584" s="1" t="s">
        <v>914</v>
      </c>
      <c r="F584" s="1" t="s">
        <v>3271</v>
      </c>
      <c r="G584" s="1" t="s">
        <v>3272</v>
      </c>
      <c r="I584" s="8">
        <v>330811</v>
      </c>
      <c r="J584" s="8">
        <v>2781519</v>
      </c>
      <c r="M584" s="1">
        <v>113</v>
      </c>
      <c r="N584" s="1" t="s">
        <v>2354</v>
      </c>
      <c r="O584" s="46">
        <v>45446.602777777778</v>
      </c>
      <c r="P584" s="8" t="s">
        <v>3273</v>
      </c>
      <c r="R584" s="8" t="s">
        <v>3274</v>
      </c>
      <c r="S584" s="8" t="s">
        <v>3275</v>
      </c>
      <c r="T584" s="1">
        <v>0</v>
      </c>
      <c r="U584" s="1">
        <v>48.7</v>
      </c>
      <c r="V584" s="8">
        <v>550</v>
      </c>
      <c r="Y584" s="8">
        <v>12000</v>
      </c>
      <c r="Z584" s="8">
        <v>12000</v>
      </c>
      <c r="AC584" s="8" t="str">
        <f>IF(COUNTIFS(作業區!$W$2:$W$2000, T584, 作業區!$X$2:$X$2000, U584)&gt;0, "已存在", "未擴充")</f>
        <v>已存在</v>
      </c>
    </row>
    <row r="585" spans="1:29">
      <c r="A585" s="8">
        <f t="shared" ref="A585:A650" si="19">ROW(A585)-1</f>
        <v>584</v>
      </c>
      <c r="B585" s="1" t="s">
        <v>739</v>
      </c>
      <c r="C585" s="1" t="s">
        <v>3248</v>
      </c>
      <c r="D585" s="8" t="s">
        <v>3276</v>
      </c>
      <c r="E585" s="1" t="s">
        <v>769</v>
      </c>
      <c r="F585" s="1" t="s">
        <v>859</v>
      </c>
      <c r="G585" s="1" t="s">
        <v>3218</v>
      </c>
      <c r="H585" s="1" t="s">
        <v>3219</v>
      </c>
      <c r="I585" s="8">
        <v>241282</v>
      </c>
      <c r="J585" s="8">
        <v>2607370</v>
      </c>
      <c r="M585" s="1">
        <v>113</v>
      </c>
      <c r="N585" s="1" t="s">
        <v>2354</v>
      </c>
      <c r="O585" s="46">
        <v>45440.5</v>
      </c>
      <c r="P585" s="8" t="s">
        <v>3277</v>
      </c>
      <c r="R585" s="8" t="s">
        <v>3278</v>
      </c>
      <c r="S585" s="8" t="s">
        <v>3279</v>
      </c>
      <c r="T585" s="1">
        <v>17.5</v>
      </c>
      <c r="U585" s="1">
        <v>102</v>
      </c>
      <c r="V585" s="8">
        <v>300</v>
      </c>
      <c r="Y585" s="8"/>
      <c r="Z585" s="8">
        <v>2000</v>
      </c>
      <c r="AC585" s="8" t="str">
        <f>IF(COUNTIFS(作業區!$W$2:$W$2000, T585, 作業區!$X$2:$X$2000, U585)&gt;0, "已存在", "未擴充")</f>
        <v>已存在</v>
      </c>
    </row>
    <row r="586" spans="1:29" hidden="1">
      <c r="A586" s="8">
        <f t="shared" si="19"/>
        <v>585</v>
      </c>
      <c r="B586" s="1" t="s">
        <v>739</v>
      </c>
      <c r="C586" s="1" t="s">
        <v>3280</v>
      </c>
      <c r="D586" s="8" t="s">
        <v>3281</v>
      </c>
      <c r="E586" s="1" t="s">
        <v>985</v>
      </c>
      <c r="F586" s="1" t="s">
        <v>2313</v>
      </c>
      <c r="G586" s="1" t="s">
        <v>3249</v>
      </c>
      <c r="H586" s="1" t="s">
        <v>3282</v>
      </c>
      <c r="I586" s="8">
        <v>321993</v>
      </c>
      <c r="J586" s="8">
        <v>2681310</v>
      </c>
      <c r="M586" s="1">
        <v>113</v>
      </c>
      <c r="N586" s="1" t="s">
        <v>2354</v>
      </c>
      <c r="O586" s="46">
        <v>45404.618055555555</v>
      </c>
      <c r="P586" s="8" t="s">
        <v>3283</v>
      </c>
      <c r="R586" s="8" t="s">
        <v>276</v>
      </c>
      <c r="S586" s="8" t="s">
        <v>3254</v>
      </c>
      <c r="T586" s="1">
        <v>75</v>
      </c>
      <c r="U586" s="1">
        <v>90</v>
      </c>
      <c r="V586" s="8">
        <v>300</v>
      </c>
      <c r="X586" s="8">
        <v>2</v>
      </c>
      <c r="Y586" s="8">
        <v>20000</v>
      </c>
      <c r="Z586" s="8">
        <v>9100</v>
      </c>
      <c r="AC586" s="8" t="str">
        <f>IF(COUNTIFS(作業區!$W$2:$W$2000, T586, 作業區!$X$2:$X$2000, U586)&gt;0, "已存在", "未擴充")</f>
        <v>已存在</v>
      </c>
    </row>
    <row r="587" spans="1:29" hidden="1">
      <c r="A587" s="8">
        <f t="shared" si="19"/>
        <v>586</v>
      </c>
      <c r="B587" s="1" t="s">
        <v>739</v>
      </c>
      <c r="C587" s="1" t="s">
        <v>3284</v>
      </c>
      <c r="E587" s="1" t="s">
        <v>769</v>
      </c>
      <c r="F587" s="1" t="s">
        <v>859</v>
      </c>
      <c r="G587" s="1" t="s">
        <v>1404</v>
      </c>
      <c r="H587" s="1" t="s">
        <v>2386</v>
      </c>
      <c r="I587" s="8">
        <v>236018</v>
      </c>
      <c r="J587" s="8">
        <v>2623551</v>
      </c>
      <c r="M587" s="1">
        <v>113</v>
      </c>
      <c r="N587" s="1" t="s">
        <v>3285</v>
      </c>
      <c r="O587" s="46">
        <v>45499.458333333336</v>
      </c>
      <c r="P587" s="8" t="s">
        <v>3286</v>
      </c>
      <c r="R587" s="8" t="s">
        <v>3287</v>
      </c>
      <c r="S587" s="8" t="s">
        <v>3288</v>
      </c>
      <c r="T587" s="1">
        <v>6.5</v>
      </c>
      <c r="U587" s="1">
        <v>519.20000000000005</v>
      </c>
      <c r="V587" s="8">
        <v>300</v>
      </c>
      <c r="Z587" s="8">
        <v>14000</v>
      </c>
      <c r="AC587" s="8" t="str">
        <f>IF(COUNTIFS(作業區!$W$2:$W$2000, T587, 作業區!$X$2:$X$2000, U587)&gt;0, "已存在", "未擴充")</f>
        <v>已存在</v>
      </c>
    </row>
    <row r="588" spans="1:29" hidden="1">
      <c r="A588" s="8">
        <f t="shared" si="19"/>
        <v>587</v>
      </c>
      <c r="B588" s="1" t="s">
        <v>739</v>
      </c>
      <c r="C588" s="1" t="s">
        <v>3284</v>
      </c>
      <c r="D588" s="8" t="s">
        <v>3289</v>
      </c>
      <c r="E588" s="1" t="s">
        <v>1897</v>
      </c>
      <c r="F588" s="1" t="s">
        <v>1915</v>
      </c>
      <c r="G588" s="1" t="s">
        <v>3226</v>
      </c>
      <c r="H588" s="1" t="s">
        <v>3290</v>
      </c>
      <c r="I588" s="8">
        <v>227590</v>
      </c>
      <c r="J588" s="8">
        <v>2564114</v>
      </c>
      <c r="M588" s="1">
        <v>113</v>
      </c>
      <c r="N588" s="1" t="s">
        <v>3285</v>
      </c>
      <c r="O588" s="46">
        <v>45499.25</v>
      </c>
      <c r="P588" s="8" t="s">
        <v>3291</v>
      </c>
      <c r="R588" s="8" t="s">
        <v>591</v>
      </c>
      <c r="S588" s="8" t="s">
        <v>2978</v>
      </c>
      <c r="T588" s="1">
        <v>32</v>
      </c>
      <c r="U588" s="1">
        <v>1103.7</v>
      </c>
      <c r="V588" s="8">
        <v>300</v>
      </c>
      <c r="X588" s="8">
        <v>0.2</v>
      </c>
      <c r="Y588" s="25">
        <v>5600</v>
      </c>
      <c r="Z588" s="25">
        <v>5600</v>
      </c>
      <c r="AC588" s="8" t="str">
        <f>IF(COUNTIFS(作業區!$W$2:$W$2000, T588, 作業區!$X$2:$X$2000, U588)&gt;0, "已存在", "未擴充")</f>
        <v>已存在</v>
      </c>
    </row>
    <row r="589" spans="1:29">
      <c r="A589" s="8">
        <f t="shared" si="19"/>
        <v>588</v>
      </c>
      <c r="B589" s="1" t="s">
        <v>739</v>
      </c>
      <c r="C589" s="1" t="s">
        <v>3284</v>
      </c>
      <c r="D589" s="8" t="s">
        <v>3292</v>
      </c>
      <c r="E589" s="1" t="s">
        <v>1897</v>
      </c>
      <c r="F589" s="1" t="s">
        <v>1915</v>
      </c>
      <c r="G589" s="1" t="s">
        <v>3226</v>
      </c>
      <c r="H589" s="1" t="s">
        <v>3293</v>
      </c>
      <c r="I589" s="8">
        <v>227084</v>
      </c>
      <c r="J589" s="8">
        <v>2563033</v>
      </c>
      <c r="M589" s="1">
        <v>113</v>
      </c>
      <c r="N589" s="1" t="s">
        <v>3285</v>
      </c>
      <c r="O589" s="46">
        <v>45498.916666666664</v>
      </c>
      <c r="P589" s="8" t="s">
        <v>3294</v>
      </c>
      <c r="R589" s="8" t="s">
        <v>591</v>
      </c>
      <c r="S589" s="8" t="s">
        <v>2978</v>
      </c>
      <c r="T589" s="1">
        <v>4</v>
      </c>
      <c r="U589" s="1">
        <v>1162.7</v>
      </c>
      <c r="V589" s="8">
        <v>300</v>
      </c>
      <c r="Z589" s="25">
        <v>37500</v>
      </c>
      <c r="AC589" s="8" t="str">
        <f>IF(COUNTIFS(作業區!$W$2:$W$2000, T589, 作業區!$X$2:$X$2000, U589)&gt;0, "已存在", "未擴充")</f>
        <v>已存在</v>
      </c>
    </row>
    <row r="590" spans="1:29" hidden="1">
      <c r="A590" s="8">
        <f t="shared" si="19"/>
        <v>589</v>
      </c>
      <c r="B590" s="1" t="s">
        <v>739</v>
      </c>
      <c r="C590" s="1" t="s">
        <v>3295</v>
      </c>
      <c r="D590" s="8" t="s">
        <v>3296</v>
      </c>
      <c r="E590" s="1" t="s">
        <v>1897</v>
      </c>
      <c r="F590" s="1" t="s">
        <v>1908</v>
      </c>
      <c r="G590" s="1" t="s">
        <v>1929</v>
      </c>
      <c r="H590" s="1" t="s">
        <v>1237</v>
      </c>
      <c r="I590" s="8">
        <v>214626</v>
      </c>
      <c r="J590" s="8">
        <v>2542339</v>
      </c>
      <c r="M590" s="1">
        <v>113</v>
      </c>
      <c r="N590" s="1" t="s">
        <v>3285</v>
      </c>
      <c r="O590" s="46">
        <v>45498.5</v>
      </c>
      <c r="P590" s="8" t="s">
        <v>3297</v>
      </c>
      <c r="R590" s="8" t="s">
        <v>3298</v>
      </c>
      <c r="S590" s="8" t="s">
        <v>3299</v>
      </c>
      <c r="T590" s="1">
        <v>89.5</v>
      </c>
      <c r="U590" s="1">
        <v>796.8</v>
      </c>
      <c r="V590" s="8">
        <v>350</v>
      </c>
      <c r="X590" s="8">
        <v>0.75</v>
      </c>
      <c r="Y590" s="25">
        <v>30000</v>
      </c>
      <c r="Z590" s="25">
        <v>30000</v>
      </c>
      <c r="AC590" s="8" t="str">
        <f>IF(COUNTIFS(作業區!$W$2:$W$2000, T590, 作業區!$X$2:$X$2000, U590)&gt;0, "已存在", "未擴充")</f>
        <v>已存在</v>
      </c>
    </row>
    <row r="591" spans="1:29" hidden="1">
      <c r="A591" s="8">
        <f t="shared" si="19"/>
        <v>590</v>
      </c>
      <c r="B591" s="1" t="s">
        <v>739</v>
      </c>
      <c r="C591" s="1" t="s">
        <v>3295</v>
      </c>
      <c r="D591" s="8" t="s">
        <v>3300</v>
      </c>
      <c r="E591" s="1" t="s">
        <v>1897</v>
      </c>
      <c r="F591" s="1" t="s">
        <v>1908</v>
      </c>
      <c r="G591" s="1" t="s">
        <v>1968</v>
      </c>
      <c r="H591" s="1" t="s">
        <v>805</v>
      </c>
      <c r="I591" s="8">
        <v>213947</v>
      </c>
      <c r="J591" s="8">
        <v>2534777</v>
      </c>
      <c r="M591" s="1">
        <v>113</v>
      </c>
      <c r="N591" s="1" t="s">
        <v>3285</v>
      </c>
      <c r="O591" s="46">
        <v>45498.458333333336</v>
      </c>
      <c r="P591" s="8" t="s">
        <v>3301</v>
      </c>
      <c r="R591" s="8" t="s">
        <v>233</v>
      </c>
      <c r="S591" s="8" t="s">
        <v>1239</v>
      </c>
      <c r="T591" s="1">
        <v>105.5</v>
      </c>
      <c r="U591" s="1">
        <v>861.5</v>
      </c>
      <c r="V591" s="8">
        <v>350</v>
      </c>
      <c r="Z591" s="25">
        <v>200000</v>
      </c>
      <c r="AC591" s="8" t="str">
        <f>IF(COUNTIFS(作業區!$W$2:$W$2000, T591, 作業區!$X$2:$X$2000, U591)&gt;0, "已存在", "未擴充")</f>
        <v>已存在</v>
      </c>
    </row>
    <row r="592" spans="1:29" hidden="1">
      <c r="A592" s="8">
        <f t="shared" si="19"/>
        <v>591</v>
      </c>
      <c r="B592" s="1" t="s">
        <v>3117</v>
      </c>
      <c r="C592" s="1" t="s">
        <v>3302</v>
      </c>
      <c r="D592" s="8" t="s">
        <v>3303</v>
      </c>
      <c r="E592" s="1" t="s">
        <v>1482</v>
      </c>
      <c r="F592" s="1" t="s">
        <v>2026</v>
      </c>
      <c r="G592" s="1" t="s">
        <v>3304</v>
      </c>
      <c r="H592" s="1" t="s">
        <v>3305</v>
      </c>
      <c r="I592" s="8">
        <v>334266</v>
      </c>
      <c r="J592" s="8">
        <v>2709721</v>
      </c>
      <c r="M592" s="1">
        <v>113</v>
      </c>
      <c r="N592" s="1" t="s">
        <v>3285</v>
      </c>
      <c r="O592" s="46">
        <v>45498.435416666667</v>
      </c>
      <c r="P592" s="8" t="s">
        <v>3306</v>
      </c>
      <c r="R592" s="8" t="s">
        <v>3307</v>
      </c>
      <c r="S592" s="8" t="s">
        <v>3308</v>
      </c>
      <c r="T592" s="1">
        <v>5</v>
      </c>
      <c r="U592" s="1">
        <v>446</v>
      </c>
      <c r="V592" s="8">
        <v>400</v>
      </c>
      <c r="Z592" s="25">
        <v>28500</v>
      </c>
      <c r="AC592" s="8" t="str">
        <f>IF(COUNTIFS(作業區!$W$2:$W$2000, T592, 作業區!$X$2:$X$2000, U592)&gt;0, "已存在", "未擴充")</f>
        <v>已存在</v>
      </c>
    </row>
    <row r="593" spans="1:29" hidden="1">
      <c r="A593" s="8">
        <f t="shared" si="19"/>
        <v>592</v>
      </c>
      <c r="B593" s="1" t="s">
        <v>3309</v>
      </c>
      <c r="C593" s="1" t="s">
        <v>3310</v>
      </c>
      <c r="D593" s="8" t="s">
        <v>3311</v>
      </c>
      <c r="E593" s="1" t="s">
        <v>1897</v>
      </c>
      <c r="F593" s="1" t="s">
        <v>1908</v>
      </c>
      <c r="G593" s="1" t="s">
        <v>1929</v>
      </c>
      <c r="H593" s="1" t="s">
        <v>3312</v>
      </c>
      <c r="I593" s="8">
        <v>214395</v>
      </c>
      <c r="J593" s="8">
        <v>2541350</v>
      </c>
      <c r="M593" s="1">
        <v>113</v>
      </c>
      <c r="N593" s="1" t="s">
        <v>3285</v>
      </c>
      <c r="O593" s="46">
        <v>45498.291666666664</v>
      </c>
      <c r="P593" s="8" t="s">
        <v>3313</v>
      </c>
      <c r="R593" s="8" t="s">
        <v>241</v>
      </c>
      <c r="S593" s="8" t="s">
        <v>2913</v>
      </c>
      <c r="T593" s="1">
        <v>53.5</v>
      </c>
      <c r="U593" s="1">
        <v>559.5</v>
      </c>
      <c r="V593" s="8">
        <v>350</v>
      </c>
      <c r="Z593" s="25">
        <v>23000</v>
      </c>
      <c r="AC593" s="8" t="str">
        <f>IF(COUNTIFS(作業區!$W$2:$W$2000, T593, 作業區!$X$2:$X$2000, U593)&gt;0, "已存在", "未擴充")</f>
        <v>已存在</v>
      </c>
    </row>
    <row r="594" spans="1:29">
      <c r="A594" s="8">
        <f t="shared" si="19"/>
        <v>593</v>
      </c>
      <c r="B594" s="1" t="s">
        <v>3314</v>
      </c>
      <c r="C594" s="1" t="s">
        <v>3315</v>
      </c>
      <c r="D594" s="8" t="s">
        <v>3311</v>
      </c>
      <c r="E594" s="1" t="s">
        <v>1897</v>
      </c>
      <c r="F594" s="1" t="s">
        <v>1908</v>
      </c>
      <c r="G594" s="1" t="s">
        <v>1929</v>
      </c>
      <c r="H594" s="1" t="s">
        <v>3316</v>
      </c>
      <c r="I594" s="8">
        <v>214285</v>
      </c>
      <c r="J594" s="8">
        <v>2540984</v>
      </c>
      <c r="M594" s="1">
        <v>113</v>
      </c>
      <c r="N594" s="1" t="s">
        <v>3285</v>
      </c>
      <c r="O594" s="46">
        <v>45499.625</v>
      </c>
      <c r="P594" s="8" t="s">
        <v>3317</v>
      </c>
      <c r="R594" s="8" t="s">
        <v>241</v>
      </c>
      <c r="S594" s="8" t="s">
        <v>2913</v>
      </c>
      <c r="T594" s="1">
        <v>35.5</v>
      </c>
      <c r="U594" s="1">
        <v>1066.0999999999999</v>
      </c>
      <c r="V594" s="8">
        <v>350</v>
      </c>
      <c r="X594" s="8">
        <v>0.14000000000000001</v>
      </c>
      <c r="Z594" s="25" t="s">
        <v>3318</v>
      </c>
      <c r="AC594" s="8" t="str">
        <f>IF(COUNTIFS(作業區!$W$2:$W$2000, T594, 作業區!$X$2:$X$2000, U594)&gt;0, "已存在", "未擴充")</f>
        <v>已存在</v>
      </c>
    </row>
    <row r="595" spans="1:29" hidden="1">
      <c r="A595" s="8">
        <f t="shared" si="19"/>
        <v>594</v>
      </c>
      <c r="B595" s="1" t="s">
        <v>3309</v>
      </c>
      <c r="C595" s="1" t="s">
        <v>3319</v>
      </c>
      <c r="D595" s="8" t="s">
        <v>3320</v>
      </c>
      <c r="E595" s="1" t="s">
        <v>985</v>
      </c>
      <c r="F595" s="1" t="s">
        <v>2313</v>
      </c>
      <c r="G595" s="1" t="s">
        <v>3243</v>
      </c>
      <c r="H595" s="1" t="s">
        <v>3321</v>
      </c>
      <c r="I595" s="8">
        <v>316316</v>
      </c>
      <c r="J595" s="8">
        <v>2673349</v>
      </c>
      <c r="M595" s="1">
        <v>113</v>
      </c>
      <c r="N595" s="1" t="s">
        <v>3285</v>
      </c>
      <c r="O595" s="46">
        <v>45498.291666666664</v>
      </c>
      <c r="P595" s="8" t="s">
        <v>3322</v>
      </c>
      <c r="R595" s="8" t="s">
        <v>691</v>
      </c>
      <c r="S595" s="8" t="s">
        <v>3323</v>
      </c>
      <c r="T595" s="1">
        <v>27</v>
      </c>
      <c r="U595" s="1">
        <v>403.7</v>
      </c>
      <c r="V595" s="8">
        <v>300</v>
      </c>
      <c r="Z595" s="25">
        <v>2800</v>
      </c>
      <c r="AC595" s="8" t="str">
        <f>IF(COUNTIFS(作業區!$W$2:$W$2000, T595, 作業區!$X$2:$X$2000, U595)&gt;0, "已存在", "未擴充")</f>
        <v>已存在</v>
      </c>
    </row>
    <row r="596" spans="1:29" hidden="1">
      <c r="A596" s="8">
        <f t="shared" si="19"/>
        <v>595</v>
      </c>
      <c r="B596" s="1" t="s">
        <v>3309</v>
      </c>
      <c r="C596" s="1" t="s">
        <v>3324</v>
      </c>
      <c r="E596" s="1" t="s">
        <v>985</v>
      </c>
      <c r="F596" s="1" t="s">
        <v>2313</v>
      </c>
      <c r="G596" s="1" t="s">
        <v>3249</v>
      </c>
      <c r="H596" s="1" t="s">
        <v>3282</v>
      </c>
      <c r="I596" s="8">
        <v>321993</v>
      </c>
      <c r="J596" s="8">
        <v>2681310</v>
      </c>
      <c r="M596" s="1">
        <v>113</v>
      </c>
      <c r="N596" s="1" t="s">
        <v>3285</v>
      </c>
      <c r="O596" s="46">
        <v>45498.208333333336</v>
      </c>
      <c r="P596" s="8" t="s">
        <v>3325</v>
      </c>
      <c r="R596" s="8" t="s">
        <v>278</v>
      </c>
      <c r="S596" s="8" t="s">
        <v>3326</v>
      </c>
      <c r="T596" s="1">
        <v>23</v>
      </c>
      <c r="U596" s="1">
        <v>504</v>
      </c>
      <c r="V596" s="8">
        <v>200</v>
      </c>
      <c r="Z596" s="25">
        <v>30000</v>
      </c>
      <c r="AC596" s="8" t="str">
        <f>IF(COUNTIFS(作業區!$W$2:$W$2000, T596, 作業區!$X$2:$X$2000, U596)&gt;0, "已存在", "未擴充")</f>
        <v>已存在</v>
      </c>
    </row>
    <row r="597" spans="1:29" hidden="1">
      <c r="A597" s="8">
        <f t="shared" si="19"/>
        <v>596</v>
      </c>
      <c r="B597" s="1" t="s">
        <v>3309</v>
      </c>
      <c r="C597" s="61" t="s">
        <v>3327</v>
      </c>
      <c r="E597" s="1" t="s">
        <v>869</v>
      </c>
      <c r="F597" s="1" t="s">
        <v>1581</v>
      </c>
      <c r="G597" s="1" t="s">
        <v>2635</v>
      </c>
      <c r="H597" s="1" t="s">
        <v>2636</v>
      </c>
      <c r="I597" s="8">
        <v>209801</v>
      </c>
      <c r="J597" s="8">
        <v>2611288</v>
      </c>
      <c r="M597" s="1">
        <v>113</v>
      </c>
      <c r="N597" s="1" t="s">
        <v>3285</v>
      </c>
      <c r="O597" s="46">
        <v>45498.208333333336</v>
      </c>
      <c r="P597" s="8" t="s">
        <v>3328</v>
      </c>
      <c r="R597" s="8" t="s">
        <v>181</v>
      </c>
      <c r="S597" s="8" t="s">
        <v>3329</v>
      </c>
      <c r="T597" s="1">
        <v>33.5</v>
      </c>
      <c r="U597" s="1">
        <v>371.5</v>
      </c>
      <c r="V597" s="8">
        <v>400</v>
      </c>
      <c r="X597" s="8">
        <v>1.5</v>
      </c>
      <c r="Y597" s="25">
        <v>15000</v>
      </c>
      <c r="Z597" s="25">
        <v>15000</v>
      </c>
      <c r="AC597" s="8" t="str">
        <f>IF(COUNTIFS(作業區!$W$2:$W$2000, T597, 作業區!$X$2:$X$2000, U597)&gt;0, "已存在", "未擴充")</f>
        <v>已存在</v>
      </c>
    </row>
    <row r="598" spans="1:29">
      <c r="A598" s="8">
        <f t="shared" si="19"/>
        <v>597</v>
      </c>
      <c r="B598" s="1" t="s">
        <v>3117</v>
      </c>
      <c r="C598" s="1" t="s">
        <v>3330</v>
      </c>
      <c r="D598" s="8" t="s">
        <v>3213</v>
      </c>
      <c r="E598" s="1" t="s">
        <v>1061</v>
      </c>
      <c r="F598" s="1" t="s">
        <v>1062</v>
      </c>
      <c r="G598" s="1" t="s">
        <v>3214</v>
      </c>
      <c r="I598" s="8">
        <v>209908</v>
      </c>
      <c r="J598" s="8">
        <v>2600535</v>
      </c>
      <c r="M598" s="1">
        <v>113</v>
      </c>
      <c r="N598" s="1" t="s">
        <v>3285</v>
      </c>
      <c r="O598" s="46">
        <v>45498.166666666664</v>
      </c>
      <c r="P598" s="8" t="s">
        <v>3331</v>
      </c>
      <c r="R598" s="8" t="s">
        <v>3332</v>
      </c>
      <c r="S598" s="8" t="s">
        <v>3333</v>
      </c>
      <c r="T598" s="1">
        <v>54</v>
      </c>
      <c r="U598" s="1">
        <v>394.8</v>
      </c>
      <c r="V598" s="8">
        <v>400</v>
      </c>
      <c r="Z598" s="25">
        <v>9000</v>
      </c>
      <c r="AC598" s="8" t="str">
        <f>IF(COUNTIFS(作業區!$W$2:$W$2000, T598, 作業區!$X$2:$X$2000, U598)&gt;0, "已存在", "未擴充")</f>
        <v>已存在</v>
      </c>
    </row>
    <row r="599" spans="1:29" hidden="1">
      <c r="A599" s="8">
        <f t="shared" si="19"/>
        <v>598</v>
      </c>
      <c r="B599" s="62" t="s">
        <v>739</v>
      </c>
      <c r="C599" s="62" t="s">
        <v>3334</v>
      </c>
      <c r="D599" s="8" t="s">
        <v>3335</v>
      </c>
      <c r="E599" s="1" t="s">
        <v>769</v>
      </c>
      <c r="F599" s="1" t="s">
        <v>859</v>
      </c>
      <c r="G599" s="1" t="s">
        <v>1404</v>
      </c>
      <c r="H599" s="1" t="s">
        <v>2632</v>
      </c>
      <c r="I599" s="8">
        <v>235143</v>
      </c>
      <c r="J599" s="8">
        <v>2621919</v>
      </c>
      <c r="M599" s="1">
        <v>113</v>
      </c>
      <c r="N599" s="1" t="s">
        <v>3285</v>
      </c>
      <c r="O599" s="46">
        <v>45498.125</v>
      </c>
      <c r="P599" s="8" t="s">
        <v>3336</v>
      </c>
      <c r="R599" s="8" t="s">
        <v>128</v>
      </c>
      <c r="S599" s="8" t="s">
        <v>3288</v>
      </c>
      <c r="T599" s="1">
        <v>52.5</v>
      </c>
      <c r="U599" s="1">
        <v>336.5</v>
      </c>
      <c r="V599" s="8">
        <v>300</v>
      </c>
      <c r="X599" s="8">
        <v>0</v>
      </c>
      <c r="Z599" s="25">
        <v>2000</v>
      </c>
      <c r="AC599" s="8" t="str">
        <f>IF(COUNTIFS(作業區!$W$2:$W$2000, T599, 作業區!$X$2:$X$2000, U599)&gt;0, "已存在", "未擴充")</f>
        <v>已存在</v>
      </c>
    </row>
    <row r="600" spans="1:29" hidden="1">
      <c r="A600" s="8">
        <f t="shared" si="19"/>
        <v>599</v>
      </c>
      <c r="B600" s="1" t="s">
        <v>739</v>
      </c>
      <c r="C600" s="1" t="s">
        <v>3337</v>
      </c>
      <c r="D600" s="8" t="s">
        <v>3338</v>
      </c>
      <c r="E600" s="1" t="s">
        <v>769</v>
      </c>
      <c r="F600" s="1" t="s">
        <v>859</v>
      </c>
      <c r="G600" s="1" t="s">
        <v>3218</v>
      </c>
      <c r="H600" s="1" t="s">
        <v>3219</v>
      </c>
      <c r="I600" s="8">
        <v>241282</v>
      </c>
      <c r="J600" s="8">
        <v>2607370</v>
      </c>
      <c r="M600" s="1">
        <v>113</v>
      </c>
      <c r="N600" s="1" t="s">
        <v>3285</v>
      </c>
      <c r="O600" s="46">
        <v>45498</v>
      </c>
      <c r="P600" s="8" t="s">
        <v>3339</v>
      </c>
      <c r="R600" s="8" t="s">
        <v>3340</v>
      </c>
      <c r="S600" s="8" t="s">
        <v>3341</v>
      </c>
      <c r="T600" s="1">
        <v>11</v>
      </c>
      <c r="U600" s="1">
        <v>93</v>
      </c>
      <c r="V600" s="8">
        <v>300</v>
      </c>
      <c r="Z600" s="25">
        <v>66000</v>
      </c>
      <c r="AC600" s="8" t="str">
        <f>IF(COUNTIFS(作業區!$W$2:$W$2000, T600, 作業區!$X$2:$X$2000, U600)&gt;0, "已存在", "未擴充")</f>
        <v>已存在</v>
      </c>
    </row>
    <row r="601" spans="1:29" hidden="1">
      <c r="A601" s="8">
        <f t="shared" si="19"/>
        <v>600</v>
      </c>
      <c r="B601" s="1" t="s">
        <v>739</v>
      </c>
      <c r="C601" s="1" t="s">
        <v>3342</v>
      </c>
      <c r="E601" s="1" t="s">
        <v>1482</v>
      </c>
      <c r="F601" s="1" t="s">
        <v>2137</v>
      </c>
      <c r="G601" s="1" t="s">
        <v>3187</v>
      </c>
      <c r="H601" s="1" t="s">
        <v>2338</v>
      </c>
      <c r="I601" s="8">
        <v>329199</v>
      </c>
      <c r="J601" s="8">
        <v>2709551</v>
      </c>
      <c r="M601" s="1">
        <v>113</v>
      </c>
      <c r="N601" s="1" t="s">
        <v>3285</v>
      </c>
      <c r="O601" s="46">
        <v>45498.041666666664</v>
      </c>
      <c r="P601" s="52" t="s">
        <v>3343</v>
      </c>
      <c r="R601" s="8" t="s">
        <v>61</v>
      </c>
      <c r="S601" s="8" t="s">
        <v>3344</v>
      </c>
      <c r="T601" s="1">
        <v>53.5</v>
      </c>
      <c r="U601" s="1">
        <v>742.2</v>
      </c>
      <c r="V601" s="8">
        <v>400</v>
      </c>
      <c r="Z601" s="25">
        <v>120000</v>
      </c>
      <c r="AC601" s="8" t="str">
        <f>IF(COUNTIFS(作業區!$W$2:$W$2000, T601, 作業區!$X$2:$X$2000, U601)&gt;0, "已存在", "未擴充")</f>
        <v>已存在</v>
      </c>
    </row>
    <row r="602" spans="1:29" hidden="1">
      <c r="A602" s="8">
        <f t="shared" si="19"/>
        <v>601</v>
      </c>
      <c r="B602" s="1" t="s">
        <v>739</v>
      </c>
      <c r="C602" s="1" t="s">
        <v>3345</v>
      </c>
      <c r="D602" s="8" t="s">
        <v>3346</v>
      </c>
      <c r="E602" s="1" t="s">
        <v>985</v>
      </c>
      <c r="F602" s="1" t="s">
        <v>2313</v>
      </c>
      <c r="G602" s="1" t="s">
        <v>3262</v>
      </c>
      <c r="H602" s="1" t="s">
        <v>3263</v>
      </c>
      <c r="I602" s="8">
        <v>311892</v>
      </c>
      <c r="J602" s="8">
        <v>2666867</v>
      </c>
      <c r="M602" s="1">
        <v>113</v>
      </c>
      <c r="N602" s="1" t="s">
        <v>3285</v>
      </c>
      <c r="O602" s="46">
        <v>45497.708333333336</v>
      </c>
      <c r="P602" s="8" t="s">
        <v>3347</v>
      </c>
      <c r="R602" s="8" t="s">
        <v>282</v>
      </c>
      <c r="S602" s="8" t="s">
        <v>3265</v>
      </c>
      <c r="T602" s="1">
        <v>31</v>
      </c>
      <c r="U602" s="1">
        <v>170.7</v>
      </c>
      <c r="V602" s="8">
        <v>300</v>
      </c>
      <c r="Z602" s="25">
        <v>22500</v>
      </c>
      <c r="AC602" s="8" t="str">
        <f>IF(COUNTIFS(作業區!$W$2:$W$2000, T602, 作業區!$X$2:$X$2000, U602)&gt;0, "已存在", "未擴充")</f>
        <v>已存在</v>
      </c>
    </row>
    <row r="603" spans="1:29">
      <c r="A603" s="8">
        <f t="shared" si="19"/>
        <v>602</v>
      </c>
      <c r="B603" s="1" t="s">
        <v>739</v>
      </c>
      <c r="C603" s="1" t="s">
        <v>3348</v>
      </c>
      <c r="D603" s="8" t="s">
        <v>3349</v>
      </c>
      <c r="E603" s="1" t="s">
        <v>2306</v>
      </c>
      <c r="F603" s="1" t="s">
        <v>3236</v>
      </c>
      <c r="G603" s="1" t="s">
        <v>3350</v>
      </c>
      <c r="I603" s="8">
        <v>313298</v>
      </c>
      <c r="J603" s="8">
        <v>2789620</v>
      </c>
      <c r="M603" s="1">
        <v>113</v>
      </c>
      <c r="N603" s="1" t="s">
        <v>3351</v>
      </c>
      <c r="O603" s="46">
        <v>45569.666666666664</v>
      </c>
      <c r="P603" s="8" t="s">
        <v>3352</v>
      </c>
      <c r="R603" s="8" t="s">
        <v>3239</v>
      </c>
      <c r="S603" s="8" t="s">
        <v>3240</v>
      </c>
      <c r="T603" s="1">
        <v>78.5</v>
      </c>
      <c r="U603" s="1">
        <v>284.8</v>
      </c>
      <c r="V603" s="8">
        <v>500</v>
      </c>
      <c r="Z603" s="25">
        <v>2500</v>
      </c>
      <c r="AC603" s="8" t="str">
        <f>IF(COUNTIFS(作業區!$W$2:$W$2000, T603, 作業區!$X$2:$X$2000, U603)&gt;0, "已存在", "未擴充")</f>
        <v>已存在</v>
      </c>
    </row>
    <row r="604" spans="1:29" hidden="1">
      <c r="A604" s="8">
        <f t="shared" si="19"/>
        <v>603</v>
      </c>
      <c r="B604" s="1" t="s">
        <v>739</v>
      </c>
      <c r="C604" s="1" t="s">
        <v>3353</v>
      </c>
      <c r="D604" s="8" t="s">
        <v>3354</v>
      </c>
      <c r="E604" s="1" t="s">
        <v>2391</v>
      </c>
      <c r="F604" s="1" t="s">
        <v>923</v>
      </c>
      <c r="G604" s="1" t="s">
        <v>3355</v>
      </c>
      <c r="H604" s="1" t="s">
        <v>3354</v>
      </c>
      <c r="I604" s="8">
        <v>251816</v>
      </c>
      <c r="J604" s="8">
        <v>2505525</v>
      </c>
      <c r="M604" s="1">
        <v>113</v>
      </c>
      <c r="N604" s="1" t="s">
        <v>3351</v>
      </c>
      <c r="O604" s="46">
        <v>45569.083333333336</v>
      </c>
      <c r="P604" s="8" t="s">
        <v>3356</v>
      </c>
      <c r="R604" s="8" t="s">
        <v>3357</v>
      </c>
      <c r="S604" s="8" t="s">
        <v>3358</v>
      </c>
      <c r="T604" s="1">
        <v>57</v>
      </c>
      <c r="U604" s="1">
        <v>552.6</v>
      </c>
      <c r="V604" s="8">
        <v>450</v>
      </c>
      <c r="Z604" s="25">
        <v>1500</v>
      </c>
      <c r="AC604" s="8" t="str">
        <f>IF(COUNTIFS(作業區!$W$2:$W$2000, T604, 作業區!$X$2:$X$2000, U604)&gt;0, "已存在", "未擴充")</f>
        <v>已存在</v>
      </c>
    </row>
    <row r="605" spans="1:29" hidden="1">
      <c r="A605" s="8">
        <f t="shared" si="19"/>
        <v>604</v>
      </c>
      <c r="B605" s="1" t="s">
        <v>739</v>
      </c>
      <c r="C605" s="1" t="s">
        <v>3353</v>
      </c>
      <c r="D605" s="8" t="s">
        <v>3359</v>
      </c>
      <c r="E605" s="1" t="s">
        <v>2391</v>
      </c>
      <c r="F605" s="1" t="s">
        <v>923</v>
      </c>
      <c r="G605" s="1" t="s">
        <v>3355</v>
      </c>
      <c r="H605" s="1" t="s">
        <v>3359</v>
      </c>
      <c r="I605" s="8">
        <v>252659</v>
      </c>
      <c r="J605" s="8">
        <v>2506723</v>
      </c>
      <c r="M605" s="1">
        <v>113</v>
      </c>
      <c r="N605" s="1" t="s">
        <v>3351</v>
      </c>
      <c r="O605" s="46">
        <v>45569.083333333336</v>
      </c>
      <c r="P605" s="8" t="s">
        <v>3360</v>
      </c>
      <c r="R605" s="8" t="s">
        <v>3357</v>
      </c>
      <c r="S605" s="8" t="s">
        <v>3358</v>
      </c>
      <c r="T605" s="1">
        <v>57</v>
      </c>
      <c r="U605" s="1">
        <v>552.6</v>
      </c>
      <c r="V605" s="8">
        <v>450</v>
      </c>
      <c r="Z605" s="25">
        <v>4500</v>
      </c>
      <c r="AC605" s="8" t="str">
        <f>IF(COUNTIFS(作業區!$W$2:$W$2000, T605, 作業區!$X$2:$X$2000, U605)&gt;0, "已存在", "未擴充")</f>
        <v>已存在</v>
      </c>
    </row>
    <row r="606" spans="1:29" ht="33" hidden="1">
      <c r="A606" s="8">
        <f t="shared" si="19"/>
        <v>605</v>
      </c>
      <c r="B606" s="1" t="s">
        <v>3361</v>
      </c>
      <c r="C606" s="63" t="s">
        <v>3353</v>
      </c>
      <c r="D606" s="48" t="s">
        <v>3362</v>
      </c>
      <c r="E606" s="1" t="s">
        <v>2391</v>
      </c>
      <c r="F606" s="1" t="s">
        <v>2392</v>
      </c>
      <c r="G606" s="1" t="s">
        <v>2393</v>
      </c>
      <c r="H606" s="1" t="s">
        <v>3363</v>
      </c>
      <c r="I606" s="8">
        <v>252340</v>
      </c>
      <c r="J606" s="8">
        <v>2513033</v>
      </c>
      <c r="M606" s="1">
        <v>113</v>
      </c>
      <c r="N606" s="1" t="s">
        <v>3351</v>
      </c>
      <c r="O606" s="46">
        <v>45568.583333333336</v>
      </c>
      <c r="P606" s="48" t="s">
        <v>3364</v>
      </c>
      <c r="R606" s="8" t="s">
        <v>3365</v>
      </c>
      <c r="S606" s="8" t="s">
        <v>2397</v>
      </c>
      <c r="T606" s="1">
        <v>16.5</v>
      </c>
      <c r="U606" s="1">
        <v>593.6</v>
      </c>
      <c r="V606" s="8">
        <v>500</v>
      </c>
      <c r="X606" s="8">
        <v>4.4000000000000004</v>
      </c>
      <c r="Y606" s="25">
        <v>124000</v>
      </c>
      <c r="Z606" s="25">
        <v>124000</v>
      </c>
      <c r="AC606" s="8" t="str">
        <f>IF(COUNTIFS(作業區!$W$2:$W$2000, T606, 作業區!$X$2:$X$2000, U606)&gt;0, "已存在", "未擴充")</f>
        <v>已存在</v>
      </c>
    </row>
    <row r="607" spans="1:29">
      <c r="A607" s="8">
        <f t="shared" si="19"/>
        <v>606</v>
      </c>
      <c r="B607" s="1" t="s">
        <v>739</v>
      </c>
      <c r="C607" s="1" t="s">
        <v>3366</v>
      </c>
      <c r="D607" s="8" t="s">
        <v>3367</v>
      </c>
      <c r="E607" s="1" t="s">
        <v>2391</v>
      </c>
      <c r="F607" s="1" t="s">
        <v>923</v>
      </c>
      <c r="G607" s="1" t="s">
        <v>924</v>
      </c>
      <c r="H607" s="1" t="s">
        <v>3368</v>
      </c>
      <c r="I607" s="8">
        <v>249148</v>
      </c>
      <c r="J607" s="8">
        <v>2502800</v>
      </c>
      <c r="M607" s="1">
        <v>113</v>
      </c>
      <c r="N607" s="1" t="s">
        <v>3351</v>
      </c>
      <c r="O607" s="46">
        <v>45567.833333333336</v>
      </c>
      <c r="P607" s="8" t="s">
        <v>3369</v>
      </c>
      <c r="R607" s="8" t="s">
        <v>3370</v>
      </c>
      <c r="S607" s="8" t="s">
        <v>3371</v>
      </c>
      <c r="T607" s="1">
        <v>12.5</v>
      </c>
      <c r="U607" s="1">
        <v>376</v>
      </c>
      <c r="V607" s="8">
        <v>450</v>
      </c>
      <c r="Z607" s="25">
        <v>75750</v>
      </c>
      <c r="AC607" s="8" t="str">
        <f>IF(COUNTIFS(作業區!$W$2:$W$2000, T607, 作業區!$X$2:$X$2000, U607)&gt;0, "已存在", "未擴充")</f>
        <v>已存在</v>
      </c>
    </row>
    <row r="608" spans="1:29" hidden="1">
      <c r="A608" s="8">
        <f t="shared" si="19"/>
        <v>607</v>
      </c>
      <c r="B608" s="1" t="s">
        <v>739</v>
      </c>
      <c r="C608" s="1" t="s">
        <v>3366</v>
      </c>
      <c r="D608" s="8" t="s">
        <v>3367</v>
      </c>
      <c r="E608" s="1" t="s">
        <v>2391</v>
      </c>
      <c r="F608" s="1" t="s">
        <v>923</v>
      </c>
      <c r="G608" s="1" t="s">
        <v>924</v>
      </c>
      <c r="H608" s="1" t="s">
        <v>3368</v>
      </c>
      <c r="I608" s="8">
        <v>249148</v>
      </c>
      <c r="J608" s="8">
        <v>2502800</v>
      </c>
      <c r="M608" s="1">
        <v>113</v>
      </c>
      <c r="N608" s="1" t="s">
        <v>3351</v>
      </c>
      <c r="O608" s="46">
        <v>45569.041666666664</v>
      </c>
      <c r="P608" s="8" t="s">
        <v>3372</v>
      </c>
      <c r="R608" s="8" t="s">
        <v>3370</v>
      </c>
      <c r="S608" s="8" t="s">
        <v>3371</v>
      </c>
      <c r="T608" s="1">
        <v>78</v>
      </c>
      <c r="U608" s="1">
        <v>619</v>
      </c>
      <c r="V608" s="8">
        <v>450</v>
      </c>
      <c r="Z608" s="25">
        <v>75750</v>
      </c>
      <c r="AC608" s="8" t="str">
        <f>IF(COUNTIFS(作業區!$W$2:$W$2000, T608, 作業區!$X$2:$X$2000, U608)&gt;0, "已存在", "未擴充")</f>
        <v>已存在</v>
      </c>
    </row>
    <row r="609" spans="1:29" hidden="1">
      <c r="A609" s="8">
        <f t="shared" si="19"/>
        <v>608</v>
      </c>
      <c r="B609" s="1" t="s">
        <v>3361</v>
      </c>
      <c r="C609" s="1" t="s">
        <v>3373</v>
      </c>
      <c r="D609" s="8" t="s">
        <v>3374</v>
      </c>
      <c r="E609" s="1" t="s">
        <v>1897</v>
      </c>
      <c r="F609" s="1" t="s">
        <v>1908</v>
      </c>
      <c r="G609" s="1" t="s">
        <v>1974</v>
      </c>
      <c r="H609" s="1" t="s">
        <v>3375</v>
      </c>
      <c r="I609" s="8">
        <v>212589</v>
      </c>
      <c r="J609" s="8">
        <v>2542471</v>
      </c>
      <c r="M609" s="1">
        <v>113</v>
      </c>
      <c r="N609" s="1" t="s">
        <v>3376</v>
      </c>
      <c r="O609" s="46">
        <v>45557.583333333336</v>
      </c>
      <c r="P609" s="8" t="s">
        <v>3377</v>
      </c>
      <c r="R609" s="8" t="s">
        <v>3298</v>
      </c>
      <c r="S609" s="8" t="s">
        <v>3299</v>
      </c>
      <c r="T609" s="1">
        <v>21</v>
      </c>
      <c r="U609" s="1">
        <v>238</v>
      </c>
      <c r="V609" s="8">
        <v>350</v>
      </c>
      <c r="X609" s="8">
        <v>1.875</v>
      </c>
      <c r="Y609" s="25">
        <v>75000</v>
      </c>
      <c r="Z609" s="25">
        <v>75000</v>
      </c>
      <c r="AC609" s="8" t="str">
        <f>IF(COUNTIFS(作業區!$W$2:$W$2000, T609, 作業區!$X$2:$X$2000, U609)&gt;0, "已存在", "未擴充")</f>
        <v>已存在</v>
      </c>
    </row>
    <row r="610" spans="1:29">
      <c r="A610" s="8">
        <f t="shared" si="19"/>
        <v>609</v>
      </c>
      <c r="B610" s="1" t="s">
        <v>3361</v>
      </c>
      <c r="C610" s="1" t="s">
        <v>3255</v>
      </c>
      <c r="D610" s="8" t="s">
        <v>3378</v>
      </c>
      <c r="E610" s="1" t="s">
        <v>846</v>
      </c>
      <c r="F610" s="1" t="s">
        <v>3379</v>
      </c>
      <c r="G610" s="1" t="s">
        <v>3380</v>
      </c>
      <c r="H610" s="1" t="s">
        <v>3381</v>
      </c>
      <c r="I610" s="8">
        <v>220844</v>
      </c>
      <c r="J610" s="8">
        <v>2695290</v>
      </c>
      <c r="M610" s="1">
        <v>113</v>
      </c>
      <c r="N610" s="1" t="s">
        <v>3382</v>
      </c>
      <c r="O610" s="46">
        <v>45555.916666666664</v>
      </c>
      <c r="P610" s="8" t="s">
        <v>3383</v>
      </c>
      <c r="R610" s="8" t="s">
        <v>3384</v>
      </c>
      <c r="S610" s="8" t="s">
        <v>3385</v>
      </c>
      <c r="T610" s="1">
        <v>97</v>
      </c>
      <c r="U610" s="1">
        <v>120</v>
      </c>
      <c r="V610" s="8">
        <v>600</v>
      </c>
      <c r="X610" s="8">
        <v>0.1</v>
      </c>
      <c r="Y610" s="25">
        <v>2000</v>
      </c>
      <c r="Z610" s="25">
        <v>5700</v>
      </c>
      <c r="AC610" s="8" t="str">
        <f>IF(COUNTIFS(作業區!$W$2:$W$2000, T610, 作業區!$X$2:$X$2000, U610)&gt;0, "已存在", "未擴充")</f>
        <v>已存在</v>
      </c>
    </row>
    <row r="611" spans="1:29">
      <c r="A611" s="8">
        <f t="shared" si="19"/>
        <v>610</v>
      </c>
      <c r="B611" s="63" t="s">
        <v>3386</v>
      </c>
      <c r="C611" s="63" t="s">
        <v>3387</v>
      </c>
      <c r="D611" s="64" t="s">
        <v>3388</v>
      </c>
      <c r="E611" s="65" t="s">
        <v>3389</v>
      </c>
      <c r="F611" s="65" t="s">
        <v>3390</v>
      </c>
      <c r="G611" s="65" t="s">
        <v>3391</v>
      </c>
      <c r="H611" s="1" t="s">
        <v>3392</v>
      </c>
      <c r="I611" s="8">
        <v>345470</v>
      </c>
      <c r="J611" s="8">
        <v>2763753</v>
      </c>
      <c r="M611" s="1">
        <v>113</v>
      </c>
      <c r="N611" s="65" t="s">
        <v>3393</v>
      </c>
      <c r="O611" s="66">
        <v>45596.458333333336</v>
      </c>
      <c r="P611" s="67" t="s">
        <v>3394</v>
      </c>
      <c r="R611" s="8" t="s">
        <v>3395</v>
      </c>
      <c r="S611" s="67" t="s">
        <v>3396</v>
      </c>
      <c r="T611" s="1">
        <v>21</v>
      </c>
      <c r="U611" s="1">
        <v>143.9</v>
      </c>
      <c r="V611" s="8">
        <v>550</v>
      </c>
      <c r="X611" s="8" t="s">
        <v>3397</v>
      </c>
      <c r="Y611" s="25">
        <v>1200</v>
      </c>
      <c r="Z611" s="63" t="s">
        <v>3397</v>
      </c>
      <c r="AC611" s="8" t="str">
        <f>IF(COUNTIFS(作業區!$W$2:$W$2000, T611, 作業區!$X$2:$X$2000, U611)&gt;0, "已存在", "未擴充")</f>
        <v>已存在</v>
      </c>
    </row>
    <row r="612" spans="1:29">
      <c r="A612" s="8">
        <f t="shared" si="19"/>
        <v>611</v>
      </c>
      <c r="B612" s="63" t="s">
        <v>3398</v>
      </c>
      <c r="C612" s="63" t="s">
        <v>3399</v>
      </c>
      <c r="D612" s="64" t="s">
        <v>3400</v>
      </c>
      <c r="E612" s="65" t="s">
        <v>3401</v>
      </c>
      <c r="F612" s="65" t="s">
        <v>3402</v>
      </c>
      <c r="G612" s="65" t="s">
        <v>3403</v>
      </c>
      <c r="H612" s="63" t="s">
        <v>3404</v>
      </c>
      <c r="I612" s="8">
        <v>280810</v>
      </c>
      <c r="J612" s="8">
        <v>2580582</v>
      </c>
      <c r="M612" s="1">
        <v>113</v>
      </c>
      <c r="N612" s="65" t="s">
        <v>3393</v>
      </c>
      <c r="O612" s="66">
        <v>45596.333333333336</v>
      </c>
      <c r="P612" s="67" t="s">
        <v>3405</v>
      </c>
      <c r="R612" s="8" t="s">
        <v>3406</v>
      </c>
      <c r="S612" s="67" t="s">
        <v>3407</v>
      </c>
      <c r="T612" s="1">
        <v>31</v>
      </c>
      <c r="U612" s="1">
        <v>300.2</v>
      </c>
      <c r="V612" s="8">
        <v>500</v>
      </c>
      <c r="X612" s="8" t="s">
        <v>3397</v>
      </c>
      <c r="Y612" s="25">
        <v>3900</v>
      </c>
      <c r="Z612" s="63" t="s">
        <v>3397</v>
      </c>
      <c r="AC612" s="8" t="str">
        <f>IF(COUNTIFS(作業區!$W$2:$W$2000, T612, 作業區!$X$2:$X$2000, U612)&gt;0, "已存在", "未擴充")</f>
        <v>已存在</v>
      </c>
    </row>
    <row r="613" spans="1:29">
      <c r="A613" s="8">
        <f t="shared" si="19"/>
        <v>612</v>
      </c>
      <c r="B613" s="63" t="s">
        <v>3398</v>
      </c>
      <c r="C613" s="63" t="s">
        <v>3408</v>
      </c>
      <c r="D613" s="64" t="s">
        <v>3409</v>
      </c>
      <c r="E613" s="65" t="s">
        <v>3401</v>
      </c>
      <c r="F613" s="65" t="s">
        <v>3410</v>
      </c>
      <c r="G613" s="65" t="s">
        <v>3411</v>
      </c>
      <c r="H613" s="63" t="s">
        <v>3412</v>
      </c>
      <c r="I613" s="8">
        <v>280348</v>
      </c>
      <c r="J613" s="8">
        <v>2582793</v>
      </c>
      <c r="M613" s="1">
        <v>113</v>
      </c>
      <c r="N613" s="65" t="s">
        <v>3393</v>
      </c>
      <c r="O613" s="66">
        <v>45596.291666666664</v>
      </c>
      <c r="P613" s="67" t="s">
        <v>3413</v>
      </c>
      <c r="R613" s="8" t="s">
        <v>3414</v>
      </c>
      <c r="S613" s="67" t="s">
        <v>3415</v>
      </c>
      <c r="T613" s="1">
        <v>74</v>
      </c>
      <c r="U613" s="1">
        <v>237</v>
      </c>
      <c r="V613" s="8">
        <v>550</v>
      </c>
      <c r="X613" s="8" t="s">
        <v>3397</v>
      </c>
      <c r="Y613" s="25">
        <v>23100</v>
      </c>
      <c r="Z613" s="63" t="s">
        <v>3397</v>
      </c>
      <c r="AC613" s="8" t="str">
        <f>IF(COUNTIFS(作業區!$W$2:$W$2000, T613, 作業區!$X$2:$X$2000, U613)&gt;0, "已存在", "未擴充")</f>
        <v>已存在</v>
      </c>
    </row>
    <row r="614" spans="1:29">
      <c r="A614" s="8">
        <f t="shared" si="19"/>
        <v>613</v>
      </c>
      <c r="B614" s="68" t="s">
        <v>3398</v>
      </c>
      <c r="C614" s="68" t="s">
        <v>3416</v>
      </c>
      <c r="D614" s="68" t="s">
        <v>3417</v>
      </c>
      <c r="E614" s="68" t="s">
        <v>272</v>
      </c>
      <c r="F614" s="68" t="s">
        <v>273</v>
      </c>
      <c r="G614" s="68" t="s">
        <v>681</v>
      </c>
      <c r="H614" s="68" t="s">
        <v>3418</v>
      </c>
      <c r="I614" s="8">
        <v>320087</v>
      </c>
      <c r="J614" s="8">
        <v>2679398</v>
      </c>
      <c r="K614" s="68"/>
      <c r="L614" s="68"/>
      <c r="M614" s="68">
        <v>114</v>
      </c>
      <c r="N614" s="68" t="s">
        <v>3419</v>
      </c>
      <c r="O614" s="69">
        <v>45795.666666666664</v>
      </c>
      <c r="P614" s="68" t="s">
        <v>3420</v>
      </c>
      <c r="Q614" s="68"/>
      <c r="R614" s="68" t="s">
        <v>684</v>
      </c>
      <c r="S614" s="68" t="s">
        <v>685</v>
      </c>
      <c r="T614" s="1">
        <v>18.5</v>
      </c>
      <c r="U614" s="68">
        <v>67.17</v>
      </c>
      <c r="V614" s="68">
        <v>300</v>
      </c>
      <c r="W614" s="68"/>
      <c r="X614" s="68"/>
      <c r="Y614" s="68"/>
      <c r="Z614" s="68">
        <v>195</v>
      </c>
      <c r="AA614" s="68">
        <v>18.5</v>
      </c>
      <c r="AB614" s="63">
        <v>53</v>
      </c>
      <c r="AC614" s="8" t="str">
        <f>IF(COUNTIFS(作業區!$W$2:$W$2000, T614, 作業區!$X$2:$X$2000, U614)&gt;0, "已存在", "未擴充")</f>
        <v>已存在</v>
      </c>
    </row>
    <row r="615" spans="1:29">
      <c r="A615" s="8">
        <f t="shared" si="19"/>
        <v>614</v>
      </c>
      <c r="B615" s="68" t="s">
        <v>3398</v>
      </c>
      <c r="C615" s="68" t="s">
        <v>3421</v>
      </c>
      <c r="D615" s="68" t="s">
        <v>3422</v>
      </c>
      <c r="E615" s="68" t="s">
        <v>44</v>
      </c>
      <c r="F615" s="68" t="s">
        <v>3423</v>
      </c>
      <c r="G615" s="68" t="s">
        <v>3424</v>
      </c>
      <c r="H615" s="68" t="s">
        <v>3425</v>
      </c>
      <c r="I615" s="8">
        <v>345470</v>
      </c>
      <c r="J615" s="8">
        <v>2763753</v>
      </c>
      <c r="K615" s="68"/>
      <c r="L615" s="68"/>
      <c r="M615" s="68">
        <v>114</v>
      </c>
      <c r="N615" s="68" t="s">
        <v>3419</v>
      </c>
      <c r="O615" s="69">
        <v>45795.708333333336</v>
      </c>
      <c r="P615" s="68" t="s">
        <v>3426</v>
      </c>
      <c r="Q615" s="68"/>
      <c r="R615" s="68" t="s">
        <v>3427</v>
      </c>
      <c r="S615" s="68" t="s">
        <v>3428</v>
      </c>
      <c r="T615" s="1">
        <v>42</v>
      </c>
      <c r="U615" s="68">
        <v>54.02</v>
      </c>
      <c r="V615" s="68">
        <v>550</v>
      </c>
      <c r="W615" s="68"/>
      <c r="X615" s="68">
        <v>5.0000000000000001E-3</v>
      </c>
      <c r="Y615" s="68">
        <v>50</v>
      </c>
      <c r="Z615" s="68">
        <v>600</v>
      </c>
      <c r="AA615" s="68">
        <v>42</v>
      </c>
      <c r="AB615" s="68">
        <v>42.5</v>
      </c>
      <c r="AC615" s="8" t="str">
        <f>IF(COUNTIFS(作業區!$W$2:$W$2000, T615, 作業區!$X$2:$X$2000, U615)&gt;0, "已存在", "未擴充")</f>
        <v>已存在</v>
      </c>
    </row>
    <row r="616" spans="1:29">
      <c r="A616" s="8">
        <f t="shared" si="19"/>
        <v>615</v>
      </c>
      <c r="B616" s="68" t="s">
        <v>3429</v>
      </c>
      <c r="C616" s="68" t="s">
        <v>3430</v>
      </c>
      <c r="D616" s="68" t="s">
        <v>3431</v>
      </c>
      <c r="E616" s="68" t="s">
        <v>272</v>
      </c>
      <c r="F616" s="68" t="s">
        <v>273</v>
      </c>
      <c r="G616" s="68" t="s">
        <v>681</v>
      </c>
      <c r="H616" s="68" t="s">
        <v>3432</v>
      </c>
      <c r="I616" s="8">
        <v>317701</v>
      </c>
      <c r="J616" s="8">
        <v>2678095</v>
      </c>
      <c r="K616" s="68"/>
      <c r="L616" s="68"/>
      <c r="M616" s="68">
        <v>114</v>
      </c>
      <c r="N616" s="68" t="s">
        <v>3419</v>
      </c>
      <c r="O616" s="69">
        <v>45795.716666666667</v>
      </c>
      <c r="P616" s="68" t="s">
        <v>3433</v>
      </c>
      <c r="Q616" s="68"/>
      <c r="R616" s="68" t="s">
        <v>684</v>
      </c>
      <c r="S616" s="68" t="s">
        <v>685</v>
      </c>
      <c r="T616" s="1" t="s">
        <v>3434</v>
      </c>
      <c r="U616" s="68" t="s">
        <v>3435</v>
      </c>
      <c r="V616" s="68">
        <v>300</v>
      </c>
      <c r="W616" s="68"/>
      <c r="X616" s="68"/>
      <c r="Y616" s="68"/>
      <c r="Z616" s="68">
        <v>1645</v>
      </c>
      <c r="AA616" s="68">
        <v>35.5</v>
      </c>
      <c r="AB616" s="63">
        <v>83.5</v>
      </c>
      <c r="AC616" s="8" t="str">
        <f>IF(COUNTIFS(作業區!$W$2:$W$2000, T616, 作業區!$X$2:$X$2000, U616)&gt;0, "已存在", "未擴充")</f>
        <v>已存在</v>
      </c>
    </row>
    <row r="617" spans="1:29">
      <c r="A617" s="8">
        <f t="shared" si="19"/>
        <v>616</v>
      </c>
      <c r="B617" s="68" t="s">
        <v>3436</v>
      </c>
      <c r="C617" s="68" t="s">
        <v>3437</v>
      </c>
      <c r="D617" s="68" t="s">
        <v>3438</v>
      </c>
      <c r="E617" s="68" t="s">
        <v>272</v>
      </c>
      <c r="F617" s="68" t="s">
        <v>273</v>
      </c>
      <c r="G617" s="68" t="s">
        <v>681</v>
      </c>
      <c r="H617" s="68"/>
      <c r="I617" s="8">
        <v>317132</v>
      </c>
      <c r="J617" s="8">
        <v>2676406</v>
      </c>
      <c r="K617" s="68"/>
      <c r="L617" s="68"/>
      <c r="M617" s="68">
        <v>114</v>
      </c>
      <c r="N617" s="68" t="s">
        <v>3419</v>
      </c>
      <c r="O617" s="69">
        <v>45797.666666666664</v>
      </c>
      <c r="P617" s="68" t="s">
        <v>3439</v>
      </c>
      <c r="Q617" s="68"/>
      <c r="R617" s="68" t="s">
        <v>684</v>
      </c>
      <c r="S617" s="68" t="s">
        <v>685</v>
      </c>
      <c r="T617" s="1">
        <v>30.5</v>
      </c>
      <c r="U617" s="68">
        <v>82.04</v>
      </c>
      <c r="V617" s="68">
        <v>300</v>
      </c>
      <c r="W617" s="68"/>
      <c r="X617" s="68">
        <v>0.24</v>
      </c>
      <c r="Y617" s="68">
        <v>1200</v>
      </c>
      <c r="Z617" s="68">
        <v>1200</v>
      </c>
      <c r="AA617" s="68">
        <v>30.5</v>
      </c>
      <c r="AB617" s="68">
        <v>32</v>
      </c>
      <c r="AC617" s="8" t="str">
        <f>IF(COUNTIFS(作業區!$W$2:$W$2000, T617, 作業區!$X$2:$X$2000, U617)&gt;0, "已存在", "未擴充")</f>
        <v>已存在</v>
      </c>
    </row>
    <row r="618" spans="1:29">
      <c r="A618" s="8">
        <f t="shared" si="19"/>
        <v>617</v>
      </c>
      <c r="B618" s="68" t="s">
        <v>3440</v>
      </c>
      <c r="C618" s="68" t="s">
        <v>3441</v>
      </c>
      <c r="D618" s="68" t="s">
        <v>3442</v>
      </c>
      <c r="E618" s="68" t="s">
        <v>220</v>
      </c>
      <c r="F618" s="68" t="s">
        <v>221</v>
      </c>
      <c r="G618" s="68" t="s">
        <v>238</v>
      </c>
      <c r="H618" s="68" t="s">
        <v>3443</v>
      </c>
      <c r="I618" s="8">
        <v>214626</v>
      </c>
      <c r="J618" s="8">
        <v>2542339</v>
      </c>
      <c r="K618" s="68"/>
      <c r="L618" s="68"/>
      <c r="M618" s="68">
        <v>114</v>
      </c>
      <c r="N618" s="68" t="s">
        <v>3419</v>
      </c>
      <c r="O618" s="69">
        <v>45835.666666666664</v>
      </c>
      <c r="P618" s="68" t="s">
        <v>3444</v>
      </c>
      <c r="Q618" s="68"/>
      <c r="R618" s="68" t="s">
        <v>241</v>
      </c>
      <c r="S618" s="68" t="s">
        <v>242</v>
      </c>
      <c r="T618" s="1">
        <v>6</v>
      </c>
      <c r="U618" s="68">
        <v>35.1</v>
      </c>
      <c r="V618" s="68">
        <v>350</v>
      </c>
      <c r="W618" s="68"/>
      <c r="X618" s="68">
        <v>0.3</v>
      </c>
      <c r="Y618" s="68">
        <v>6000</v>
      </c>
      <c r="Z618" s="68">
        <v>6000</v>
      </c>
      <c r="AA618" s="68">
        <v>6</v>
      </c>
      <c r="AB618" s="68">
        <v>14</v>
      </c>
      <c r="AC618" s="8" t="str">
        <f>IF(COUNTIFS(作業區!$W$2:$W$2000, T618, 作業區!$X$2:$X$2000, U618)&gt;0, "已存在", "未擴充")</f>
        <v>已存在</v>
      </c>
    </row>
    <row r="619" spans="1:29">
      <c r="A619" s="8">
        <f t="shared" si="19"/>
        <v>618</v>
      </c>
      <c r="B619" s="68" t="s">
        <v>3398</v>
      </c>
      <c r="C619" s="68" t="s">
        <v>3445</v>
      </c>
      <c r="D619" s="68" t="s">
        <v>3446</v>
      </c>
      <c r="E619" s="68" t="s">
        <v>76</v>
      </c>
      <c r="F619" s="68" t="s">
        <v>118</v>
      </c>
      <c r="G619" s="68" t="s">
        <v>162</v>
      </c>
      <c r="H619" s="68" t="s">
        <v>3447</v>
      </c>
      <c r="I619" s="8">
        <v>241282</v>
      </c>
      <c r="J619" s="8">
        <v>2607370</v>
      </c>
      <c r="K619" s="68"/>
      <c r="L619" s="68"/>
      <c r="M619" s="68">
        <v>114</v>
      </c>
      <c r="N619" s="68" t="s">
        <v>3419</v>
      </c>
      <c r="O619" s="69">
        <v>45835.708333333336</v>
      </c>
      <c r="P619" s="68" t="s">
        <v>3448</v>
      </c>
      <c r="Q619" s="68"/>
      <c r="R619" s="68" t="s">
        <v>3449</v>
      </c>
      <c r="S619" s="68" t="s">
        <v>3450</v>
      </c>
      <c r="T619" s="1">
        <v>16.5</v>
      </c>
      <c r="U619" s="68">
        <v>28.96</v>
      </c>
      <c r="V619" s="68">
        <v>300</v>
      </c>
      <c r="W619" s="68"/>
      <c r="X619" s="68">
        <v>0.17499999999999999</v>
      </c>
      <c r="Y619" s="68">
        <v>35000</v>
      </c>
      <c r="Z619" s="68">
        <v>3500</v>
      </c>
      <c r="AA619" s="68">
        <v>16.5</v>
      </c>
      <c r="AB619" s="68">
        <v>17.5</v>
      </c>
      <c r="AC619" s="8" t="str">
        <f>IF(COUNTIFS(作業區!$W$2:$W$2000, T619, 作業區!$X$2:$X$2000, U619)&gt;0, "已存在", "未擴充")</f>
        <v>已存在</v>
      </c>
    </row>
    <row r="620" spans="1:29">
      <c r="A620" s="8">
        <f t="shared" si="19"/>
        <v>619</v>
      </c>
      <c r="B620" s="68" t="s">
        <v>3451</v>
      </c>
      <c r="C620" s="68" t="s">
        <v>3452</v>
      </c>
      <c r="D620" s="68" t="s">
        <v>3453</v>
      </c>
      <c r="E620" s="68" t="s">
        <v>174</v>
      </c>
      <c r="F620" s="68" t="s">
        <v>175</v>
      </c>
      <c r="G620" s="68" t="s">
        <v>497</v>
      </c>
      <c r="H620" s="68" t="s">
        <v>3454</v>
      </c>
      <c r="I620" s="8">
        <v>236018</v>
      </c>
      <c r="J620" s="8">
        <v>2623551</v>
      </c>
      <c r="K620" s="68"/>
      <c r="L620" s="68"/>
      <c r="M620" s="68">
        <v>114</v>
      </c>
      <c r="N620" s="68" t="s">
        <v>3455</v>
      </c>
      <c r="O620" s="69">
        <v>45846.738888888889</v>
      </c>
      <c r="P620" s="68" t="s">
        <v>3456</v>
      </c>
      <c r="Q620" s="68"/>
      <c r="R620" s="68" t="s">
        <v>3457</v>
      </c>
      <c r="S620" s="68" t="s">
        <v>3458</v>
      </c>
      <c r="T620" s="68">
        <v>12</v>
      </c>
      <c r="U620" s="68">
        <v>211.2</v>
      </c>
      <c r="V620" s="68">
        <v>400</v>
      </c>
      <c r="W620" s="68"/>
      <c r="X620" s="68">
        <v>30.1</v>
      </c>
      <c r="Y620" s="68">
        <v>7055000</v>
      </c>
      <c r="Z620" s="68"/>
      <c r="AA620" s="68">
        <v>0</v>
      </c>
      <c r="AB620" s="68">
        <v>38</v>
      </c>
      <c r="AC620" s="8" t="str">
        <f>IF(COUNTIFS(作業區!$W$2:$W$2000, T620, 作業區!$X$2:$X$2000, U620)&gt;0, "已存在", "未擴充")</f>
        <v>已存在</v>
      </c>
    </row>
    <row r="621" spans="1:29">
      <c r="A621" s="8">
        <f t="shared" si="19"/>
        <v>620</v>
      </c>
      <c r="B621" s="68" t="s">
        <v>3398</v>
      </c>
      <c r="C621" s="68" t="s">
        <v>3459</v>
      </c>
      <c r="D621" s="68" t="s">
        <v>710</v>
      </c>
      <c r="E621" s="68" t="s">
        <v>76</v>
      </c>
      <c r="F621" s="68" t="s">
        <v>118</v>
      </c>
      <c r="G621" s="68" t="s">
        <v>125</v>
      </c>
      <c r="H621" s="68" t="s">
        <v>3460</v>
      </c>
      <c r="I621" s="8">
        <v>216514</v>
      </c>
      <c r="J621" s="8">
        <v>2608130</v>
      </c>
      <c r="K621" s="68"/>
      <c r="L621" s="68"/>
      <c r="M621" s="68">
        <v>114</v>
      </c>
      <c r="N621" s="68" t="s">
        <v>3455</v>
      </c>
      <c r="O621" s="69">
        <v>45847.666666666664</v>
      </c>
      <c r="P621" s="68" t="s">
        <v>3461</v>
      </c>
      <c r="Q621" s="68"/>
      <c r="R621" s="68" t="s">
        <v>128</v>
      </c>
      <c r="S621" s="68" t="s">
        <v>104</v>
      </c>
      <c r="T621" s="1">
        <v>9.5</v>
      </c>
      <c r="U621" s="68">
        <v>139.9</v>
      </c>
      <c r="V621" s="68">
        <v>300</v>
      </c>
      <c r="W621" s="68"/>
      <c r="X621" s="68">
        <v>0.48</v>
      </c>
      <c r="Y621" s="68"/>
      <c r="Z621" s="68">
        <v>3840</v>
      </c>
      <c r="AA621" s="68">
        <v>9.5</v>
      </c>
      <c r="AB621" s="68">
        <v>29.5</v>
      </c>
      <c r="AC621" s="8" t="str">
        <f>IF(COUNTIFS(作業區!$W$2:$W$2000, T621, 作業區!$X$2:$X$2000, U621)&gt;0, "已存在", "未擴充")</f>
        <v>已存在</v>
      </c>
    </row>
    <row r="622" spans="1:29">
      <c r="A622" s="8">
        <f t="shared" si="19"/>
        <v>621</v>
      </c>
      <c r="B622" s="68" t="s">
        <v>3462</v>
      </c>
      <c r="C622" s="68" t="s">
        <v>3463</v>
      </c>
      <c r="D622" s="68" t="s">
        <v>3464</v>
      </c>
      <c r="E622" s="68" t="s">
        <v>265</v>
      </c>
      <c r="F622" s="68" t="s">
        <v>3465</v>
      </c>
      <c r="G622" s="68" t="s">
        <v>3466</v>
      </c>
      <c r="H622" s="68" t="s">
        <v>3467</v>
      </c>
      <c r="I622" s="8">
        <v>212971</v>
      </c>
      <c r="J622" s="8">
        <v>2528953</v>
      </c>
      <c r="K622" s="68"/>
      <c r="L622" s="68"/>
      <c r="M622" s="68">
        <v>114</v>
      </c>
      <c r="N622" s="68" t="s">
        <v>3455</v>
      </c>
      <c r="O622" s="69">
        <v>45848.75</v>
      </c>
      <c r="P622" s="68" t="s">
        <v>3468</v>
      </c>
      <c r="Q622" s="68"/>
      <c r="R622" s="68" t="s">
        <v>3469</v>
      </c>
      <c r="S622" s="68" t="s">
        <v>3470</v>
      </c>
      <c r="T622" s="1">
        <v>5</v>
      </c>
      <c r="U622" s="68">
        <v>405.1</v>
      </c>
      <c r="V622" s="68">
        <v>550</v>
      </c>
      <c r="W622" s="68"/>
      <c r="X622" s="68">
        <v>0.04</v>
      </c>
      <c r="Y622" s="68"/>
      <c r="Z622" s="68">
        <v>800</v>
      </c>
      <c r="AA622" s="68">
        <v>5</v>
      </c>
      <c r="AB622" s="68">
        <v>21</v>
      </c>
      <c r="AC622" s="8" t="str">
        <f>IF(COUNTIFS(作業區!$W$2:$W$2000, T622, 作業區!$X$2:$X$2000, U622)&gt;0, "已存在", "未擴充")</f>
        <v>已存在</v>
      </c>
    </row>
    <row r="623" spans="1:29">
      <c r="A623" s="8">
        <f t="shared" si="19"/>
        <v>622</v>
      </c>
      <c r="B623" s="68" t="s">
        <v>3471</v>
      </c>
      <c r="C623" s="68" t="s">
        <v>3472</v>
      </c>
      <c r="D623" s="68" t="s">
        <v>3473</v>
      </c>
      <c r="E623" s="68" t="s">
        <v>76</v>
      </c>
      <c r="F623" s="68" t="s">
        <v>448</v>
      </c>
      <c r="G623" s="68" t="s">
        <v>468</v>
      </c>
      <c r="H623" s="68" t="s">
        <v>3474</v>
      </c>
      <c r="I623" s="8">
        <v>250989</v>
      </c>
      <c r="J623" s="8">
        <v>2651386</v>
      </c>
      <c r="K623" s="68"/>
      <c r="L623" s="68"/>
      <c r="M623" s="68">
        <v>114</v>
      </c>
      <c r="N623" s="68" t="s">
        <v>3475</v>
      </c>
      <c r="O623" s="66">
        <v>45859.700694444444</v>
      </c>
      <c r="P623" s="68" t="s">
        <v>3476</v>
      </c>
      <c r="Q623" s="68"/>
      <c r="R623" s="68" t="s">
        <v>473</v>
      </c>
      <c r="S623" s="68" t="s">
        <v>474</v>
      </c>
      <c r="T623" s="1">
        <v>36</v>
      </c>
      <c r="U623" s="68">
        <v>164.5</v>
      </c>
      <c r="V623" s="68"/>
      <c r="W623" s="68"/>
      <c r="X623" s="68"/>
      <c r="Y623" s="68"/>
      <c r="Z623" s="68"/>
      <c r="AA623" s="68">
        <v>36</v>
      </c>
      <c r="AB623" s="68">
        <v>43.5</v>
      </c>
      <c r="AC623" s="8" t="str">
        <f>IF(COUNTIFS(作業區!$W$2:$W$2000, T623, 作業區!$X$2:$X$2000, U623)&gt;0, "已存在", "未擴充")</f>
        <v>已存在</v>
      </c>
    </row>
    <row r="624" spans="1:29">
      <c r="A624" s="8">
        <f t="shared" si="19"/>
        <v>623</v>
      </c>
      <c r="B624" s="68" t="s">
        <v>3451</v>
      </c>
      <c r="C624" s="68" t="s">
        <v>3477</v>
      </c>
      <c r="D624" s="68" t="s">
        <v>3478</v>
      </c>
      <c r="E624" s="68" t="s">
        <v>272</v>
      </c>
      <c r="F624" s="68" t="s">
        <v>284</v>
      </c>
      <c r="G624" s="68" t="s">
        <v>3479</v>
      </c>
      <c r="H624" s="68" t="s">
        <v>3480</v>
      </c>
      <c r="I624" s="8">
        <v>280173</v>
      </c>
      <c r="J624" s="8">
        <v>2621763</v>
      </c>
      <c r="K624" s="68"/>
      <c r="L624" s="68"/>
      <c r="M624" s="68">
        <v>114</v>
      </c>
      <c r="N624" s="68" t="s">
        <v>3481</v>
      </c>
      <c r="O624" s="66">
        <v>45859.745833333334</v>
      </c>
      <c r="P624" s="68" t="s">
        <v>3482</v>
      </c>
      <c r="Q624" s="68"/>
      <c r="R624" s="68" t="s">
        <v>990</v>
      </c>
      <c r="S624" s="68" t="s">
        <v>3483</v>
      </c>
      <c r="T624" s="68">
        <v>0.5</v>
      </c>
      <c r="U624" s="68">
        <v>286.10000000000002</v>
      </c>
      <c r="V624" s="68">
        <v>550</v>
      </c>
      <c r="W624" s="68"/>
      <c r="X624" s="68">
        <v>500</v>
      </c>
      <c r="Y624" s="68">
        <v>91000000</v>
      </c>
      <c r="Z624" s="68"/>
      <c r="AA624" s="68">
        <v>0.5</v>
      </c>
      <c r="AB624" s="68">
        <v>5</v>
      </c>
      <c r="AC624" s="8" t="str">
        <f>IF(COUNTIFS(作業區!$W$2:$W$2000, T624, 作業區!$X$2:$X$2000, U624)&gt;0, "已存在", "未擴充")</f>
        <v>已存在</v>
      </c>
    </row>
    <row r="625" spans="1:29">
      <c r="A625" s="8">
        <f t="shared" si="19"/>
        <v>624</v>
      </c>
      <c r="B625" s="68" t="s">
        <v>3398</v>
      </c>
      <c r="C625" s="68" t="s">
        <v>3484</v>
      </c>
      <c r="D625" s="68" t="s">
        <v>3442</v>
      </c>
      <c r="E625" s="68" t="s">
        <v>220</v>
      </c>
      <c r="F625" s="68" t="s">
        <v>221</v>
      </c>
      <c r="G625" s="68" t="s">
        <v>238</v>
      </c>
      <c r="H625" s="68" t="s">
        <v>3485</v>
      </c>
      <c r="I625" s="8">
        <v>214396</v>
      </c>
      <c r="J625" s="8">
        <v>2541335</v>
      </c>
      <c r="K625" s="68"/>
      <c r="L625" s="68"/>
      <c r="M625" s="68">
        <v>114</v>
      </c>
      <c r="N625" s="68" t="s">
        <v>3486</v>
      </c>
      <c r="O625" s="66">
        <v>45866.416666666664</v>
      </c>
      <c r="P625" s="68" t="s">
        <v>3487</v>
      </c>
      <c r="Q625" s="68"/>
      <c r="R625" s="68" t="s">
        <v>241</v>
      </c>
      <c r="S625" s="68" t="s">
        <v>242</v>
      </c>
      <c r="T625" s="1">
        <v>29</v>
      </c>
      <c r="U625" s="68">
        <v>239.1</v>
      </c>
      <c r="V625" s="68">
        <v>350</v>
      </c>
      <c r="W625" s="68"/>
      <c r="X625" s="68">
        <v>15</v>
      </c>
      <c r="Y625" s="68">
        <v>300000</v>
      </c>
      <c r="Z625" s="68">
        <v>300000</v>
      </c>
      <c r="AA625" s="68">
        <v>29</v>
      </c>
      <c r="AB625" s="68">
        <v>49.5</v>
      </c>
      <c r="AC625" s="8" t="str">
        <f>IF(COUNTIFS(作業區!$W$2:$W$2000, T625, 作業區!$X$2:$X$2000, U625)&gt;0, "已存在", "未擴充")</f>
        <v>已存在</v>
      </c>
    </row>
    <row r="626" spans="1:29">
      <c r="A626" s="8">
        <f t="shared" si="19"/>
        <v>625</v>
      </c>
      <c r="B626" s="68" t="s">
        <v>3398</v>
      </c>
      <c r="C626" s="68" t="s">
        <v>3488</v>
      </c>
      <c r="D626" s="68" t="s">
        <v>3489</v>
      </c>
      <c r="E626" s="68" t="s">
        <v>220</v>
      </c>
      <c r="F626" s="68" t="s">
        <v>221</v>
      </c>
      <c r="G626" s="68" t="s">
        <v>238</v>
      </c>
      <c r="H626" s="68" t="s">
        <v>3490</v>
      </c>
      <c r="I626" s="8">
        <v>214626</v>
      </c>
      <c r="J626" s="8">
        <v>2542339</v>
      </c>
      <c r="K626" s="68"/>
      <c r="L626" s="68"/>
      <c r="M626" s="68">
        <v>114</v>
      </c>
      <c r="N626" s="68" t="s">
        <v>3486</v>
      </c>
      <c r="O626" s="66">
        <v>45866.416666666664</v>
      </c>
      <c r="P626" s="68" t="s">
        <v>3491</v>
      </c>
      <c r="Q626" s="68"/>
      <c r="R626" s="68" t="s">
        <v>241</v>
      </c>
      <c r="S626" s="68" t="s">
        <v>242</v>
      </c>
      <c r="T626" s="1">
        <v>29</v>
      </c>
      <c r="U626" s="68">
        <v>239.1</v>
      </c>
      <c r="V626" s="68">
        <v>350</v>
      </c>
      <c r="W626" s="68"/>
      <c r="X626" s="68">
        <v>0.3</v>
      </c>
      <c r="Y626" s="68">
        <v>6000</v>
      </c>
      <c r="Z626" s="68">
        <v>37500</v>
      </c>
      <c r="AA626" s="68">
        <v>29</v>
      </c>
      <c r="AB626" s="68">
        <v>49.5</v>
      </c>
      <c r="AC626" s="8" t="str">
        <f>IF(COUNTIFS(作業區!$W$2:$W$2000, T626, 作業區!$X$2:$X$2000, U626)&gt;0, "已存在", "未擴充")</f>
        <v>已存在</v>
      </c>
    </row>
    <row r="627" spans="1:29">
      <c r="A627" s="8">
        <f t="shared" si="19"/>
        <v>626</v>
      </c>
      <c r="B627" s="68" t="s">
        <v>3398</v>
      </c>
      <c r="C627" s="68" t="s">
        <v>3492</v>
      </c>
      <c r="D627" s="68" t="s">
        <v>710</v>
      </c>
      <c r="E627" s="68" t="s">
        <v>76</v>
      </c>
      <c r="F627" s="68" t="s">
        <v>118</v>
      </c>
      <c r="G627" s="68" t="s">
        <v>125</v>
      </c>
      <c r="H627" s="68" t="s">
        <v>3460</v>
      </c>
      <c r="I627" s="8">
        <v>236018</v>
      </c>
      <c r="J627" s="8">
        <v>2623551</v>
      </c>
      <c r="K627" s="68"/>
      <c r="L627" s="68"/>
      <c r="M627" s="68">
        <v>114</v>
      </c>
      <c r="N627" s="68" t="s">
        <v>3486</v>
      </c>
      <c r="O627" s="66">
        <v>45868.684027777781</v>
      </c>
      <c r="P627" s="68" t="s">
        <v>3493</v>
      </c>
      <c r="Q627" s="68"/>
      <c r="R627" s="68" t="s">
        <v>128</v>
      </c>
      <c r="S627" s="68" t="s">
        <v>104</v>
      </c>
      <c r="T627" s="1">
        <v>1.5</v>
      </c>
      <c r="U627" s="68">
        <v>165.3</v>
      </c>
      <c r="V627" s="68">
        <v>300</v>
      </c>
      <c r="W627" s="68"/>
      <c r="X627" s="68">
        <v>7.0000000000000007E-2</v>
      </c>
      <c r="Y627" s="68"/>
      <c r="Z627" s="68">
        <v>210</v>
      </c>
      <c r="AA627" s="68">
        <v>1.5</v>
      </c>
      <c r="AB627" s="68">
        <v>9.5</v>
      </c>
      <c r="AC627" s="8" t="str">
        <f>IF(COUNTIFS(作業區!$W$2:$W$2000, T627, 作業區!$X$2:$X$2000, U627)&gt;0, "已存在", "未擴充")</f>
        <v>已存在</v>
      </c>
    </row>
    <row r="628" spans="1:29">
      <c r="A628" s="8">
        <f t="shared" si="19"/>
        <v>627</v>
      </c>
      <c r="B628" s="68" t="s">
        <v>3494</v>
      </c>
      <c r="C628" s="68" t="s">
        <v>3495</v>
      </c>
      <c r="D628" s="68" t="s">
        <v>3496</v>
      </c>
      <c r="E628" s="68" t="s">
        <v>220</v>
      </c>
      <c r="F628" s="68" t="s">
        <v>586</v>
      </c>
      <c r="G628" s="68" t="s">
        <v>3497</v>
      </c>
      <c r="H628" s="68" t="s">
        <v>3498</v>
      </c>
      <c r="I628" s="8">
        <v>224039</v>
      </c>
      <c r="J628" s="8">
        <v>2551528</v>
      </c>
      <c r="K628" s="68"/>
      <c r="L628" s="68"/>
      <c r="M628" s="68">
        <v>114</v>
      </c>
      <c r="N628" s="68" t="s">
        <v>3486</v>
      </c>
      <c r="O628" s="66">
        <v>45868.833333333336</v>
      </c>
      <c r="P628" s="68" t="s">
        <v>3499</v>
      </c>
      <c r="Q628" s="68"/>
      <c r="R628" s="68" t="s">
        <v>3500</v>
      </c>
      <c r="S628" s="68" t="s">
        <v>3501</v>
      </c>
      <c r="T628" s="1">
        <v>34</v>
      </c>
      <c r="U628" s="68">
        <v>546.1</v>
      </c>
      <c r="V628" s="68">
        <v>700</v>
      </c>
      <c r="W628" s="68"/>
      <c r="X628" s="68">
        <v>4</v>
      </c>
      <c r="Y628" s="68">
        <v>120000</v>
      </c>
      <c r="Z628" s="68">
        <v>120000</v>
      </c>
      <c r="AA628" s="68">
        <v>34</v>
      </c>
      <c r="AB628" s="68">
        <v>56</v>
      </c>
      <c r="AC628" s="8" t="str">
        <f>IF(COUNTIFS(作業區!$W$2:$W$2000, T628, 作業區!$X$2:$X$2000, U628)&gt;0, "已存在", "未擴充")</f>
        <v>已存在</v>
      </c>
    </row>
    <row r="629" spans="1:29">
      <c r="A629" s="8">
        <f t="shared" si="19"/>
        <v>628</v>
      </c>
      <c r="B629" s="68" t="s">
        <v>3502</v>
      </c>
      <c r="C629" s="68" t="s">
        <v>3503</v>
      </c>
      <c r="D629" s="68" t="s">
        <v>3504</v>
      </c>
      <c r="E629" s="68" t="s">
        <v>220</v>
      </c>
      <c r="F629" s="68" t="s">
        <v>586</v>
      </c>
      <c r="G629" s="68" t="s">
        <v>3505</v>
      </c>
      <c r="H629" s="68" t="s">
        <v>3506</v>
      </c>
      <c r="I629" s="8">
        <v>226303</v>
      </c>
      <c r="J629" s="8">
        <v>2563449</v>
      </c>
      <c r="K629" s="68"/>
      <c r="L629" s="68"/>
      <c r="M629" s="68">
        <v>114</v>
      </c>
      <c r="N629" s="68" t="s">
        <v>3486</v>
      </c>
      <c r="O629" s="66">
        <v>45868.875</v>
      </c>
      <c r="P629" s="68" t="s">
        <v>3507</v>
      </c>
      <c r="Q629" s="68"/>
      <c r="R629" s="68" t="s">
        <v>3508</v>
      </c>
      <c r="S629" s="68" t="s">
        <v>3509</v>
      </c>
      <c r="T629" s="1">
        <v>81</v>
      </c>
      <c r="U629" s="68">
        <v>744.1</v>
      </c>
      <c r="V629" s="68">
        <v>300</v>
      </c>
      <c r="W629" s="68"/>
      <c r="X629" s="68">
        <v>0.6</v>
      </c>
      <c r="Y629" s="68"/>
      <c r="Z629" s="68"/>
      <c r="AA629" s="68">
        <v>81</v>
      </c>
      <c r="AB629" s="68">
        <v>157.5</v>
      </c>
      <c r="AC629" s="8" t="str">
        <f>IF(COUNTIFS(作業區!$W$2:$W$2000, T629, 作業區!$X$2:$X$2000, U629)&gt;0, "已存在", "未擴充")</f>
        <v>已存在</v>
      </c>
    </row>
    <row r="630" spans="1:29">
      <c r="A630" s="8">
        <f t="shared" si="19"/>
        <v>629</v>
      </c>
      <c r="B630" s="68" t="s">
        <v>3398</v>
      </c>
      <c r="C630" s="68" t="s">
        <v>3510</v>
      </c>
      <c r="D630" s="68" t="s">
        <v>3511</v>
      </c>
      <c r="E630" s="68" t="s">
        <v>220</v>
      </c>
      <c r="F630" s="68" t="s">
        <v>221</v>
      </c>
      <c r="G630" s="68" t="s">
        <v>243</v>
      </c>
      <c r="H630" s="68" t="s">
        <v>3512</v>
      </c>
      <c r="I630" s="8">
        <v>218082</v>
      </c>
      <c r="J630" s="8">
        <v>2552043</v>
      </c>
      <c r="K630" s="68"/>
      <c r="L630" s="68"/>
      <c r="M630" s="68">
        <v>114</v>
      </c>
      <c r="N630" s="68" t="s">
        <v>3486</v>
      </c>
      <c r="O630" s="66">
        <v>45869.25</v>
      </c>
      <c r="P630" s="68" t="s">
        <v>3513</v>
      </c>
      <c r="Q630" s="68"/>
      <c r="R630" s="68" t="s">
        <v>3514</v>
      </c>
      <c r="S630" s="68" t="s">
        <v>3515</v>
      </c>
      <c r="T630" s="1">
        <v>6</v>
      </c>
      <c r="U630" s="68">
        <v>570.29999999999995</v>
      </c>
      <c r="V630" s="68">
        <v>350</v>
      </c>
      <c r="W630" s="68"/>
      <c r="X630" s="68">
        <v>0.105</v>
      </c>
      <c r="Y630" s="68"/>
      <c r="Z630" s="68">
        <v>525</v>
      </c>
      <c r="AA630" s="68">
        <v>6</v>
      </c>
      <c r="AB630" s="68">
        <v>33</v>
      </c>
      <c r="AC630" s="8" t="str">
        <f>IF(COUNTIFS(作業區!$W$2:$W$2000, T630, 作業區!$X$2:$X$2000, U630)&gt;0, "已存在", "未擴充")</f>
        <v>已存在</v>
      </c>
    </row>
    <row r="631" spans="1:29">
      <c r="A631" s="8">
        <f t="shared" si="19"/>
        <v>630</v>
      </c>
      <c r="B631" s="68" t="s">
        <v>3398</v>
      </c>
      <c r="C631" s="68" t="s">
        <v>3516</v>
      </c>
      <c r="D631" s="68" t="s">
        <v>126</v>
      </c>
      <c r="E631" s="68" t="s">
        <v>76</v>
      </c>
      <c r="F631" s="68" t="s">
        <v>118</v>
      </c>
      <c r="G631" s="68" t="s">
        <v>125</v>
      </c>
      <c r="H631" s="68" t="s">
        <v>3517</v>
      </c>
      <c r="I631" s="8">
        <v>223854</v>
      </c>
      <c r="J631" s="8">
        <v>2677199</v>
      </c>
      <c r="K631" s="68"/>
      <c r="L631" s="68"/>
      <c r="M631" s="68">
        <v>114</v>
      </c>
      <c r="N631" s="68" t="s">
        <v>3486</v>
      </c>
      <c r="O631" s="66">
        <v>45869.381944444445</v>
      </c>
      <c r="P631" s="68" t="s">
        <v>3518</v>
      </c>
      <c r="Q631" s="68"/>
      <c r="R631" s="68" t="s">
        <v>128</v>
      </c>
      <c r="S631" s="68" t="s">
        <v>104</v>
      </c>
      <c r="T631" s="1">
        <v>0.5</v>
      </c>
      <c r="U631" s="68">
        <v>511.7</v>
      </c>
      <c r="V631" s="68">
        <v>300</v>
      </c>
      <c r="W631" s="68"/>
      <c r="X631" s="68">
        <v>0.1</v>
      </c>
      <c r="Y631" s="68"/>
      <c r="Z631" s="68">
        <v>300</v>
      </c>
      <c r="AA631" s="68">
        <v>0</v>
      </c>
      <c r="AB631" s="68">
        <v>0.5</v>
      </c>
      <c r="AC631" s="8" t="str">
        <f>IF(COUNTIFS(作業區!$W$2:$W$2000, T631, 作業區!$X$2:$X$2000, U631)&gt;0, "已存在", "未擴充")</f>
        <v>已存在</v>
      </c>
    </row>
    <row r="632" spans="1:29">
      <c r="A632" s="8">
        <f t="shared" si="19"/>
        <v>631</v>
      </c>
      <c r="B632" s="68" t="s">
        <v>3502</v>
      </c>
      <c r="C632" s="68" t="s">
        <v>3519</v>
      </c>
      <c r="D632" s="68" t="s">
        <v>3520</v>
      </c>
      <c r="E632" s="68" t="s">
        <v>220</v>
      </c>
      <c r="F632" s="68" t="s">
        <v>586</v>
      </c>
      <c r="G632" s="68" t="s">
        <v>589</v>
      </c>
      <c r="H632" s="68" t="s">
        <v>3521</v>
      </c>
      <c r="I632" s="8">
        <v>227084</v>
      </c>
      <c r="J632" s="8">
        <v>2563033</v>
      </c>
      <c r="K632" s="68"/>
      <c r="L632" s="68"/>
      <c r="M632" s="68">
        <v>114</v>
      </c>
      <c r="N632" s="68" t="s">
        <v>3486</v>
      </c>
      <c r="O632" s="66">
        <v>45869.416666666664</v>
      </c>
      <c r="P632" s="68" t="s">
        <v>3522</v>
      </c>
      <c r="Q632" s="68"/>
      <c r="R632" s="68" t="s">
        <v>3508</v>
      </c>
      <c r="S632" s="68" t="s">
        <v>3509</v>
      </c>
      <c r="T632" s="1">
        <v>6.5</v>
      </c>
      <c r="U632" s="68">
        <v>1023.9</v>
      </c>
      <c r="V632" s="68">
        <v>300</v>
      </c>
      <c r="W632" s="68"/>
      <c r="X632" s="68"/>
      <c r="Y632" s="68"/>
      <c r="Z632" s="68"/>
      <c r="AA632" s="68">
        <v>6.5</v>
      </c>
      <c r="AB632" s="68">
        <v>21.5</v>
      </c>
      <c r="AC632" s="8" t="str">
        <f>IF(COUNTIFS(作業區!$W$2:$W$2000, T632, 作業區!$X$2:$X$2000, U632)&gt;0, "已存在", "未擴充")</f>
        <v>已存在</v>
      </c>
    </row>
    <row r="633" spans="1:29">
      <c r="A633" s="8">
        <f t="shared" si="19"/>
        <v>632</v>
      </c>
      <c r="B633" s="68" t="s">
        <v>3494</v>
      </c>
      <c r="C633" s="68" t="s">
        <v>3523</v>
      </c>
      <c r="D633" s="68" t="s">
        <v>3524</v>
      </c>
      <c r="E633" s="68" t="s">
        <v>65</v>
      </c>
      <c r="F633" s="68" t="s">
        <v>3525</v>
      </c>
      <c r="G633" s="68" t="s">
        <v>3526</v>
      </c>
      <c r="H633" s="68"/>
      <c r="I633" s="8">
        <v>235143</v>
      </c>
      <c r="J633" s="8">
        <v>2621919</v>
      </c>
      <c r="K633" s="68"/>
      <c r="L633" s="68"/>
      <c r="M633" s="68">
        <v>114</v>
      </c>
      <c r="N633" s="68" t="s">
        <v>3486</v>
      </c>
      <c r="O633" s="66">
        <v>45869.462500000001</v>
      </c>
      <c r="P633" s="68" t="s">
        <v>3527</v>
      </c>
      <c r="Q633" s="68"/>
      <c r="R633" s="68" t="s">
        <v>3528</v>
      </c>
      <c r="S633" s="68" t="s">
        <v>3529</v>
      </c>
      <c r="T633" s="1">
        <v>10</v>
      </c>
      <c r="U633" s="68">
        <v>467.8</v>
      </c>
      <c r="V633" s="68">
        <v>500</v>
      </c>
      <c r="W633" s="68"/>
      <c r="X633" s="68">
        <v>0.03</v>
      </c>
      <c r="Y633" s="68">
        <v>900</v>
      </c>
      <c r="Z633" s="68">
        <v>900</v>
      </c>
      <c r="AA633" s="68">
        <v>10</v>
      </c>
      <c r="AB633" s="68">
        <v>76.5</v>
      </c>
      <c r="AC633" s="8" t="str">
        <f>IF(COUNTIFS(作業區!$W$2:$W$2000, T633, 作業區!$X$2:$X$2000, U633)&gt;0, "已存在", "未擴充")</f>
        <v>已存在</v>
      </c>
    </row>
    <row r="634" spans="1:29">
      <c r="A634" s="8">
        <f t="shared" si="19"/>
        <v>633</v>
      </c>
      <c r="B634" s="68" t="s">
        <v>3494</v>
      </c>
      <c r="C634" s="68" t="s">
        <v>3530</v>
      </c>
      <c r="D634" s="68" t="s">
        <v>3531</v>
      </c>
      <c r="E634" s="68" t="s">
        <v>3532</v>
      </c>
      <c r="F634" s="68" t="s">
        <v>3533</v>
      </c>
      <c r="G634" s="68" t="s">
        <v>3534</v>
      </c>
      <c r="H634" s="68"/>
      <c r="I634" s="63">
        <v>216522</v>
      </c>
      <c r="J634" s="63">
        <v>2634330</v>
      </c>
      <c r="K634" s="68"/>
      <c r="L634" s="68"/>
      <c r="M634" s="68">
        <v>114</v>
      </c>
      <c r="N634" s="68" t="s">
        <v>3486</v>
      </c>
      <c r="O634" s="66">
        <v>45869.631249999999</v>
      </c>
      <c r="P634" s="68" t="s">
        <v>3535</v>
      </c>
      <c r="Q634" s="68"/>
      <c r="R634" s="68" t="s">
        <v>3536</v>
      </c>
      <c r="S634" s="68" t="s">
        <v>3537</v>
      </c>
      <c r="T634" s="1">
        <v>2.5</v>
      </c>
      <c r="U634" s="68">
        <v>330.4</v>
      </c>
      <c r="V634" s="68"/>
      <c r="W634" s="68"/>
      <c r="X634" s="68">
        <v>0.08</v>
      </c>
      <c r="Y634" s="68">
        <v>4000</v>
      </c>
      <c r="Z634" s="68">
        <v>4000</v>
      </c>
      <c r="AA634" s="68">
        <v>2.5</v>
      </c>
      <c r="AB634" s="68">
        <v>11.5</v>
      </c>
      <c r="AC634" s="8" t="str">
        <f>IF(COUNTIFS(作業區!$W$2:$W$2000, T634, 作業區!$X$2:$X$2000, U634)&gt;0, "已存在", "未擴充")</f>
        <v>已存在</v>
      </c>
    </row>
    <row r="635" spans="1:29">
      <c r="A635" s="8">
        <f t="shared" si="19"/>
        <v>634</v>
      </c>
      <c r="B635" s="68" t="s">
        <v>3538</v>
      </c>
      <c r="C635" s="68" t="s">
        <v>3539</v>
      </c>
      <c r="D635" s="68" t="s">
        <v>3540</v>
      </c>
      <c r="E635" s="68" t="s">
        <v>3532</v>
      </c>
      <c r="F635" s="68" t="s">
        <v>3541</v>
      </c>
      <c r="G635" s="68" t="s">
        <v>3542</v>
      </c>
      <c r="H635" s="68" t="s">
        <v>3543</v>
      </c>
      <c r="I635" s="70">
        <v>210552</v>
      </c>
      <c r="J635" s="63">
        <v>2654666</v>
      </c>
      <c r="K635" s="68"/>
      <c r="L635" s="68"/>
      <c r="M635" s="68">
        <v>114</v>
      </c>
      <c r="N635" s="68" t="s">
        <v>3486</v>
      </c>
      <c r="O635" s="66">
        <v>45869.645833333336</v>
      </c>
      <c r="P635" s="68" t="s">
        <v>3544</v>
      </c>
      <c r="Q635" s="68"/>
      <c r="R635" s="68" t="s">
        <v>3545</v>
      </c>
      <c r="S635" s="68" t="s">
        <v>3546</v>
      </c>
      <c r="T635" s="1">
        <v>37</v>
      </c>
      <c r="U635" s="68">
        <v>292.3</v>
      </c>
      <c r="V635" s="68">
        <v>550</v>
      </c>
      <c r="W635" s="68"/>
      <c r="X635" s="68">
        <v>0.06</v>
      </c>
      <c r="Y635" s="68"/>
      <c r="Z635" s="68">
        <v>600</v>
      </c>
      <c r="AA635" s="68">
        <v>37</v>
      </c>
      <c r="AB635" s="68">
        <v>43</v>
      </c>
      <c r="AC635" s="8" t="str">
        <f>IF(COUNTIFS(作業區!$W$2:$W$2000, T635, 作業區!$X$2:$X$2000, U635)&gt;0, "已存在", "未擴充")</f>
        <v>已存在</v>
      </c>
    </row>
    <row r="636" spans="1:29">
      <c r="A636" s="8">
        <f t="shared" si="19"/>
        <v>635</v>
      </c>
      <c r="B636" s="68" t="s">
        <v>3538</v>
      </c>
      <c r="C636" s="68" t="s">
        <v>3539</v>
      </c>
      <c r="D636" s="68" t="s">
        <v>3540</v>
      </c>
      <c r="E636" s="68" t="s">
        <v>3532</v>
      </c>
      <c r="F636" s="68" t="s">
        <v>3541</v>
      </c>
      <c r="G636" s="68" t="s">
        <v>3542</v>
      </c>
      <c r="H636" s="68" t="s">
        <v>3547</v>
      </c>
      <c r="I636" s="70">
        <v>210552</v>
      </c>
      <c r="J636" s="63">
        <v>2654666</v>
      </c>
      <c r="K636" s="68"/>
      <c r="L636" s="68"/>
      <c r="M636" s="68">
        <v>114</v>
      </c>
      <c r="N636" s="68" t="s">
        <v>3486</v>
      </c>
      <c r="O636" s="66">
        <v>45869.645833333336</v>
      </c>
      <c r="P636" s="68" t="s">
        <v>3544</v>
      </c>
      <c r="Q636" s="68"/>
      <c r="R636" s="68" t="s">
        <v>3545</v>
      </c>
      <c r="S636" s="68" t="s">
        <v>3546</v>
      </c>
      <c r="T636" s="1">
        <v>37</v>
      </c>
      <c r="U636" s="68">
        <v>292.3</v>
      </c>
      <c r="V636" s="68">
        <v>550</v>
      </c>
      <c r="W636" s="68"/>
      <c r="X636" s="68">
        <v>0.06</v>
      </c>
      <c r="Y636" s="68"/>
      <c r="Z636" s="68">
        <v>600</v>
      </c>
      <c r="AA636" s="68">
        <v>37</v>
      </c>
      <c r="AB636" s="68">
        <v>43</v>
      </c>
      <c r="AC636" s="8" t="str">
        <f>IF(COUNTIFS(作業區!$W$2:$W$2000, T636, 作業區!$X$2:$X$2000, U636)&gt;0, "已存在", "未擴充")</f>
        <v>已存在</v>
      </c>
    </row>
    <row r="637" spans="1:29">
      <c r="A637" s="8">
        <f t="shared" si="19"/>
        <v>636</v>
      </c>
      <c r="B637" s="68" t="s">
        <v>3494</v>
      </c>
      <c r="C637" s="68" t="s">
        <v>3548</v>
      </c>
      <c r="D637" s="68" t="s">
        <v>3549</v>
      </c>
      <c r="E637" s="68" t="s">
        <v>213</v>
      </c>
      <c r="F637" s="68" t="s">
        <v>214</v>
      </c>
      <c r="G637" s="68" t="s">
        <v>3550</v>
      </c>
      <c r="H637" s="68"/>
      <c r="I637" s="63">
        <v>214565</v>
      </c>
      <c r="J637" s="63">
        <v>2543388</v>
      </c>
      <c r="K637" s="68"/>
      <c r="L637" s="68"/>
      <c r="M637" s="68">
        <v>114</v>
      </c>
      <c r="N637" s="68" t="s">
        <v>3486</v>
      </c>
      <c r="O637" s="66">
        <v>45871.416666666664</v>
      </c>
      <c r="P637" s="68" t="s">
        <v>3551</v>
      </c>
      <c r="Q637" s="68"/>
      <c r="R637" s="68" t="s">
        <v>3552</v>
      </c>
      <c r="S637" s="68" t="s">
        <v>3553</v>
      </c>
      <c r="T637" s="1">
        <v>54</v>
      </c>
      <c r="U637" s="68">
        <v>331.4</v>
      </c>
      <c r="V637" s="68"/>
      <c r="W637" s="68"/>
      <c r="X637" s="68">
        <v>0.5</v>
      </c>
      <c r="Y637" s="68">
        <v>10000</v>
      </c>
      <c r="Z637" s="68">
        <v>10000</v>
      </c>
      <c r="AA637" s="68">
        <v>54</v>
      </c>
      <c r="AB637" s="68">
        <v>90</v>
      </c>
      <c r="AC637" s="8" t="str">
        <f>IF(COUNTIFS(作業區!$W$2:$W$2000, T637, 作業區!$X$2:$X$2000, U637)&gt;0, "已存在", "未擴充")</f>
        <v>已存在</v>
      </c>
    </row>
    <row r="638" spans="1:29">
      <c r="A638" s="8">
        <f t="shared" si="19"/>
        <v>637</v>
      </c>
      <c r="B638" s="68" t="s">
        <v>3554</v>
      </c>
      <c r="C638" s="68" t="s">
        <v>3555</v>
      </c>
      <c r="D638" s="68" t="s">
        <v>3556</v>
      </c>
      <c r="E638" s="68" t="s">
        <v>220</v>
      </c>
      <c r="F638" s="68" t="s">
        <v>221</v>
      </c>
      <c r="G638" s="68" t="s">
        <v>238</v>
      </c>
      <c r="H638" s="68"/>
      <c r="I638" s="63">
        <v>196348</v>
      </c>
      <c r="J638" s="63">
        <v>2545823</v>
      </c>
      <c r="K638" s="68"/>
      <c r="L638" s="68"/>
      <c r="M638" s="68">
        <v>114</v>
      </c>
      <c r="N638" s="68" t="s">
        <v>3486</v>
      </c>
      <c r="O638" s="66">
        <v>45871.725694444445</v>
      </c>
      <c r="P638" s="68" t="s">
        <v>3557</v>
      </c>
      <c r="Q638" s="68"/>
      <c r="R638" s="68" t="s">
        <v>241</v>
      </c>
      <c r="S638" s="68" t="s">
        <v>242</v>
      </c>
      <c r="T638" s="68">
        <v>10.5</v>
      </c>
      <c r="U638" s="68">
        <v>753.4</v>
      </c>
      <c r="V638" s="68">
        <v>350</v>
      </c>
      <c r="W638" s="68"/>
      <c r="X638" s="68">
        <v>7.4999999999999997E-2</v>
      </c>
      <c r="Y638" s="68">
        <v>1875</v>
      </c>
      <c r="Z638" s="68">
        <v>1875</v>
      </c>
      <c r="AA638" s="68">
        <v>10.5</v>
      </c>
      <c r="AB638" s="68">
        <v>69</v>
      </c>
      <c r="AC638" s="8" t="str">
        <f>IF(COUNTIFS(作業區!$W$2:$W$2000, T638, 作業區!$X$2:$X$2000, U638)&gt;0, "已存在", "未擴充")</f>
        <v>已存在</v>
      </c>
    </row>
    <row r="639" spans="1:29">
      <c r="A639" s="8">
        <f t="shared" si="19"/>
        <v>638</v>
      </c>
      <c r="B639" s="68" t="s">
        <v>3494</v>
      </c>
      <c r="C639" s="68" t="s">
        <v>3558</v>
      </c>
      <c r="D639" s="68" t="s">
        <v>3559</v>
      </c>
      <c r="E639" s="68" t="s">
        <v>213</v>
      </c>
      <c r="F639" s="68" t="s">
        <v>3560</v>
      </c>
      <c r="G639" s="68" t="s">
        <v>3561</v>
      </c>
      <c r="H639" s="68"/>
      <c r="I639" s="68">
        <v>214040</v>
      </c>
      <c r="J639" s="68">
        <v>2533586</v>
      </c>
      <c r="K639" s="68"/>
      <c r="L639" s="68"/>
      <c r="M639" s="68">
        <v>114</v>
      </c>
      <c r="N639" s="68" t="s">
        <v>3486</v>
      </c>
      <c r="O639" s="66">
        <v>45871.875</v>
      </c>
      <c r="P639" s="68" t="s">
        <v>3562</v>
      </c>
      <c r="Q639" s="68"/>
      <c r="R639" s="68" t="s">
        <v>3563</v>
      </c>
      <c r="S639" s="68" t="s">
        <v>3564</v>
      </c>
      <c r="T639" s="1">
        <v>0</v>
      </c>
      <c r="U639" s="68">
        <v>262.39999999999998</v>
      </c>
      <c r="V639" s="68"/>
      <c r="W639" s="68"/>
      <c r="X639" s="68">
        <v>0.03</v>
      </c>
      <c r="Y639" s="68">
        <v>3000</v>
      </c>
      <c r="Z639" s="68">
        <v>3000</v>
      </c>
      <c r="AA639" s="68">
        <v>0</v>
      </c>
      <c r="AB639" s="68">
        <v>1</v>
      </c>
      <c r="AC639" s="8" t="str">
        <f>IF(COUNTIFS(作業區!$W$2:$W$2000, T639, 作業區!$X$2:$X$2000, U639)&gt;0, "已存在", "未擴充")</f>
        <v>已存在</v>
      </c>
    </row>
    <row r="640" spans="1:29">
      <c r="A640" s="8">
        <f t="shared" si="19"/>
        <v>639</v>
      </c>
      <c r="B640" s="68" t="s">
        <v>3502</v>
      </c>
      <c r="C640" s="68" t="s">
        <v>3565</v>
      </c>
      <c r="D640" s="68" t="s">
        <v>3566</v>
      </c>
      <c r="E640" s="68" t="s">
        <v>220</v>
      </c>
      <c r="F640" s="68" t="s">
        <v>221</v>
      </c>
      <c r="G640" s="68" t="s">
        <v>230</v>
      </c>
      <c r="H640" s="68" t="s">
        <v>3567</v>
      </c>
      <c r="I640" s="68">
        <v>214593</v>
      </c>
      <c r="J640" s="68">
        <v>2540811</v>
      </c>
      <c r="K640" s="68"/>
      <c r="L640" s="68"/>
      <c r="M640" s="68">
        <v>114</v>
      </c>
      <c r="N640" s="68" t="s">
        <v>3486</v>
      </c>
      <c r="O640" s="66">
        <v>45872.375</v>
      </c>
      <c r="P640" s="68" t="s">
        <v>3568</v>
      </c>
      <c r="Q640" s="68"/>
      <c r="R640" s="68" t="s">
        <v>233</v>
      </c>
      <c r="S640" s="68" t="s">
        <v>234</v>
      </c>
      <c r="T640" s="1">
        <v>13</v>
      </c>
      <c r="U640" s="68">
        <v>643.5</v>
      </c>
      <c r="V640" s="68">
        <v>350</v>
      </c>
      <c r="W640" s="68"/>
      <c r="X640" s="68">
        <v>0.15</v>
      </c>
      <c r="Y640" s="68"/>
      <c r="Z640" s="68"/>
      <c r="AA640" s="68">
        <v>13</v>
      </c>
      <c r="AB640" s="68">
        <v>22</v>
      </c>
      <c r="AC640" s="8" t="str">
        <f>IF(COUNTIFS(作業區!$W$2:$W$2000, T640, 作業區!$X$2:$X$2000, U640)&gt;0, "已存在", "未擴充")</f>
        <v>已存在</v>
      </c>
    </row>
    <row r="641" spans="1:29">
      <c r="A641" s="8">
        <f t="shared" si="19"/>
        <v>640</v>
      </c>
      <c r="B641" s="68" t="s">
        <v>3502</v>
      </c>
      <c r="C641" s="68" t="s">
        <v>3565</v>
      </c>
      <c r="D641" s="68" t="s">
        <v>3566</v>
      </c>
      <c r="E641" s="68" t="s">
        <v>220</v>
      </c>
      <c r="F641" s="68" t="s">
        <v>221</v>
      </c>
      <c r="G641" s="68" t="s">
        <v>230</v>
      </c>
      <c r="H641" s="68" t="s">
        <v>3569</v>
      </c>
      <c r="I641" s="68">
        <v>214593</v>
      </c>
      <c r="J641" s="68">
        <v>2540811</v>
      </c>
      <c r="K641" s="68"/>
      <c r="L641" s="68"/>
      <c r="M641" s="68">
        <v>114</v>
      </c>
      <c r="N641" s="68" t="s">
        <v>3486</v>
      </c>
      <c r="O641" s="66">
        <v>45872.375</v>
      </c>
      <c r="P641" s="68" t="s">
        <v>3568</v>
      </c>
      <c r="Q641" s="68"/>
      <c r="R641" s="68" t="s">
        <v>233</v>
      </c>
      <c r="S641" s="68" t="s">
        <v>234</v>
      </c>
      <c r="T641" s="1">
        <v>13</v>
      </c>
      <c r="U641" s="68">
        <v>643.5</v>
      </c>
      <c r="V641" s="68">
        <v>350</v>
      </c>
      <c r="W641" s="68"/>
      <c r="X641" s="68">
        <v>0.15</v>
      </c>
      <c r="Y641" s="68"/>
      <c r="Z641" s="68"/>
      <c r="AA641" s="68">
        <v>13</v>
      </c>
      <c r="AB641" s="68">
        <v>22</v>
      </c>
      <c r="AC641" s="8" t="str">
        <f>IF(COUNTIFS(作業區!$W$2:$W$2000, T641, 作業區!$X$2:$X$2000, U641)&gt;0, "已存在", "未擴充")</f>
        <v>已存在</v>
      </c>
    </row>
    <row r="642" spans="1:29">
      <c r="A642" s="8">
        <f t="shared" si="19"/>
        <v>641</v>
      </c>
      <c r="B642" s="68" t="s">
        <v>3398</v>
      </c>
      <c r="C642" s="68" t="s">
        <v>3570</v>
      </c>
      <c r="D642" s="68" t="s">
        <v>3571</v>
      </c>
      <c r="E642" s="68" t="s">
        <v>220</v>
      </c>
      <c r="F642" s="68" t="s">
        <v>221</v>
      </c>
      <c r="G642" s="68" t="s">
        <v>230</v>
      </c>
      <c r="H642" s="68" t="s">
        <v>3572</v>
      </c>
      <c r="I642" s="8">
        <v>213947</v>
      </c>
      <c r="J642" s="8">
        <v>2534777</v>
      </c>
      <c r="K642" s="68"/>
      <c r="L642" s="68"/>
      <c r="M642" s="68">
        <v>114</v>
      </c>
      <c r="N642" s="68" t="s">
        <v>3486</v>
      </c>
      <c r="O642" s="66">
        <v>45872.416666666664</v>
      </c>
      <c r="P642" s="68" t="s">
        <v>3573</v>
      </c>
      <c r="Q642" s="68"/>
      <c r="R642" s="68" t="s">
        <v>233</v>
      </c>
      <c r="S642" s="68" t="s">
        <v>234</v>
      </c>
      <c r="T642" s="1">
        <v>45</v>
      </c>
      <c r="U642" s="68">
        <v>661.2</v>
      </c>
      <c r="V642" s="68">
        <v>350</v>
      </c>
      <c r="W642" s="68"/>
      <c r="X642" s="68">
        <v>0.2</v>
      </c>
      <c r="Y642" s="68">
        <v>4000</v>
      </c>
      <c r="Z642" s="68">
        <v>300000</v>
      </c>
      <c r="AA642" s="68">
        <v>45</v>
      </c>
      <c r="AB642" s="68">
        <v>67</v>
      </c>
      <c r="AC642" s="8" t="str">
        <f>IF(COUNTIFS(作業區!$W$2:$W$2000, T642, 作業區!$X$2:$X$2000, U642)&gt;0, "已存在", "未擴充")</f>
        <v>已存在</v>
      </c>
    </row>
    <row r="643" spans="1:29">
      <c r="A643" s="8">
        <f t="shared" si="19"/>
        <v>642</v>
      </c>
      <c r="B643" s="68" t="s">
        <v>3502</v>
      </c>
      <c r="C643" s="68" t="s">
        <v>3574</v>
      </c>
      <c r="D643" s="68" t="s">
        <v>3575</v>
      </c>
      <c r="E643" s="68" t="s">
        <v>220</v>
      </c>
      <c r="F643" s="68" t="s">
        <v>221</v>
      </c>
      <c r="G643" s="68" t="s">
        <v>238</v>
      </c>
      <c r="H643" s="68" t="s">
        <v>3576</v>
      </c>
      <c r="I643" s="68">
        <v>211659</v>
      </c>
      <c r="J643" s="68">
        <v>2650023</v>
      </c>
      <c r="K643" s="68"/>
      <c r="L643" s="68"/>
      <c r="M643" s="68">
        <v>114</v>
      </c>
      <c r="N643" s="68" t="s">
        <v>3486</v>
      </c>
      <c r="O643" s="66">
        <v>45872.583333333336</v>
      </c>
      <c r="P643" s="68" t="s">
        <v>3577</v>
      </c>
      <c r="Q643" s="68"/>
      <c r="R643" s="68" t="s">
        <v>241</v>
      </c>
      <c r="S643" s="68" t="s">
        <v>242</v>
      </c>
      <c r="T643" s="1">
        <v>10</v>
      </c>
      <c r="U643" s="68">
        <v>1058.9000000000001</v>
      </c>
      <c r="V643" s="68">
        <v>350</v>
      </c>
      <c r="W643" s="68"/>
      <c r="X643" s="68">
        <v>0.1</v>
      </c>
      <c r="Y643" s="68"/>
      <c r="Z643" s="68"/>
      <c r="AA643" s="68">
        <v>10</v>
      </c>
      <c r="AB643" s="63">
        <v>80</v>
      </c>
      <c r="AC643" s="8" t="str">
        <f>IF(COUNTIFS(作業區!$W$2:$W$2000, T643, 作業區!$X$2:$X$2000, U643)&gt;0, "已存在", "未擴充")</f>
        <v>已存在</v>
      </c>
    </row>
    <row r="644" spans="1:29">
      <c r="A644" s="8">
        <f t="shared" si="19"/>
        <v>643</v>
      </c>
      <c r="B644" s="68" t="s">
        <v>3494</v>
      </c>
      <c r="C644" s="68" t="s">
        <v>3578</v>
      </c>
      <c r="D644" s="68" t="s">
        <v>3579</v>
      </c>
      <c r="E644" s="68" t="s">
        <v>3532</v>
      </c>
      <c r="F644" s="68" t="s">
        <v>3580</v>
      </c>
      <c r="G644" s="68" t="s">
        <v>3581</v>
      </c>
      <c r="H644" s="68"/>
      <c r="I644" s="68">
        <v>187124</v>
      </c>
      <c r="J644" s="68">
        <v>2571971</v>
      </c>
      <c r="K644" s="68"/>
      <c r="L644" s="68"/>
      <c r="M644" s="68">
        <v>114</v>
      </c>
      <c r="N644" s="68" t="s">
        <v>3486</v>
      </c>
      <c r="O644" s="66">
        <v>45872.666666666664</v>
      </c>
      <c r="P644" s="68" t="s">
        <v>3582</v>
      </c>
      <c r="Q644" s="68"/>
      <c r="R644" s="68" t="s">
        <v>3583</v>
      </c>
      <c r="S644" s="68" t="s">
        <v>3584</v>
      </c>
      <c r="T644" s="1">
        <v>7</v>
      </c>
      <c r="U644" s="68">
        <v>258.39999999999998</v>
      </c>
      <c r="V644" s="68"/>
      <c r="W644" s="68"/>
      <c r="X644" s="68">
        <v>1.4999999999999999E-2</v>
      </c>
      <c r="Y644" s="68">
        <v>300</v>
      </c>
      <c r="Z644" s="68">
        <v>300</v>
      </c>
      <c r="AA644" s="68">
        <v>7</v>
      </c>
      <c r="AB644" s="68">
        <v>79</v>
      </c>
      <c r="AC644" s="8" t="str">
        <f>IF(COUNTIFS(作業區!$W$2:$W$2000, T644, 作業區!$X$2:$X$2000, U644)&gt;0, "已存在", "未擴充")</f>
        <v>已存在</v>
      </c>
    </row>
    <row r="645" spans="1:29">
      <c r="A645" s="8">
        <f t="shared" si="19"/>
        <v>644</v>
      </c>
      <c r="B645" s="68" t="s">
        <v>3585</v>
      </c>
      <c r="C645" s="68" t="s">
        <v>3586</v>
      </c>
      <c r="D645" s="68" t="s">
        <v>3587</v>
      </c>
      <c r="E645" s="68" t="s">
        <v>3588</v>
      </c>
      <c r="F645" s="68" t="s">
        <v>3589</v>
      </c>
      <c r="G645" s="68" t="s">
        <v>3590</v>
      </c>
      <c r="H645" s="68"/>
      <c r="I645" s="68">
        <v>305320</v>
      </c>
      <c r="J645" s="68">
        <v>2765188</v>
      </c>
      <c r="K645" s="68"/>
      <c r="L645" s="68"/>
      <c r="M645" s="68">
        <v>114</v>
      </c>
      <c r="N645" s="68" t="s">
        <v>3591</v>
      </c>
      <c r="O645" s="46">
        <v>45951.833333333336</v>
      </c>
      <c r="P645" s="68" t="s">
        <v>3592</v>
      </c>
      <c r="Q645" s="68" t="s">
        <v>3593</v>
      </c>
      <c r="R645" s="68" t="s">
        <v>3594</v>
      </c>
      <c r="S645" s="68" t="s">
        <v>3595</v>
      </c>
      <c r="T645" s="1">
        <v>9</v>
      </c>
      <c r="U645" s="68">
        <v>225.9</v>
      </c>
      <c r="V645" s="68"/>
      <c r="W645" s="68"/>
      <c r="X645" s="8">
        <v>0.03</v>
      </c>
      <c r="Y645" s="25">
        <v>300</v>
      </c>
      <c r="Z645" s="25">
        <v>300</v>
      </c>
      <c r="AA645" s="68">
        <v>9</v>
      </c>
      <c r="AB645" s="68">
        <v>23.5</v>
      </c>
      <c r="AC645" s="8" t="str">
        <f>IF(COUNTIFS(作業區!$W$2:$W$2000, T645, 作業區!$X$2:$X$2000, U645)&gt;0, "已存在", "未擴充")</f>
        <v>已存在</v>
      </c>
    </row>
    <row r="646" spans="1:29">
      <c r="A646" s="8">
        <f t="shared" si="19"/>
        <v>645</v>
      </c>
      <c r="B646" s="68" t="s">
        <v>3585</v>
      </c>
      <c r="C646" s="68" t="s">
        <v>3596</v>
      </c>
      <c r="D646" s="68" t="s">
        <v>3597</v>
      </c>
      <c r="E646" s="68" t="s">
        <v>318</v>
      </c>
      <c r="F646" s="68" t="s">
        <v>319</v>
      </c>
      <c r="G646" s="68" t="s">
        <v>3598</v>
      </c>
      <c r="H646" s="68"/>
      <c r="I646" s="68">
        <v>286245</v>
      </c>
      <c r="J646" s="68">
        <v>2755778</v>
      </c>
      <c r="K646" s="68"/>
      <c r="L646" s="68"/>
      <c r="M646" s="68">
        <v>114</v>
      </c>
      <c r="N646" s="68" t="s">
        <v>3599</v>
      </c>
      <c r="O646" s="46">
        <v>45952.375</v>
      </c>
      <c r="P646" s="68" t="s">
        <v>3600</v>
      </c>
      <c r="Q646" s="68" t="s">
        <v>3593</v>
      </c>
      <c r="R646" s="68" t="s">
        <v>3601</v>
      </c>
      <c r="S646" s="68" t="s">
        <v>3602</v>
      </c>
      <c r="T646" s="68">
        <v>8.5</v>
      </c>
      <c r="U646" s="68">
        <v>311.89999999999998</v>
      </c>
      <c r="V646" s="68"/>
      <c r="W646" s="68"/>
      <c r="X646" s="68">
        <v>2.5000000000000001E-3</v>
      </c>
      <c r="Y646" s="68">
        <v>25</v>
      </c>
      <c r="Z646" s="68">
        <v>25</v>
      </c>
      <c r="AA646" s="68">
        <v>6</v>
      </c>
      <c r="AB646" s="68">
        <v>18</v>
      </c>
      <c r="AC646" s="8" t="str">
        <f>IF(COUNTIFS(作業區!$W$2:$W$2000, T646, 作業區!$X$2:$X$2000, U646)&gt;0, "已存在", "未擴充")</f>
        <v>已存在</v>
      </c>
    </row>
    <row r="647" spans="1:29">
      <c r="A647" s="8">
        <f t="shared" si="19"/>
        <v>646</v>
      </c>
      <c r="B647" s="68" t="s">
        <v>3585</v>
      </c>
      <c r="C647" s="68" t="s">
        <v>3603</v>
      </c>
      <c r="D647" s="68" t="s">
        <v>3604</v>
      </c>
      <c r="E647" s="68" t="s">
        <v>318</v>
      </c>
      <c r="F647" s="68" t="s">
        <v>3605</v>
      </c>
      <c r="G647" s="68" t="s">
        <v>3606</v>
      </c>
      <c r="H647" s="68"/>
      <c r="I647" s="68">
        <v>311953</v>
      </c>
      <c r="J647" s="68">
        <v>2778410</v>
      </c>
      <c r="K647" s="68"/>
      <c r="L647" s="68"/>
      <c r="M647" s="68">
        <v>114</v>
      </c>
      <c r="N647" s="46" t="s">
        <v>3591</v>
      </c>
      <c r="O647" s="46">
        <v>45952.166666666664</v>
      </c>
      <c r="P647" s="68" t="s">
        <v>3607</v>
      </c>
      <c r="Q647" s="68" t="s">
        <v>3593</v>
      </c>
      <c r="R647" s="68" t="s">
        <v>3608</v>
      </c>
      <c r="S647" s="1" t="s">
        <v>3609</v>
      </c>
      <c r="T647" s="68">
        <v>27.5</v>
      </c>
      <c r="U647" s="68">
        <v>838</v>
      </c>
      <c r="V647" s="68">
        <v>500</v>
      </c>
      <c r="X647" s="25">
        <v>0.08</v>
      </c>
      <c r="Y647" s="25">
        <v>800</v>
      </c>
      <c r="Z647" s="68">
        <v>800</v>
      </c>
      <c r="AA647" s="68">
        <v>27.5</v>
      </c>
      <c r="AB647" s="68">
        <v>73</v>
      </c>
      <c r="AC647" s="8" t="str">
        <f>IF(COUNTIFS(作業區!$W$2:$W$2000, T647, 作業區!$X$2:$X$2000, U647)&gt;0, "已存在", "未擴充")</f>
        <v>已存在</v>
      </c>
    </row>
    <row r="648" spans="1:29">
      <c r="A648" s="8">
        <f t="shared" si="19"/>
        <v>647</v>
      </c>
      <c r="B648" s="68" t="s">
        <v>3494</v>
      </c>
      <c r="C648" s="68" t="s">
        <v>3610</v>
      </c>
      <c r="D648" s="68" t="s">
        <v>3611</v>
      </c>
      <c r="E648" s="68" t="s">
        <v>318</v>
      </c>
      <c r="F648" s="68" t="s">
        <v>341</v>
      </c>
      <c r="G648" s="68" t="s">
        <v>3612</v>
      </c>
      <c r="H648" s="68"/>
      <c r="I648" s="68">
        <v>298438</v>
      </c>
      <c r="J648" s="68">
        <v>2759595</v>
      </c>
      <c r="K648" s="68"/>
      <c r="L648" s="68"/>
      <c r="M648" s="68">
        <v>114</v>
      </c>
      <c r="N648" s="68" t="s">
        <v>3599</v>
      </c>
      <c r="O648" s="46">
        <v>45955.25</v>
      </c>
      <c r="P648" s="68" t="s">
        <v>3613</v>
      </c>
      <c r="Q648" s="68"/>
      <c r="R648" s="68" t="s">
        <v>3614</v>
      </c>
      <c r="S648" s="68" t="s">
        <v>3615</v>
      </c>
      <c r="T648" s="68">
        <v>10.5</v>
      </c>
      <c r="U648" s="68">
        <v>145.19999999999999</v>
      </c>
      <c r="V648" s="68">
        <v>450</v>
      </c>
      <c r="X648" s="8">
        <v>0.05</v>
      </c>
      <c r="Y648" s="25">
        <v>5000</v>
      </c>
      <c r="Z648" s="25">
        <v>5000</v>
      </c>
      <c r="AA648" s="68">
        <v>0.5</v>
      </c>
      <c r="AB648" s="68">
        <v>0.5</v>
      </c>
      <c r="AC648" s="8" t="str">
        <f>IF(COUNTIFS(作業區!$W$2:$W$2000, T648, 作業區!$X$2:$X$2000, U648)&gt;0, "已存在", "未擴充")</f>
        <v>已存在</v>
      </c>
    </row>
    <row r="649" spans="1:29">
      <c r="A649" s="8">
        <f>ROW(A649)-1</f>
        <v>648</v>
      </c>
      <c r="B649" s="68" t="s">
        <v>3436</v>
      </c>
      <c r="C649" s="68" t="s">
        <v>3616</v>
      </c>
      <c r="D649" s="68" t="s">
        <v>3617</v>
      </c>
      <c r="E649" s="68" t="s">
        <v>318</v>
      </c>
      <c r="F649" s="68" t="s">
        <v>3618</v>
      </c>
      <c r="G649" s="68" t="s">
        <v>3619</v>
      </c>
      <c r="H649" s="68"/>
      <c r="I649" s="68">
        <v>329510</v>
      </c>
      <c r="J649" s="68">
        <v>2768115</v>
      </c>
      <c r="K649" s="68"/>
      <c r="L649" s="68"/>
      <c r="M649" s="68">
        <v>114</v>
      </c>
      <c r="N649" s="68" t="s">
        <v>3599</v>
      </c>
      <c r="O649" s="46">
        <v>45955.791666666664</v>
      </c>
      <c r="P649" s="68" t="s">
        <v>3620</v>
      </c>
      <c r="Q649" s="68"/>
      <c r="R649" s="68" t="s">
        <v>3621</v>
      </c>
      <c r="S649" s="68" t="s">
        <v>3622</v>
      </c>
      <c r="T649" s="68">
        <v>3</v>
      </c>
      <c r="U649" s="68">
        <v>409.3</v>
      </c>
      <c r="V649" s="68"/>
      <c r="W649" s="68"/>
      <c r="X649" s="68">
        <v>2.266</v>
      </c>
      <c r="Y649" s="68"/>
      <c r="Z649" s="68">
        <v>109296</v>
      </c>
      <c r="AA649" s="68">
        <v>3</v>
      </c>
      <c r="AB649" s="68">
        <v>9</v>
      </c>
      <c r="AC649" s="8" t="str">
        <f>IF(COUNTIFS(作業區!$W$2:$W$2000, T649, 作業區!$X$2:$X$2000, U649)&gt;0, "已存在", "未擴充")</f>
        <v>已存在</v>
      </c>
    </row>
    <row r="650" spans="1:29">
      <c r="A650" s="8">
        <f t="shared" si="19"/>
        <v>649</v>
      </c>
      <c r="B650" s="68" t="s">
        <v>3436</v>
      </c>
      <c r="C650" s="68" t="s">
        <v>3623</v>
      </c>
      <c r="D650" s="68" t="s">
        <v>3624</v>
      </c>
      <c r="E650" s="68" t="s">
        <v>44</v>
      </c>
      <c r="F650" s="68" t="s">
        <v>308</v>
      </c>
      <c r="G650" s="68" t="s">
        <v>3625</v>
      </c>
      <c r="H650" s="68"/>
      <c r="I650" s="68">
        <v>337744</v>
      </c>
      <c r="J650" s="68">
        <v>2719197</v>
      </c>
      <c r="K650" s="68"/>
      <c r="L650" s="68"/>
      <c r="M650" s="68">
        <v>114</v>
      </c>
      <c r="N650" s="68" t="s">
        <v>648</v>
      </c>
      <c r="O650" s="46">
        <v>45972.666666666664</v>
      </c>
      <c r="P650" s="68" t="s">
        <v>3626</v>
      </c>
      <c r="Q650" s="68"/>
      <c r="R650" s="68" t="s">
        <v>3627</v>
      </c>
      <c r="S650" s="68" t="s">
        <v>311</v>
      </c>
      <c r="T650" s="68">
        <v>55.5</v>
      </c>
      <c r="U650" s="68">
        <v>323.8</v>
      </c>
      <c r="V650" s="68"/>
      <c r="W650" s="68"/>
      <c r="X650" s="68">
        <v>1.2800000000000001E-2</v>
      </c>
      <c r="Y650" s="68"/>
      <c r="AA650" s="68">
        <v>55.5</v>
      </c>
      <c r="AB650" s="68">
        <v>91</v>
      </c>
      <c r="AC650" s="8" t="str">
        <f>IF(COUNTIFS(作業區!$W$2:$W$2000, T650, 作業區!$X$2:$X$2000, U650)&gt;0, "已存在", "未擴充")</f>
        <v>已存在</v>
      </c>
    </row>
    <row r="651" spans="1:29">
      <c r="A651" s="8">
        <f>ROW(A651)-1</f>
        <v>650</v>
      </c>
      <c r="B651" s="68" t="s">
        <v>3436</v>
      </c>
      <c r="C651" s="68" t="s">
        <v>3628</v>
      </c>
      <c r="D651" s="68" t="s">
        <v>3629</v>
      </c>
      <c r="E651" s="68" t="s">
        <v>44</v>
      </c>
      <c r="F651" s="68" t="s">
        <v>308</v>
      </c>
      <c r="G651" s="68" t="s">
        <v>3630</v>
      </c>
      <c r="H651" s="68"/>
      <c r="I651" s="68">
        <v>335506</v>
      </c>
      <c r="J651" s="68">
        <v>2719057</v>
      </c>
      <c r="K651" s="68"/>
      <c r="L651" s="68"/>
      <c r="M651" s="68">
        <v>114</v>
      </c>
      <c r="N651" s="68" t="s">
        <v>648</v>
      </c>
      <c r="O651" s="46">
        <v>45972.75</v>
      </c>
      <c r="P651" s="68" t="s">
        <v>3631</v>
      </c>
      <c r="Q651" s="68"/>
      <c r="R651" s="68" t="s">
        <v>3632</v>
      </c>
      <c r="S651" s="68" t="s">
        <v>3633</v>
      </c>
      <c r="T651" s="68">
        <v>80</v>
      </c>
      <c r="U651" s="68">
        <v>671.3</v>
      </c>
      <c r="V651" s="68"/>
      <c r="W651" s="68"/>
      <c r="X651" s="68">
        <v>0.16200000000000001</v>
      </c>
      <c r="Y651" s="68"/>
      <c r="Z651" s="68"/>
      <c r="AA651" s="68">
        <v>80</v>
      </c>
      <c r="AB651" s="68">
        <v>189.5</v>
      </c>
      <c r="AC651" s="8" t="str">
        <f>IF(COUNTIFS(作業區!$W$2:$W$2000, T651, 作業區!$X$2:$X$2000, U651)&gt;0, "已存在", "未擴充")</f>
        <v>已存在</v>
      </c>
    </row>
    <row r="655" spans="1:29">
      <c r="V655" s="68"/>
    </row>
  </sheetData>
  <autoFilter ref="A1:AC651" xr:uid="{C8CB15A7-A912-44F0-8CE2-27AC827AC3C6}">
    <filterColumn colId="12">
      <filters>
        <filter val="100"/>
        <filter val="101"/>
        <filter val="102"/>
        <filter val="103"/>
        <filter val="104"/>
        <filter val="105"/>
        <filter val="106"/>
        <filter val="107"/>
        <filter val="108"/>
        <filter val="109"/>
        <filter val="110"/>
        <filter val="111"/>
        <filter val="112"/>
        <filter val="113"/>
        <filter val="114"/>
        <filter val="95"/>
        <filter val="96"/>
        <filter val="97"/>
        <filter val="98"/>
        <filter val="99"/>
      </filters>
    </filterColumn>
    <filterColumn colId="28">
      <filters>
        <filter val="未擴充"/>
      </filters>
    </filterColumn>
  </autoFilter>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BC06-D635-4E17-9463-3BCACB7E5BA1}">
  <dimension ref="A1:AV626"/>
  <sheetViews>
    <sheetView tabSelected="1" zoomScale="55" zoomScaleNormal="55" workbookViewId="0">
      <pane ySplit="1" topLeftCell="A136" activePane="bottomLeft" state="frozen"/>
      <selection pane="bottomLeft" activeCell="I165" sqref="I165"/>
    </sheetView>
  </sheetViews>
  <sheetFormatPr defaultRowHeight="16.5"/>
  <cols>
    <col min="1" max="1" width="7.5" bestFit="1" customWidth="1"/>
    <col min="2" max="2" width="9.5" bestFit="1" customWidth="1"/>
    <col min="3" max="3" width="12.375" bestFit="1" customWidth="1"/>
    <col min="4" max="4" width="11" bestFit="1" customWidth="1"/>
    <col min="5" max="5" width="24.125" bestFit="1" customWidth="1"/>
    <col min="6" max="6" width="17.5" bestFit="1" customWidth="1"/>
    <col min="7" max="7" width="5.5" bestFit="1" customWidth="1"/>
    <col min="8" max="8" width="21.625" bestFit="1" customWidth="1"/>
    <col min="9" max="9" width="28.5" bestFit="1" customWidth="1"/>
    <col min="10" max="10" width="9.5" bestFit="1" customWidth="1"/>
    <col min="11" max="11" width="16.125" bestFit="1" customWidth="1"/>
    <col min="12" max="13" width="15" bestFit="1" customWidth="1"/>
    <col min="14" max="15" width="12.75" bestFit="1" customWidth="1"/>
    <col min="16" max="16" width="9.5" bestFit="1" customWidth="1"/>
    <col min="17" max="17" width="19.75" bestFit="1" customWidth="1"/>
    <col min="18" max="18" width="26.375" bestFit="1" customWidth="1"/>
    <col min="19" max="19" width="16.875" bestFit="1" customWidth="1"/>
    <col min="20" max="21" width="16.125" bestFit="1" customWidth="1"/>
    <col min="22" max="22" width="11.625" bestFit="1" customWidth="1"/>
    <col min="23" max="24" width="13.875" bestFit="1" customWidth="1"/>
    <col min="25" max="26" width="10.5" bestFit="1" customWidth="1"/>
    <col min="27" max="28" width="11.625" bestFit="1" customWidth="1"/>
    <col min="29" max="31" width="18.125" bestFit="1" customWidth="1"/>
    <col min="32" max="33" width="19.25" bestFit="1" customWidth="1"/>
    <col min="34" max="36" width="15" bestFit="1" customWidth="1"/>
    <col min="37" max="37" width="18.375" bestFit="1" customWidth="1"/>
    <col min="38" max="38" width="16.125" bestFit="1" customWidth="1"/>
    <col min="39" max="41" width="18.125" bestFit="1" customWidth="1"/>
    <col min="42" max="43" width="19.25" bestFit="1" customWidth="1"/>
    <col min="44" max="44" width="13.875" bestFit="1" customWidth="1"/>
    <col min="45" max="45" width="18.25" customWidth="1"/>
    <col min="46" max="46" width="22" bestFit="1" customWidth="1"/>
    <col min="47" max="47" width="24.125" bestFit="1" customWidth="1"/>
    <col min="48" max="48" width="10.5" bestFit="1" customWidth="1"/>
    <col min="49" max="49" width="9.5" bestFit="1" customWidth="1"/>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73" t="s">
        <v>21</v>
      </c>
      <c r="W1" s="71" t="s">
        <v>3774</v>
      </c>
      <c r="X1" s="71" t="s">
        <v>3746</v>
      </c>
      <c r="Y1" t="s">
        <v>24</v>
      </c>
      <c r="Z1" t="s">
        <v>25</v>
      </c>
      <c r="AA1" t="s">
        <v>26</v>
      </c>
      <c r="AB1" t="s">
        <v>27</v>
      </c>
      <c r="AC1" t="s">
        <v>28</v>
      </c>
      <c r="AD1" t="s">
        <v>29</v>
      </c>
      <c r="AE1" t="s">
        <v>30</v>
      </c>
      <c r="AF1" t="s">
        <v>31</v>
      </c>
      <c r="AG1" t="s">
        <v>32</v>
      </c>
      <c r="AH1" s="74" t="s">
        <v>33</v>
      </c>
      <c r="AI1" s="74" t="s">
        <v>34</v>
      </c>
      <c r="AJ1" s="74" t="s">
        <v>35</v>
      </c>
      <c r="AK1" s="74" t="s">
        <v>36</v>
      </c>
      <c r="AL1" s="74" t="s">
        <v>37</v>
      </c>
      <c r="AM1" t="s">
        <v>38</v>
      </c>
      <c r="AN1" t="s">
        <v>39</v>
      </c>
      <c r="AO1" t="s">
        <v>40</v>
      </c>
      <c r="AP1" t="s">
        <v>41</v>
      </c>
      <c r="AQ1" t="s">
        <v>42</v>
      </c>
      <c r="AR1" s="71" t="s">
        <v>43</v>
      </c>
      <c r="AS1" t="s">
        <v>3747</v>
      </c>
      <c r="AT1" t="s">
        <v>3748</v>
      </c>
      <c r="AU1" t="s">
        <v>3749</v>
      </c>
      <c r="AV1" t="s">
        <v>3750</v>
      </c>
    </row>
    <row r="2" spans="1:48">
      <c r="A2" t="s">
        <v>44</v>
      </c>
      <c r="B2" t="s">
        <v>45</v>
      </c>
      <c r="C2" t="s">
        <v>46</v>
      </c>
      <c r="D2" t="s">
        <v>47</v>
      </c>
      <c r="F2" t="s">
        <v>48</v>
      </c>
      <c r="G2">
        <v>101</v>
      </c>
      <c r="H2" t="s">
        <v>49</v>
      </c>
      <c r="I2" s="13">
        <v>41123.083333333336</v>
      </c>
      <c r="J2">
        <v>1</v>
      </c>
      <c r="L2">
        <v>0.56499999999999995</v>
      </c>
      <c r="M2" t="str">
        <f>IF(SUMIFS(水保局全省災害資料!$X:$X, 水保局全省災害資料!$E:$E, A2, 水保局全省災害資料!$F:$F, B2, 水保局全省災害資料!$N:$N, H2)=0, "", SUMIFS(水保局全省災害資料!$X:$X, 水保局全省災害資料!$E:$E, A2, 水保局全省災害資料!$F:$F, B2, 水保局全省災害資料!$N:$N, H2))</f>
        <v/>
      </c>
      <c r="N2">
        <v>0.30146195710169671</v>
      </c>
      <c r="O2">
        <v>3.0599722548287271</v>
      </c>
      <c r="P2" t="s">
        <v>51</v>
      </c>
      <c r="Q2">
        <v>1</v>
      </c>
      <c r="S2">
        <v>450</v>
      </c>
      <c r="T2" t="s">
        <v>52</v>
      </c>
      <c r="U2" t="s">
        <v>53</v>
      </c>
      <c r="V2">
        <v>878.5</v>
      </c>
      <c r="W2">
        <v>74.5</v>
      </c>
      <c r="X2">
        <v>668.9</v>
      </c>
      <c r="Y2">
        <v>158</v>
      </c>
      <c r="Z2">
        <v>259</v>
      </c>
      <c r="AA2">
        <v>333</v>
      </c>
      <c r="AB2">
        <v>442.5</v>
      </c>
      <c r="AC2" t="s">
        <v>54</v>
      </c>
      <c r="AD2" t="s">
        <v>55</v>
      </c>
      <c r="AE2" t="s">
        <v>56</v>
      </c>
      <c r="AF2" t="s">
        <v>55</v>
      </c>
      <c r="AG2" t="s">
        <v>55</v>
      </c>
      <c r="AH2">
        <v>74.5</v>
      </c>
      <c r="AI2">
        <v>178</v>
      </c>
      <c r="AJ2">
        <v>300</v>
      </c>
      <c r="AK2">
        <v>433</v>
      </c>
      <c r="AL2">
        <v>582.5</v>
      </c>
      <c r="AM2" t="s">
        <v>54</v>
      </c>
      <c r="AN2" t="s">
        <v>56</v>
      </c>
      <c r="AO2" t="s">
        <v>57</v>
      </c>
      <c r="AP2" t="s">
        <v>58</v>
      </c>
      <c r="AQ2" t="s">
        <v>58</v>
      </c>
      <c r="AR2">
        <v>59</v>
      </c>
      <c r="AS2">
        <f>IFERROR(INDEX(水保局全省災害資料!$X$2:$X$2000, MATCH(1, INDEX((水保局全省災害資料!$T$2:$T$2000=W2)*(水保局全省災害資料!$U$2:$U$2000=X2), 0, 1), 0)), "")</f>
        <v>0</v>
      </c>
      <c r="AT2">
        <f>IFERROR(INDEX(水保局全省災害資料!$T$2:$T$2000, MATCH(1, INDEX((水保局全省災害資料!$T$2:$T$2000=W2)*(水保局全省災害資料!$U$2:$U$2000=X2), 0, 1), 0)), "")</f>
        <v>74.5</v>
      </c>
      <c r="AU2">
        <f>IFERROR(INDEX(水保局全省災害資料!$U$2:$U$2000, MATCH(1, INDEX((水保局全省災害資料!$T$2:$T$2000=W2)*(水保局全省災害資料!$U$2:$U$2000=X2), 0, 1), 0)), "")</f>
        <v>668.9</v>
      </c>
      <c r="AV2" t="str">
        <f>IFERROR(INDEX(水保局全省災害資料!$B$2:$B$2000, MATCH(1, INDEX((水保局全省災害資料!$T$2:$T$2000=W2)*(水保局全省災害資料!$U$2:$U$2000=X2), 0, 1), 0)), "")</f>
        <v>土石流</v>
      </c>
    </row>
    <row r="3" spans="1:48">
      <c r="A3" t="s">
        <v>44</v>
      </c>
      <c r="B3" t="s">
        <v>45</v>
      </c>
      <c r="C3" t="s">
        <v>46</v>
      </c>
      <c r="D3" t="s">
        <v>47</v>
      </c>
      <c r="F3" t="s">
        <v>48</v>
      </c>
      <c r="G3">
        <v>113</v>
      </c>
      <c r="H3" t="s">
        <v>59</v>
      </c>
      <c r="I3" s="13">
        <v>45498.041666666664</v>
      </c>
      <c r="J3">
        <v>2</v>
      </c>
      <c r="K3">
        <v>11.986187214611858</v>
      </c>
      <c r="L3">
        <v>0</v>
      </c>
      <c r="M3" t="str">
        <f>IF(SUMIFS(水保局全省災害資料!$X:$X, 水保局全省災害資料!$E:$E, A3, 水保局全省災害資料!$F:$F, B3, 水保局全省災害資料!$N:$N, H3)=0, "", SUMIFS(水保局全省災害資料!$X:$X, 水保局全省災害資料!$E:$E, A3, 水保局全省災害資料!$F:$F, B3, 水保局全省災害資料!$N:$N, H3))</f>
        <v/>
      </c>
      <c r="N3">
        <v>0</v>
      </c>
      <c r="O3">
        <v>2.4917298047166794</v>
      </c>
      <c r="P3" t="s">
        <v>60</v>
      </c>
      <c r="S3">
        <v>400</v>
      </c>
      <c r="T3" t="s">
        <v>61</v>
      </c>
      <c r="U3" t="s">
        <v>62</v>
      </c>
      <c r="V3">
        <v>810</v>
      </c>
      <c r="W3">
        <v>53.5</v>
      </c>
      <c r="X3">
        <v>742.2</v>
      </c>
      <c r="Y3">
        <v>82.5</v>
      </c>
      <c r="Z3">
        <v>133</v>
      </c>
      <c r="AA3">
        <v>519.5</v>
      </c>
      <c r="AB3">
        <v>707</v>
      </c>
      <c r="AC3" t="s">
        <v>63</v>
      </c>
      <c r="AD3" t="s">
        <v>63</v>
      </c>
      <c r="AE3" t="s">
        <v>63</v>
      </c>
      <c r="AF3" t="s">
        <v>64</v>
      </c>
      <c r="AG3" t="s">
        <v>64</v>
      </c>
      <c r="AH3">
        <v>95.5</v>
      </c>
      <c r="AI3">
        <v>266</v>
      </c>
      <c r="AJ3">
        <v>392</v>
      </c>
      <c r="AK3">
        <v>524</v>
      </c>
      <c r="AL3">
        <v>707</v>
      </c>
      <c r="AM3" t="s">
        <v>56</v>
      </c>
      <c r="AN3" t="s">
        <v>64</v>
      </c>
      <c r="AO3" t="s">
        <v>64</v>
      </c>
      <c r="AP3" t="s">
        <v>64</v>
      </c>
      <c r="AQ3" t="s">
        <v>64</v>
      </c>
      <c r="AR3">
        <v>39</v>
      </c>
      <c r="AS3">
        <f>IFERROR(INDEX(水保局全省災害資料!$X$2:$X$2000, MATCH(1, INDEX((水保局全省災害資料!$T$2:$T$2000=W3)*(水保局全省災害資料!$U$2:$U$2000=X3), 0, 1), 0)), "")</f>
        <v>0</v>
      </c>
      <c r="AT3">
        <f>IFERROR(INDEX(水保局全省災害資料!$T$2:$T$2000, MATCH(1, INDEX((水保局全省災害資料!$T$2:$T$2000=W3)*(水保局全省災害資料!$U$2:$U$2000=X3), 0, 1), 0)), "")</f>
        <v>53.5</v>
      </c>
      <c r="AU3">
        <f>IFERROR(INDEX(水保局全省災害資料!$U$2:$U$2000, MATCH(1, INDEX((水保局全省災害資料!$T$2:$T$2000=W3)*(水保局全省災害資料!$U$2:$U$2000=X3), 0, 1), 0)), "")</f>
        <v>742.2</v>
      </c>
      <c r="AV3" t="str">
        <f>IFERROR(INDEX(水保局全省災害資料!$B$2:$B$2000, MATCH(1, INDEX((水保局全省災害資料!$T$2:$T$2000=W3)*(水保局全省災害資料!$U$2:$U$2000=X3), 0, 1), 0)), "")</f>
        <v>土石流</v>
      </c>
    </row>
    <row r="4" spans="1:48">
      <c r="A4" t="s">
        <v>76</v>
      </c>
      <c r="B4" t="s">
        <v>77</v>
      </c>
      <c r="C4" t="s">
        <v>78</v>
      </c>
      <c r="D4" t="s">
        <v>79</v>
      </c>
      <c r="F4" t="s">
        <v>48</v>
      </c>
      <c r="G4">
        <v>97</v>
      </c>
      <c r="H4" t="s">
        <v>84</v>
      </c>
      <c r="I4" s="13">
        <v>39706.208333333336</v>
      </c>
      <c r="J4">
        <v>3</v>
      </c>
      <c r="K4">
        <v>4.2060502283105086</v>
      </c>
      <c r="L4">
        <v>0</v>
      </c>
      <c r="M4" t="str">
        <f>IF(SUMIFS(水保局全省災害資料!$X:$X, 水保局全省災害資料!$E:$E, A4, 水保局全省災害資料!$F:$F, B4, 水保局全省災害資料!$N:$N, H4)=0, "", SUMIFS(水保局全省災害資料!$X:$X, 水保局全省災害資料!$E:$E, A4, 水保局全省災害資料!$F:$F, B4, 水保局全省災害資料!$N:$N, H4))</f>
        <v/>
      </c>
      <c r="N4">
        <v>0</v>
      </c>
      <c r="O4">
        <v>0</v>
      </c>
      <c r="P4" t="s">
        <v>51</v>
      </c>
      <c r="Q4">
        <v>1</v>
      </c>
      <c r="S4">
        <v>250</v>
      </c>
      <c r="T4" t="s">
        <v>85</v>
      </c>
      <c r="U4" t="s">
        <v>86</v>
      </c>
      <c r="V4">
        <v>1211</v>
      </c>
      <c r="W4">
        <v>44.5</v>
      </c>
      <c r="X4">
        <v>737.4</v>
      </c>
      <c r="Y4">
        <v>104</v>
      </c>
      <c r="Z4">
        <v>157.5</v>
      </c>
      <c r="AA4">
        <v>264</v>
      </c>
      <c r="AB4">
        <v>640</v>
      </c>
      <c r="AC4" t="s">
        <v>63</v>
      </c>
      <c r="AD4" t="s">
        <v>63</v>
      </c>
      <c r="AE4" t="s">
        <v>63</v>
      </c>
      <c r="AF4" t="s">
        <v>54</v>
      </c>
      <c r="AG4" t="s">
        <v>58</v>
      </c>
      <c r="AH4">
        <v>69.5</v>
      </c>
      <c r="AI4">
        <v>186</v>
      </c>
      <c r="AJ4">
        <v>341</v>
      </c>
      <c r="AK4">
        <v>582.5</v>
      </c>
      <c r="AL4">
        <v>838.5</v>
      </c>
      <c r="AM4" t="s">
        <v>54</v>
      </c>
      <c r="AN4" t="s">
        <v>56</v>
      </c>
      <c r="AO4" t="s">
        <v>87</v>
      </c>
      <c r="AP4" t="s">
        <v>64</v>
      </c>
      <c r="AQ4" t="s">
        <v>64</v>
      </c>
      <c r="AR4">
        <v>35</v>
      </c>
      <c r="AS4">
        <f>IFERROR(INDEX(水保局全省災害資料!$X$2:$X$2000, MATCH(1, INDEX((水保局全省災害資料!$T$2:$T$2000=W4)*(水保局全省災害資料!$U$2:$U$2000=X4), 0, 1), 0)), "")</f>
        <v>0</v>
      </c>
      <c r="AT4">
        <f>IFERROR(INDEX(水保局全省災害資料!$T$2:$T$2000, MATCH(1, INDEX((水保局全省災害資料!$T$2:$T$2000=W4)*(水保局全省災害資料!$U$2:$U$2000=X4), 0, 1), 0)), "")</f>
        <v>44.5</v>
      </c>
      <c r="AU4">
        <f>IFERROR(INDEX(水保局全省災害資料!$U$2:$U$2000, MATCH(1, INDEX((水保局全省災害資料!$T$2:$T$2000=W4)*(水保局全省災害資料!$U$2:$U$2000=X4), 0, 1), 0)), "")</f>
        <v>737.4</v>
      </c>
      <c r="AV4" t="str">
        <f>IFERROR(INDEX(水保局全省災害資料!$B$2:$B$2000, MATCH(1, INDEX((水保局全省災害資料!$T$2:$T$2000=W4)*(水保局全省災害資料!$U$2:$U$2000=X4), 0, 1), 0)), "")</f>
        <v>土石流</v>
      </c>
    </row>
    <row r="5" spans="1:48">
      <c r="A5" t="s">
        <v>76</v>
      </c>
      <c r="B5" t="s">
        <v>77</v>
      </c>
      <c r="C5" t="s">
        <v>78</v>
      </c>
      <c r="D5" t="s">
        <v>79</v>
      </c>
      <c r="F5" t="s">
        <v>48</v>
      </c>
      <c r="G5">
        <v>112</v>
      </c>
      <c r="H5" t="s">
        <v>88</v>
      </c>
      <c r="I5" s="13">
        <v>45142.708333333336</v>
      </c>
      <c r="J5">
        <v>4</v>
      </c>
      <c r="K5">
        <v>14.894520547945206</v>
      </c>
      <c r="L5">
        <v>0</v>
      </c>
      <c r="M5">
        <f>IF(SUMIFS(水保局全省災害資料!$X:$X, 水保局全省災害資料!$E:$E, A5, 水保局全省災害資料!$F:$F, B5, 水保局全省災害資料!$N:$N, H5)=0, "", SUMIFS(水保局全省災害資料!$X:$X, 水保局全省災害資料!$E:$E, A5, 水保局全省災害資料!$F:$F, B5, 水保局全省災害資料!$N:$N, H5))</f>
        <v>7.0374999999999996</v>
      </c>
      <c r="N5">
        <v>0</v>
      </c>
      <c r="O5">
        <v>0.50539083557951481</v>
      </c>
      <c r="P5" t="s">
        <v>51</v>
      </c>
      <c r="Q5">
        <v>2</v>
      </c>
      <c r="R5">
        <v>14.894520547945206</v>
      </c>
      <c r="S5">
        <v>300</v>
      </c>
      <c r="T5" t="s">
        <v>89</v>
      </c>
      <c r="U5" t="s">
        <v>90</v>
      </c>
      <c r="V5">
        <v>864</v>
      </c>
      <c r="W5">
        <v>112</v>
      </c>
      <c r="X5">
        <v>782</v>
      </c>
      <c r="Y5">
        <v>225</v>
      </c>
      <c r="Z5">
        <v>384</v>
      </c>
      <c r="AA5">
        <v>542</v>
      </c>
      <c r="AB5">
        <v>783.5</v>
      </c>
      <c r="AC5" t="s">
        <v>87</v>
      </c>
      <c r="AD5" t="s">
        <v>87</v>
      </c>
      <c r="AE5" t="s">
        <v>64</v>
      </c>
      <c r="AF5" t="s">
        <v>64</v>
      </c>
      <c r="AG5" t="s">
        <v>64</v>
      </c>
      <c r="AH5">
        <v>112.5</v>
      </c>
      <c r="AI5">
        <v>225</v>
      </c>
      <c r="AJ5">
        <v>384</v>
      </c>
      <c r="AK5">
        <v>542</v>
      </c>
      <c r="AL5">
        <v>783.5</v>
      </c>
      <c r="AM5" t="s">
        <v>87</v>
      </c>
      <c r="AN5" t="s">
        <v>87</v>
      </c>
      <c r="AO5" t="s">
        <v>64</v>
      </c>
      <c r="AP5" t="s">
        <v>64</v>
      </c>
      <c r="AQ5" t="s">
        <v>64</v>
      </c>
      <c r="AR5">
        <v>39</v>
      </c>
      <c r="AS5">
        <f>IFERROR(INDEX(水保局全省災害資料!$X$2:$X$2000, MATCH(1, INDEX((水保局全省災害資料!$T$2:$T$2000=W5)*(水保局全省災害資料!$U$2:$U$2000=X5), 0, 1), 0)), "")</f>
        <v>0.3</v>
      </c>
      <c r="AT5">
        <f>IFERROR(INDEX(水保局全省災害資料!$T$2:$T$2000, MATCH(1, INDEX((水保局全省災害資料!$T$2:$T$2000=W5)*(水保局全省災害資料!$U$2:$U$2000=X5), 0, 1), 0)), "")</f>
        <v>112</v>
      </c>
      <c r="AU5">
        <f>IFERROR(INDEX(水保局全省災害資料!$U$2:$U$2000, MATCH(1, INDEX((水保局全省災害資料!$T$2:$T$2000=W5)*(水保局全省災害資料!$U$2:$U$2000=X5), 0, 1), 0)), "")</f>
        <v>782</v>
      </c>
      <c r="AV5" t="str">
        <f>IFERROR(INDEX(水保局全省災害資料!$B$2:$B$2000, MATCH(1, INDEX((水保局全省災害資料!$T$2:$T$2000=W5)*(水保局全省災害資料!$U$2:$U$2000=X5), 0, 1), 0)), "")</f>
        <v>土石流</v>
      </c>
    </row>
    <row r="6" spans="1:48">
      <c r="A6" t="s">
        <v>76</v>
      </c>
      <c r="B6" t="s">
        <v>77</v>
      </c>
      <c r="C6" t="s">
        <v>78</v>
      </c>
      <c r="D6" t="s">
        <v>91</v>
      </c>
      <c r="E6" t="s">
        <v>92</v>
      </c>
      <c r="F6" t="s">
        <v>48</v>
      </c>
      <c r="G6">
        <v>97</v>
      </c>
      <c r="H6" t="s">
        <v>84</v>
      </c>
      <c r="I6" s="13">
        <v>39706.333333333336</v>
      </c>
      <c r="J6">
        <v>3</v>
      </c>
      <c r="K6">
        <v>4.2063926940639336</v>
      </c>
      <c r="L6">
        <v>0</v>
      </c>
      <c r="M6" t="str">
        <f>IF(SUMIFS(水保局全省災害資料!$X:$X, 水保局全省災害資料!$E:$E, A6, 水保局全省災害資料!$F:$F, B6, 水保局全省災害資料!$N:$N, H6)=0, "", SUMIFS(水保局全省災害資料!$X:$X, 水保局全省災害資料!$E:$E, A6, 水保局全省災害資料!$F:$F, B6, 水保局全省災害資料!$N:$N, H6))</f>
        <v/>
      </c>
      <c r="N6">
        <v>0</v>
      </c>
      <c r="O6">
        <v>0.23443605105496224</v>
      </c>
      <c r="P6" t="s">
        <v>51</v>
      </c>
      <c r="Q6">
        <v>1</v>
      </c>
      <c r="S6">
        <v>300</v>
      </c>
      <c r="T6" t="s">
        <v>85</v>
      </c>
      <c r="U6" t="s">
        <v>86</v>
      </c>
      <c r="V6">
        <v>1211</v>
      </c>
      <c r="W6">
        <v>55.5</v>
      </c>
      <c r="X6">
        <v>917.8</v>
      </c>
      <c r="Y6">
        <v>186</v>
      </c>
      <c r="Z6">
        <v>290</v>
      </c>
      <c r="AA6">
        <v>377</v>
      </c>
      <c r="AB6">
        <v>762</v>
      </c>
      <c r="AC6" t="s">
        <v>63</v>
      </c>
      <c r="AD6" t="s">
        <v>56</v>
      </c>
      <c r="AE6" t="s">
        <v>57</v>
      </c>
      <c r="AF6" t="s">
        <v>56</v>
      </c>
      <c r="AG6" t="s">
        <v>64</v>
      </c>
      <c r="AH6">
        <v>69.5</v>
      </c>
      <c r="AI6">
        <v>186</v>
      </c>
      <c r="AJ6">
        <v>341</v>
      </c>
      <c r="AK6">
        <v>582.5</v>
      </c>
      <c r="AL6">
        <v>838.5</v>
      </c>
      <c r="AM6" t="s">
        <v>54</v>
      </c>
      <c r="AN6" t="s">
        <v>56</v>
      </c>
      <c r="AO6" t="s">
        <v>87</v>
      </c>
      <c r="AP6" t="s">
        <v>64</v>
      </c>
      <c r="AQ6" t="s">
        <v>64</v>
      </c>
      <c r="AR6">
        <v>38</v>
      </c>
      <c r="AS6">
        <f>IFERROR(INDEX(水保局全省災害資料!$X$2:$X$2000, MATCH(1, INDEX((水保局全省災害資料!$T$2:$T$2000=W6)*(水保局全省災害資料!$U$2:$U$2000=X6), 0, 1), 0)), "")</f>
        <v>0</v>
      </c>
      <c r="AT6">
        <f>IFERROR(INDEX(水保局全省災害資料!$T$2:$T$2000, MATCH(1, INDEX((水保局全省災害資料!$T$2:$T$2000=W6)*(水保局全省災害資料!$U$2:$U$2000=X6), 0, 1), 0)), "")</f>
        <v>55.5</v>
      </c>
      <c r="AU6">
        <f>IFERROR(INDEX(水保局全省災害資料!$U$2:$U$2000, MATCH(1, INDEX((水保局全省災害資料!$T$2:$T$2000=W6)*(水保局全省災害資料!$U$2:$U$2000=X6), 0, 1), 0)), "")</f>
        <v>917.8</v>
      </c>
      <c r="AV6" t="str">
        <f>IFERROR(INDEX(水保局全省災害資料!$B$2:$B$2000, MATCH(1, INDEX((水保局全省災害資料!$T$2:$T$2000=W6)*(水保局全省災害資料!$U$2:$U$2000=X6), 0, 1), 0)), "")</f>
        <v>土石流</v>
      </c>
    </row>
    <row r="7" spans="1:48">
      <c r="A7" t="s">
        <v>76</v>
      </c>
      <c r="B7" t="s">
        <v>77</v>
      </c>
      <c r="C7" t="s">
        <v>78</v>
      </c>
      <c r="D7" t="s">
        <v>91</v>
      </c>
      <c r="E7" t="s">
        <v>92</v>
      </c>
      <c r="F7" t="s">
        <v>48</v>
      </c>
      <c r="G7">
        <v>112</v>
      </c>
      <c r="H7" t="s">
        <v>88</v>
      </c>
      <c r="I7" s="13">
        <v>45142.625</v>
      </c>
      <c r="J7">
        <v>4</v>
      </c>
      <c r="K7">
        <v>14.89394977168949</v>
      </c>
      <c r="L7">
        <v>0</v>
      </c>
      <c r="M7">
        <f>IF(SUMIFS(水保局全省災害資料!$X:$X, 水保局全省災害資料!$E:$E, A7, 水保局全省災害資料!$F:$F, B7, 水保局全省災害資料!$N:$N, H7)=0, "", SUMIFS(水保局全省災害資料!$X:$X, 水保局全省災害資料!$E:$E, A7, 水保局全省災害資料!$F:$F, B7, 水保局全省災害資料!$N:$N, H7))</f>
        <v>7.0374999999999996</v>
      </c>
      <c r="N7">
        <v>0</v>
      </c>
      <c r="O7">
        <v>0</v>
      </c>
      <c r="P7" t="s">
        <v>51</v>
      </c>
      <c r="Q7">
        <v>2</v>
      </c>
      <c r="R7">
        <v>14.89394977168949</v>
      </c>
      <c r="S7">
        <v>300</v>
      </c>
      <c r="T7" t="s">
        <v>89</v>
      </c>
      <c r="U7" t="s">
        <v>90</v>
      </c>
      <c r="V7">
        <v>864</v>
      </c>
      <c r="W7">
        <v>49</v>
      </c>
      <c r="X7">
        <v>648</v>
      </c>
      <c r="Y7">
        <v>115</v>
      </c>
      <c r="Z7">
        <v>260.5</v>
      </c>
      <c r="AA7">
        <v>425.5</v>
      </c>
      <c r="AB7">
        <v>628</v>
      </c>
      <c r="AC7" t="s">
        <v>63</v>
      </c>
      <c r="AD7" t="s">
        <v>63</v>
      </c>
      <c r="AE7" t="s">
        <v>57</v>
      </c>
      <c r="AF7" t="s">
        <v>87</v>
      </c>
      <c r="AG7" t="s">
        <v>64</v>
      </c>
      <c r="AH7">
        <v>112.5</v>
      </c>
      <c r="AI7">
        <v>225</v>
      </c>
      <c r="AJ7">
        <v>384</v>
      </c>
      <c r="AK7">
        <v>542</v>
      </c>
      <c r="AL7">
        <v>783.5</v>
      </c>
      <c r="AM7" t="s">
        <v>87</v>
      </c>
      <c r="AN7" t="s">
        <v>87</v>
      </c>
      <c r="AO7" t="s">
        <v>64</v>
      </c>
      <c r="AP7" t="s">
        <v>64</v>
      </c>
      <c r="AQ7" t="s">
        <v>64</v>
      </c>
      <c r="AR7">
        <v>37</v>
      </c>
      <c r="AS7" t="str">
        <f>IFERROR(INDEX(水保局全省災害資料!$X$2:$X$2000, MATCH(1, INDEX((水保局全省災害資料!$T$2:$T$2000=W7)*(水保局全省災害資料!$U$2:$U$2000=X7), 0, 1), 0)), "")</f>
        <v>-</v>
      </c>
      <c r="AT7">
        <f>IFERROR(INDEX(水保局全省災害資料!$T$2:$T$2000, MATCH(1, INDEX((水保局全省災害資料!$T$2:$T$2000=W7)*(水保局全省災害資料!$U$2:$U$2000=X7), 0, 1), 0)), "")</f>
        <v>49</v>
      </c>
      <c r="AU7">
        <f>IFERROR(INDEX(水保局全省災害資料!$U$2:$U$2000, MATCH(1, INDEX((水保局全省災害資料!$T$2:$T$2000=W7)*(水保局全省災害資料!$U$2:$U$2000=X7), 0, 1), 0)), "")</f>
        <v>648</v>
      </c>
      <c r="AV7" t="str">
        <f>IFERROR(INDEX(水保局全省災害資料!$B$2:$B$2000, MATCH(1, INDEX((水保局全省災害資料!$T$2:$T$2000=W7)*(水保局全省災害資料!$U$2:$U$2000=X7), 0, 1), 0)), "")</f>
        <v>土石流</v>
      </c>
    </row>
    <row r="8" spans="1:48">
      <c r="A8" t="s">
        <v>76</v>
      </c>
      <c r="B8" t="s">
        <v>77</v>
      </c>
      <c r="C8" t="s">
        <v>93</v>
      </c>
      <c r="D8" t="s">
        <v>94</v>
      </c>
      <c r="F8" t="s">
        <v>48</v>
      </c>
      <c r="G8">
        <v>112</v>
      </c>
      <c r="H8" t="s">
        <v>88</v>
      </c>
      <c r="I8" s="13">
        <v>45143.416666666664</v>
      </c>
      <c r="J8">
        <v>2</v>
      </c>
      <c r="K8">
        <v>18.056392694063913</v>
      </c>
      <c r="L8">
        <v>0</v>
      </c>
      <c r="M8">
        <f>IF(SUMIFS(水保局全省災害資料!$X:$X, 水保局全省災害資料!$E:$E, A8, 水保局全省災害資料!$F:$F, B8, 水保局全省災害資料!$N:$N, H8)=0, "", SUMIFS(水保局全省災害資料!$X:$X, 水保局全省災害資料!$E:$E, A8, 水保局全省災害資料!$F:$F, B8, 水保局全省災害資料!$N:$N, H8))</f>
        <v>7.0374999999999996</v>
      </c>
      <c r="N8">
        <v>0</v>
      </c>
      <c r="O8">
        <v>0.12039731112671816</v>
      </c>
      <c r="P8" t="s">
        <v>51</v>
      </c>
      <c r="Q8">
        <v>2</v>
      </c>
      <c r="R8">
        <v>18.056392694063913</v>
      </c>
      <c r="S8">
        <v>300</v>
      </c>
      <c r="T8" t="s">
        <v>96</v>
      </c>
      <c r="U8" t="s">
        <v>97</v>
      </c>
      <c r="V8">
        <v>792.5</v>
      </c>
      <c r="W8">
        <v>6</v>
      </c>
      <c r="X8">
        <v>695</v>
      </c>
      <c r="Y8">
        <v>34.5</v>
      </c>
      <c r="Z8">
        <v>34.5</v>
      </c>
      <c r="AA8">
        <v>46</v>
      </c>
      <c r="AB8">
        <v>445</v>
      </c>
      <c r="AC8" t="s">
        <v>63</v>
      </c>
      <c r="AD8" t="s">
        <v>63</v>
      </c>
      <c r="AE8" t="s">
        <v>63</v>
      </c>
      <c r="AF8" t="s">
        <v>63</v>
      </c>
      <c r="AG8" t="s">
        <v>55</v>
      </c>
      <c r="AH8">
        <v>89.5</v>
      </c>
      <c r="AI8">
        <v>247</v>
      </c>
      <c r="AJ8">
        <v>334.5</v>
      </c>
      <c r="AK8">
        <v>529.5</v>
      </c>
      <c r="AL8">
        <v>710</v>
      </c>
      <c r="AM8" t="s">
        <v>56</v>
      </c>
      <c r="AN8" t="s">
        <v>87</v>
      </c>
      <c r="AO8" t="s">
        <v>87</v>
      </c>
      <c r="AP8" t="s">
        <v>64</v>
      </c>
      <c r="AQ8" t="s">
        <v>64</v>
      </c>
      <c r="AR8">
        <v>42</v>
      </c>
      <c r="AS8">
        <f>IFERROR(INDEX(水保局全省災害資料!$X$2:$X$2000, MATCH(1, INDEX((水保局全省災害資料!$T$2:$T$2000=W8)*(水保局全省災害資料!$U$2:$U$2000=X8), 0, 1), 0)), "")</f>
        <v>0.12</v>
      </c>
      <c r="AT8">
        <f>IFERROR(INDEX(水保局全省災害資料!$T$2:$T$2000, MATCH(1, INDEX((水保局全省災害資料!$T$2:$T$2000=W8)*(水保局全省災害資料!$U$2:$U$2000=X8), 0, 1), 0)), "")</f>
        <v>6</v>
      </c>
      <c r="AU8">
        <f>IFERROR(INDEX(水保局全省災害資料!$U$2:$U$2000, MATCH(1, INDEX((水保局全省災害資料!$T$2:$T$2000=W8)*(水保局全省災害資料!$U$2:$U$2000=X8), 0, 1), 0)), "")</f>
        <v>695</v>
      </c>
      <c r="AV8" t="str">
        <f>IFERROR(INDEX(水保局全省災害資料!$B$2:$B$2000, MATCH(1, INDEX((水保局全省災害資料!$T$2:$T$2000=W8)*(水保局全省災害資料!$U$2:$U$2000=X8), 0, 1), 0)), "")</f>
        <v>土石流 、崩塌 (山崩 )</v>
      </c>
    </row>
    <row r="9" spans="1:48">
      <c r="A9" t="s">
        <v>76</v>
      </c>
      <c r="B9" t="s">
        <v>98</v>
      </c>
      <c r="C9" t="s">
        <v>107</v>
      </c>
      <c r="D9" t="s">
        <v>108</v>
      </c>
      <c r="E9" t="s">
        <v>109</v>
      </c>
      <c r="F9" t="s">
        <v>48</v>
      </c>
      <c r="G9">
        <v>95</v>
      </c>
      <c r="H9" t="s">
        <v>110</v>
      </c>
      <c r="I9" s="13">
        <v>38878.5</v>
      </c>
      <c r="J9">
        <v>4</v>
      </c>
      <c r="K9">
        <v>0.84657534246575339</v>
      </c>
      <c r="L9">
        <v>1.63</v>
      </c>
      <c r="M9" t="str">
        <f>IF(SUMIFS(水保局全省災害資料!$X:$X, 水保局全省災害資料!$E:$E, A9, 水保局全省災害資料!$F:$F, B9, 水保局全省災害資料!$N:$N, H9)=0, "", SUMIFS(水保局全省災害資料!$X:$X, 水保局全省災害資料!$E:$E, A9, 水保局全省災害資料!$F:$F, B9, 水保局全省災害資料!$N:$N, H9))</f>
        <v/>
      </c>
      <c r="N9">
        <v>0.47890468915266182</v>
      </c>
      <c r="O9">
        <v>1.4690327888118462</v>
      </c>
      <c r="P9" t="s">
        <v>51</v>
      </c>
      <c r="Q9">
        <v>2</v>
      </c>
      <c r="R9">
        <v>0.84657534246575339</v>
      </c>
      <c r="S9">
        <v>200</v>
      </c>
      <c r="T9" t="s">
        <v>105</v>
      </c>
      <c r="U9" t="s">
        <v>106</v>
      </c>
      <c r="V9">
        <v>445.5</v>
      </c>
      <c r="W9">
        <v>3.5</v>
      </c>
      <c r="X9">
        <v>401.6</v>
      </c>
      <c r="Y9">
        <v>24</v>
      </c>
      <c r="Z9">
        <v>93</v>
      </c>
      <c r="AA9">
        <v>138</v>
      </c>
      <c r="AB9">
        <v>263</v>
      </c>
      <c r="AC9" t="s">
        <v>63</v>
      </c>
      <c r="AD9" t="s">
        <v>63</v>
      </c>
      <c r="AE9" t="s">
        <v>63</v>
      </c>
      <c r="AF9" t="s">
        <v>63</v>
      </c>
      <c r="AG9" t="s">
        <v>63</v>
      </c>
      <c r="AH9">
        <v>41</v>
      </c>
      <c r="AI9">
        <v>83</v>
      </c>
      <c r="AJ9">
        <v>139</v>
      </c>
      <c r="AK9">
        <v>196.5</v>
      </c>
      <c r="AL9">
        <v>309</v>
      </c>
      <c r="AM9" t="s">
        <v>63</v>
      </c>
      <c r="AN9" t="s">
        <v>63</v>
      </c>
      <c r="AO9" t="s">
        <v>63</v>
      </c>
      <c r="AP9" t="s">
        <v>63</v>
      </c>
      <c r="AQ9" t="s">
        <v>54</v>
      </c>
      <c r="AR9">
        <v>33</v>
      </c>
      <c r="AS9">
        <f>IFERROR(INDEX(水保局全省災害資料!$X$2:$X$2000, MATCH(1, INDEX((水保局全省災害資料!$T$2:$T$2000=W9)*(水保局全省災害資料!$U$2:$U$2000=X9), 0, 1), 0)), "")</f>
        <v>0</v>
      </c>
      <c r="AT9">
        <f>IFERROR(INDEX(水保局全省災害資料!$T$2:$T$2000, MATCH(1, INDEX((水保局全省災害資料!$T$2:$T$2000=W9)*(水保局全省災害資料!$U$2:$U$2000=X9), 0, 1), 0)), "")</f>
        <v>3.5</v>
      </c>
      <c r="AU9">
        <f>IFERROR(INDEX(水保局全省災害資料!$U$2:$U$2000, MATCH(1, INDEX((水保局全省災害資料!$T$2:$T$2000=W9)*(水保局全省災害資料!$U$2:$U$2000=X9), 0, 1), 0)), "")</f>
        <v>401.6</v>
      </c>
      <c r="AV9" t="str">
        <f>IFERROR(INDEX(水保局全省災害資料!$B$2:$B$2000, MATCH(1, INDEX((水保局全省災害資料!$T$2:$T$2000=W9)*(水保局全省災害資料!$U$2:$U$2000=X9), 0, 1), 0)), "")</f>
        <v>土石流</v>
      </c>
    </row>
    <row r="10" spans="1:48">
      <c r="A10" t="s">
        <v>76</v>
      </c>
      <c r="B10" t="s">
        <v>118</v>
      </c>
      <c r="C10" t="s">
        <v>119</v>
      </c>
      <c r="D10" t="s">
        <v>120</v>
      </c>
      <c r="E10" t="s">
        <v>121</v>
      </c>
      <c r="F10" t="s">
        <v>48</v>
      </c>
      <c r="G10">
        <v>97</v>
      </c>
      <c r="H10" t="s">
        <v>124</v>
      </c>
      <c r="I10" s="13">
        <v>39647.083333333336</v>
      </c>
      <c r="J10">
        <v>2</v>
      </c>
      <c r="K10">
        <v>6.9721461187214677</v>
      </c>
      <c r="L10">
        <v>0</v>
      </c>
      <c r="M10" t="str">
        <f>IF(SUMIFS(水保局全省災害資料!$X:$X, 水保局全省災害資料!$E:$E, A10, 水保局全省災害資料!$F:$F, B10, 水保局全省災害資料!$N:$N, H10)=0, "", SUMIFS(水保局全省災害資料!$X:$X, 水保局全省災害資料!$E:$E, A10, 水保局全省災害資料!$F:$F, B10, 水保局全省災害資料!$N:$N, H10))</f>
        <v/>
      </c>
      <c r="N10">
        <v>0</v>
      </c>
      <c r="O10">
        <v>0.51039555655633118</v>
      </c>
      <c r="P10" t="s">
        <v>51</v>
      </c>
      <c r="Q10">
        <v>1</v>
      </c>
      <c r="S10">
        <v>250</v>
      </c>
      <c r="T10" t="s">
        <v>122</v>
      </c>
      <c r="U10" t="s">
        <v>123</v>
      </c>
      <c r="V10">
        <v>404</v>
      </c>
      <c r="W10">
        <v>109</v>
      </c>
      <c r="X10">
        <v>272.60000000000002</v>
      </c>
      <c r="Y10">
        <v>212.5</v>
      </c>
      <c r="Z10">
        <v>234</v>
      </c>
      <c r="AA10">
        <v>242</v>
      </c>
      <c r="AB10">
        <v>242</v>
      </c>
      <c r="AC10" t="s">
        <v>58</v>
      </c>
      <c r="AD10" t="s">
        <v>58</v>
      </c>
      <c r="AE10" t="s">
        <v>56</v>
      </c>
      <c r="AF10" t="s">
        <v>54</v>
      </c>
      <c r="AG10" t="s">
        <v>63</v>
      </c>
      <c r="AH10">
        <v>108</v>
      </c>
      <c r="AI10">
        <v>222.5</v>
      </c>
      <c r="AJ10">
        <v>309</v>
      </c>
      <c r="AK10">
        <v>376</v>
      </c>
      <c r="AL10">
        <v>404</v>
      </c>
      <c r="AM10" t="s">
        <v>58</v>
      </c>
      <c r="AN10" t="s">
        <v>87</v>
      </c>
      <c r="AO10" t="s">
        <v>58</v>
      </c>
      <c r="AP10" t="s">
        <v>57</v>
      </c>
      <c r="AQ10" t="s">
        <v>55</v>
      </c>
      <c r="AR10">
        <v>11</v>
      </c>
      <c r="AS10">
        <f>IFERROR(INDEX(水保局全省災害資料!$X$2:$X$2000, MATCH(1, INDEX((水保局全省災害資料!$T$2:$T$2000=W10)*(水保局全省災害資料!$U$2:$U$2000=X10), 0, 1), 0)), "")</f>
        <v>0</v>
      </c>
      <c r="AT10">
        <f>IFERROR(INDEX(水保局全省災害資料!$T$2:$T$2000, MATCH(1, INDEX((水保局全省災害資料!$T$2:$T$2000=W10)*(水保局全省災害資料!$U$2:$U$2000=X10), 0, 1), 0)), "")</f>
        <v>109</v>
      </c>
      <c r="AU10">
        <f>IFERROR(INDEX(水保局全省災害資料!$U$2:$U$2000, MATCH(1, INDEX((水保局全省災害資料!$T$2:$T$2000=W10)*(水保局全省災害資料!$U$2:$U$2000=X10), 0, 1), 0)), "")</f>
        <v>272.60000000000002</v>
      </c>
      <c r="AV10" t="str">
        <f>IFERROR(INDEX(水保局全省災害資料!$B$2:$B$2000, MATCH(1, INDEX((水保局全省災害資料!$T$2:$T$2000=W10)*(水保局全省災害資料!$U$2:$U$2000=X10), 0, 1), 0)), "")</f>
        <v>土石流</v>
      </c>
    </row>
    <row r="11" spans="1:48">
      <c r="A11" t="s">
        <v>76</v>
      </c>
      <c r="B11" t="s">
        <v>118</v>
      </c>
      <c r="C11" t="s">
        <v>125</v>
      </c>
      <c r="D11" t="s">
        <v>126</v>
      </c>
      <c r="F11" t="s">
        <v>127</v>
      </c>
      <c r="G11">
        <v>113</v>
      </c>
      <c r="H11" t="s">
        <v>59</v>
      </c>
      <c r="I11" s="13">
        <v>45498.125</v>
      </c>
      <c r="J11">
        <v>2</v>
      </c>
      <c r="K11">
        <v>23.002283105022837</v>
      </c>
      <c r="L11">
        <v>0</v>
      </c>
      <c r="M11" t="str">
        <f>IF(SUMIFS(水保局全省災害資料!$X:$X, 水保局全省災害資料!$E:$E, A11, 水保局全省災害資料!$F:$F, B11, 水保局全省災害資料!$N:$N, H11)=0, "", SUMIFS(水保局全省災害資料!$X:$X, 水保局全省災害資料!$E:$E, A11, 水保局全省災害資料!$F:$F, B11, 水保局全省災害資料!$N:$N, H11))</f>
        <v/>
      </c>
      <c r="N11">
        <v>0</v>
      </c>
      <c r="O11">
        <v>0</v>
      </c>
      <c r="P11" t="s">
        <v>51</v>
      </c>
      <c r="Q11">
        <v>1</v>
      </c>
      <c r="S11">
        <v>300</v>
      </c>
      <c r="T11" t="s">
        <v>128</v>
      </c>
      <c r="U11" t="s">
        <v>104</v>
      </c>
      <c r="V11">
        <v>613.5</v>
      </c>
      <c r="W11">
        <v>52.5</v>
      </c>
      <c r="X11">
        <v>336.5</v>
      </c>
      <c r="Y11">
        <v>148</v>
      </c>
      <c r="Z11">
        <v>193.5</v>
      </c>
      <c r="AA11">
        <v>297</v>
      </c>
      <c r="AB11">
        <v>337.5</v>
      </c>
      <c r="AC11" t="s">
        <v>63</v>
      </c>
      <c r="AD11" t="s">
        <v>55</v>
      </c>
      <c r="AE11" t="s">
        <v>55</v>
      </c>
      <c r="AF11" t="s">
        <v>56</v>
      </c>
      <c r="AG11" t="s">
        <v>54</v>
      </c>
      <c r="AH11">
        <v>53</v>
      </c>
      <c r="AI11">
        <v>148.5</v>
      </c>
      <c r="AJ11">
        <v>231</v>
      </c>
      <c r="AK11">
        <v>332.5</v>
      </c>
      <c r="AL11">
        <v>526.5</v>
      </c>
      <c r="AM11" t="s">
        <v>63</v>
      </c>
      <c r="AN11" t="s">
        <v>55</v>
      </c>
      <c r="AO11" t="s">
        <v>56</v>
      </c>
      <c r="AP11" t="s">
        <v>57</v>
      </c>
      <c r="AQ11" t="s">
        <v>87</v>
      </c>
      <c r="AR11">
        <v>38</v>
      </c>
      <c r="AS11">
        <f>IFERROR(INDEX(水保局全省災害資料!$X$2:$X$2000, MATCH(1, INDEX((水保局全省災害資料!$T$2:$T$2000=W11)*(水保局全省災害資料!$U$2:$U$2000=X11), 0, 1), 0)), "")</f>
        <v>0</v>
      </c>
      <c r="AT11">
        <f>IFERROR(INDEX(水保局全省災害資料!$T$2:$T$2000, MATCH(1, INDEX((水保局全省災害資料!$T$2:$T$2000=W11)*(水保局全省災害資料!$U$2:$U$2000=X11), 0, 1), 0)), "")</f>
        <v>52.5</v>
      </c>
      <c r="AU11">
        <f>IFERROR(INDEX(水保局全省災害資料!$U$2:$U$2000, MATCH(1, INDEX((水保局全省災害資料!$T$2:$T$2000=W11)*(水保局全省災害資料!$U$2:$U$2000=X11), 0, 1), 0)), "")</f>
        <v>336.5</v>
      </c>
      <c r="AV11" t="str">
        <f>IFERROR(INDEX(水保局全省災害資料!$B$2:$B$2000, MATCH(1, INDEX((水保局全省災害資料!$T$2:$T$2000=W11)*(水保局全省災害資料!$U$2:$U$2000=X11), 0, 1), 0)), "")</f>
        <v>土石流</v>
      </c>
    </row>
    <row r="12" spans="1:48">
      <c r="A12" t="s">
        <v>76</v>
      </c>
      <c r="B12" t="s">
        <v>118</v>
      </c>
      <c r="C12" t="s">
        <v>129</v>
      </c>
      <c r="D12" t="s">
        <v>130</v>
      </c>
      <c r="E12" t="s">
        <v>131</v>
      </c>
      <c r="F12" t="s">
        <v>48</v>
      </c>
      <c r="G12">
        <v>97</v>
      </c>
      <c r="H12" t="s">
        <v>84</v>
      </c>
      <c r="I12" s="13">
        <v>39706.791666666664</v>
      </c>
      <c r="J12">
        <v>3</v>
      </c>
      <c r="K12">
        <v>7.136415525114149</v>
      </c>
      <c r="L12">
        <v>0.84</v>
      </c>
      <c r="M12" t="str">
        <f>IF(SUMIFS(水保局全省災害資料!$X:$X, 水保局全省災害資料!$E:$E, A12, 水保局全省災害資料!$F:$F, B12, 水保局全省災害資料!$N:$N, H12)=0, "", SUMIFS(水保局全省災害資料!$X:$X, 水保局全省災害資料!$E:$E, A12, 水保局全省災害資料!$F:$F, B12, 水保局全省災害資料!$N:$N, H12))</f>
        <v/>
      </c>
      <c r="N12">
        <v>0.4476657429119591</v>
      </c>
      <c r="O12">
        <v>0.30910253677254318</v>
      </c>
      <c r="P12" t="s">
        <v>51</v>
      </c>
      <c r="Q12">
        <v>1</v>
      </c>
      <c r="S12">
        <v>250</v>
      </c>
      <c r="T12" t="s">
        <v>103</v>
      </c>
      <c r="U12" t="s">
        <v>104</v>
      </c>
      <c r="V12">
        <v>598</v>
      </c>
      <c r="W12">
        <v>2.5</v>
      </c>
      <c r="X12">
        <v>552.5</v>
      </c>
      <c r="Y12">
        <v>6</v>
      </c>
      <c r="Z12">
        <v>12</v>
      </c>
      <c r="AA12">
        <v>30.5</v>
      </c>
      <c r="AB12">
        <v>30.5</v>
      </c>
      <c r="AC12" t="s">
        <v>63</v>
      </c>
      <c r="AD12" t="s">
        <v>63</v>
      </c>
      <c r="AE12" t="s">
        <v>63</v>
      </c>
      <c r="AF12" t="s">
        <v>63</v>
      </c>
      <c r="AG12" t="s">
        <v>63</v>
      </c>
      <c r="AH12">
        <v>43</v>
      </c>
      <c r="AI12">
        <v>118</v>
      </c>
      <c r="AJ12">
        <v>197</v>
      </c>
      <c r="AK12">
        <v>296.5</v>
      </c>
      <c r="AL12">
        <v>475</v>
      </c>
      <c r="AM12" t="s">
        <v>63</v>
      </c>
      <c r="AN12" t="s">
        <v>54</v>
      </c>
      <c r="AO12" t="s">
        <v>55</v>
      </c>
      <c r="AP12" t="s">
        <v>56</v>
      </c>
      <c r="AQ12" t="s">
        <v>57</v>
      </c>
      <c r="AR12">
        <v>38</v>
      </c>
      <c r="AS12">
        <f>IFERROR(INDEX(水保局全省災害資料!$X$2:$X$2000, MATCH(1, INDEX((水保局全省災害資料!$T$2:$T$2000=W12)*(水保局全省災害資料!$U$2:$U$2000=X12), 0, 1), 0)), "")</f>
        <v>0</v>
      </c>
      <c r="AT12">
        <f>IFERROR(INDEX(水保局全省災害資料!$T$2:$T$2000, MATCH(1, INDEX((水保局全省災害資料!$T$2:$T$2000=W12)*(水保局全省災害資料!$U$2:$U$2000=X12), 0, 1), 0)), "")</f>
        <v>2.5</v>
      </c>
      <c r="AU12">
        <f>IFERROR(INDEX(水保局全省災害資料!$U$2:$U$2000, MATCH(1, INDEX((水保局全省災害資料!$T$2:$T$2000=W12)*(水保局全省災害資料!$U$2:$U$2000=X12), 0, 1), 0)), "")</f>
        <v>552.5</v>
      </c>
      <c r="AV12" t="str">
        <f>IFERROR(INDEX(水保局全省災害資料!$B$2:$B$2000, MATCH(1, INDEX((水保局全省災害資料!$T$2:$T$2000=W12)*(水保局全省災害資料!$U$2:$U$2000=X12), 0, 1), 0)), "")</f>
        <v>土石流、崩塌</v>
      </c>
    </row>
    <row r="13" spans="1:48">
      <c r="A13" t="s">
        <v>76</v>
      </c>
      <c r="B13" t="s">
        <v>118</v>
      </c>
      <c r="C13" t="s">
        <v>129</v>
      </c>
      <c r="D13" t="s">
        <v>132</v>
      </c>
      <c r="E13" t="s">
        <v>133</v>
      </c>
      <c r="F13" t="s">
        <v>48</v>
      </c>
      <c r="G13">
        <v>101</v>
      </c>
      <c r="H13" t="s">
        <v>134</v>
      </c>
      <c r="I13" s="13">
        <v>41032.666666666664</v>
      </c>
      <c r="J13">
        <v>3</v>
      </c>
      <c r="K13">
        <v>10.76894977168949</v>
      </c>
      <c r="L13">
        <v>1.62</v>
      </c>
      <c r="M13" t="str">
        <f>IF(SUMIFS(水保局全省災害資料!$X:$X, 水保局全省災害資料!$E:$E, A13, 水保局全省災害資料!$F:$F, B13, 水保局全省災害資料!$N:$N, H13)=0, "", SUMIFS(水保局全省災害資料!$X:$X, 水保局全省災害資料!$E:$E, A13, 水保局全省災害資料!$F:$F, B13, 水保局全省災害資料!$N:$N, H13))</f>
        <v/>
      </c>
      <c r="N13">
        <v>1.0074000373111125</v>
      </c>
      <c r="O13">
        <v>1.3245444935016477</v>
      </c>
      <c r="P13" t="s">
        <v>51</v>
      </c>
      <c r="Q13">
        <v>1</v>
      </c>
      <c r="S13">
        <v>250</v>
      </c>
      <c r="T13" t="s">
        <v>135</v>
      </c>
      <c r="U13" t="s">
        <v>133</v>
      </c>
      <c r="V13">
        <v>138</v>
      </c>
      <c r="W13">
        <v>38.5</v>
      </c>
      <c r="X13">
        <v>121.4</v>
      </c>
      <c r="Y13">
        <v>92</v>
      </c>
      <c r="Z13">
        <v>138</v>
      </c>
      <c r="AA13">
        <v>138</v>
      </c>
      <c r="AB13">
        <v>138</v>
      </c>
      <c r="AC13" t="s">
        <v>63</v>
      </c>
      <c r="AD13" t="s">
        <v>63</v>
      </c>
      <c r="AE13" t="s">
        <v>63</v>
      </c>
      <c r="AF13" t="s">
        <v>63</v>
      </c>
      <c r="AG13" t="s">
        <v>63</v>
      </c>
      <c r="AH13">
        <v>46.5</v>
      </c>
      <c r="AI13">
        <v>92</v>
      </c>
      <c r="AJ13">
        <v>138</v>
      </c>
      <c r="AK13">
        <v>138</v>
      </c>
      <c r="AL13">
        <v>138</v>
      </c>
      <c r="AM13" t="s">
        <v>63</v>
      </c>
      <c r="AN13" t="s">
        <v>63</v>
      </c>
      <c r="AO13" t="s">
        <v>63</v>
      </c>
      <c r="AP13" t="s">
        <v>63</v>
      </c>
      <c r="AQ13" t="s">
        <v>63</v>
      </c>
      <c r="AR13">
        <v>138</v>
      </c>
      <c r="AS13">
        <f>IFERROR(INDEX(水保局全省災害資料!$X$2:$X$2000, MATCH(1, INDEX((水保局全省災害資料!$T$2:$T$2000=W13)*(水保局全省災害資料!$U$2:$U$2000=X13), 0, 1), 0)), "")</f>
        <v>0</v>
      </c>
      <c r="AT13">
        <f>IFERROR(INDEX(水保局全省災害資料!$T$2:$T$2000, MATCH(1, INDEX((水保局全省災害資料!$T$2:$T$2000=W13)*(水保局全省災害資料!$U$2:$U$2000=X13), 0, 1), 0)), "")</f>
        <v>38.5</v>
      </c>
      <c r="AU13">
        <f>IFERROR(INDEX(水保局全省災害資料!$U$2:$U$2000, MATCH(1, INDEX((水保局全省災害資料!$T$2:$T$2000=W13)*(水保局全省災害資料!$U$2:$U$2000=X13), 0, 1), 0)), "")</f>
        <v>121.4</v>
      </c>
      <c r="AV13" t="str">
        <f>IFERROR(INDEX(水保局全省災害資料!$B$2:$B$2000, MATCH(1, INDEX((水保局全省災害資料!$T$2:$T$2000=W13)*(水保局全省災害資料!$U$2:$U$2000=X13), 0, 1), 0)), "")</f>
        <v>土石流</v>
      </c>
    </row>
    <row r="14" spans="1:48">
      <c r="A14" t="s">
        <v>76</v>
      </c>
      <c r="B14" t="s">
        <v>118</v>
      </c>
      <c r="C14" t="s">
        <v>142</v>
      </c>
      <c r="D14" t="s">
        <v>148</v>
      </c>
      <c r="E14" t="s">
        <v>149</v>
      </c>
      <c r="F14" t="s">
        <v>48</v>
      </c>
      <c r="G14">
        <v>98</v>
      </c>
      <c r="H14" t="s">
        <v>153</v>
      </c>
      <c r="I14" s="13">
        <v>40033.625</v>
      </c>
      <c r="J14">
        <v>6</v>
      </c>
      <c r="K14">
        <v>5.1058219178082194</v>
      </c>
      <c r="L14">
        <v>57.6</v>
      </c>
      <c r="M14" t="str">
        <f>IF(SUMIFS(水保局全省災害資料!$X:$X, 水保局全省災害資料!$E:$E, A14, 水保局全省災害資料!$F:$F, B14, 水保局全省災害資料!$N:$N, H14)=0, "", SUMIFS(水保局全省災害資料!$X:$X, 水保局全省災害資料!$E:$E, A14, 水保局全省災害資料!$F:$F, B14, 水保局全省災害資料!$N:$N, H14))</f>
        <v/>
      </c>
      <c r="N14">
        <v>6.8166487177363049</v>
      </c>
      <c r="O14">
        <v>8.6687416419129217</v>
      </c>
      <c r="P14" t="s">
        <v>51</v>
      </c>
      <c r="Q14">
        <v>1</v>
      </c>
      <c r="S14">
        <v>250</v>
      </c>
      <c r="T14" t="s">
        <v>147</v>
      </c>
      <c r="U14" t="s">
        <v>142</v>
      </c>
      <c r="V14">
        <v>1919</v>
      </c>
      <c r="W14">
        <v>34</v>
      </c>
      <c r="X14">
        <v>576.1</v>
      </c>
      <c r="Y14">
        <v>91.5</v>
      </c>
      <c r="Z14">
        <v>152</v>
      </c>
      <c r="AA14">
        <v>289.5</v>
      </c>
      <c r="AB14">
        <v>423</v>
      </c>
      <c r="AC14" t="s">
        <v>63</v>
      </c>
      <c r="AD14" t="s">
        <v>63</v>
      </c>
      <c r="AE14" t="s">
        <v>63</v>
      </c>
      <c r="AF14" t="s">
        <v>54</v>
      </c>
      <c r="AG14" t="s">
        <v>54</v>
      </c>
      <c r="AH14">
        <v>95</v>
      </c>
      <c r="AI14">
        <v>255.5</v>
      </c>
      <c r="AJ14">
        <v>392</v>
      </c>
      <c r="AK14">
        <v>653</v>
      </c>
      <c r="AL14">
        <v>1138.5</v>
      </c>
      <c r="AM14" t="s">
        <v>56</v>
      </c>
      <c r="AN14" t="s">
        <v>87</v>
      </c>
      <c r="AO14" t="s">
        <v>64</v>
      </c>
      <c r="AP14" t="s">
        <v>64</v>
      </c>
      <c r="AQ14" t="s">
        <v>64</v>
      </c>
      <c r="AR14">
        <v>39</v>
      </c>
      <c r="AS14">
        <f>IFERROR(INDEX(水保局全省災害資料!$X$2:$X$2000, MATCH(1, INDEX((水保局全省災害資料!$T$2:$T$2000=W14)*(水保局全省災害資料!$U$2:$U$2000=X14), 0, 1), 0)), "")</f>
        <v>0</v>
      </c>
      <c r="AT14">
        <f>IFERROR(INDEX(水保局全省災害資料!$T$2:$T$2000, MATCH(1, INDEX((水保局全省災害資料!$T$2:$T$2000=W14)*(水保局全省災害資料!$U$2:$U$2000=X14), 0, 1), 0)), "")</f>
        <v>34</v>
      </c>
      <c r="AU14">
        <f>IFERROR(INDEX(水保局全省災害資料!$U$2:$U$2000, MATCH(1, INDEX((水保局全省災害資料!$T$2:$T$2000=W14)*(水保局全省災害資料!$U$2:$U$2000=X14), 0, 1), 0)), "")</f>
        <v>576.1</v>
      </c>
      <c r="AV14" t="str">
        <f>IFERROR(INDEX(水保局全省災害資料!$B$2:$B$2000, MATCH(1, INDEX((水保局全省災害資料!$T$2:$T$2000=W14)*(水保局全省災害資料!$U$2:$U$2000=X14), 0, 1), 0)), "")</f>
        <v>土石流</v>
      </c>
    </row>
    <row r="15" spans="1:48">
      <c r="A15" t="s">
        <v>76</v>
      </c>
      <c r="B15" t="s">
        <v>118</v>
      </c>
      <c r="C15" t="s">
        <v>142</v>
      </c>
      <c r="D15" t="s">
        <v>154</v>
      </c>
      <c r="E15" t="s">
        <v>155</v>
      </c>
      <c r="F15" t="s">
        <v>48</v>
      </c>
      <c r="G15">
        <v>98</v>
      </c>
      <c r="H15" t="s">
        <v>153</v>
      </c>
      <c r="I15" s="13">
        <v>40033.875</v>
      </c>
      <c r="J15">
        <v>2</v>
      </c>
      <c r="K15">
        <v>8.0317351598173587</v>
      </c>
      <c r="L15">
        <v>0</v>
      </c>
      <c r="M15" t="str">
        <f>IF(SUMIFS(水保局全省災害資料!$X:$X, 水保局全省災害資料!$E:$E, A15, 水保局全省災害資料!$F:$F, B15, 水保局全省災害資料!$N:$N, H15)=0, "", SUMIFS(水保局全省災害資料!$X:$X, 水保局全省災害資料!$E:$E, A15, 水保局全省災害資料!$F:$F, B15, 水保局全省災害資料!$N:$N, H15))</f>
        <v/>
      </c>
      <c r="N15">
        <v>0</v>
      </c>
      <c r="O15">
        <v>1.4848034908033092</v>
      </c>
      <c r="P15" t="s">
        <v>51</v>
      </c>
      <c r="Q15">
        <v>1</v>
      </c>
      <c r="S15">
        <v>250</v>
      </c>
      <c r="T15" t="s">
        <v>147</v>
      </c>
      <c r="U15" t="s">
        <v>142</v>
      </c>
      <c r="V15">
        <v>1919</v>
      </c>
      <c r="W15">
        <v>38</v>
      </c>
      <c r="X15">
        <v>786.9</v>
      </c>
      <c r="Y15">
        <v>122.5</v>
      </c>
      <c r="Z15">
        <v>240.5</v>
      </c>
      <c r="AA15">
        <v>392.5</v>
      </c>
      <c r="AB15">
        <v>604.5</v>
      </c>
      <c r="AC15" t="s">
        <v>63</v>
      </c>
      <c r="AD15" t="s">
        <v>63</v>
      </c>
      <c r="AE15" t="s">
        <v>55</v>
      </c>
      <c r="AF15" t="s">
        <v>56</v>
      </c>
      <c r="AG15" t="s">
        <v>57</v>
      </c>
      <c r="AH15">
        <v>95</v>
      </c>
      <c r="AI15">
        <v>255.5</v>
      </c>
      <c r="AJ15">
        <v>392</v>
      </c>
      <c r="AK15">
        <v>653</v>
      </c>
      <c r="AL15">
        <v>1138.5</v>
      </c>
      <c r="AM15" t="s">
        <v>56</v>
      </c>
      <c r="AN15" t="s">
        <v>87</v>
      </c>
      <c r="AO15" t="s">
        <v>64</v>
      </c>
      <c r="AP15" t="s">
        <v>64</v>
      </c>
      <c r="AQ15" t="s">
        <v>64</v>
      </c>
      <c r="AR15">
        <v>45</v>
      </c>
      <c r="AS15">
        <f>IFERROR(INDEX(水保局全省災害資料!$X$2:$X$2000, MATCH(1, INDEX((水保局全省災害資料!$T$2:$T$2000=W15)*(水保局全省災害資料!$U$2:$U$2000=X15), 0, 1), 0)), "")</f>
        <v>0</v>
      </c>
      <c r="AT15">
        <f>IFERROR(INDEX(水保局全省災害資料!$T$2:$T$2000, MATCH(1, INDEX((水保局全省災害資料!$T$2:$T$2000=W15)*(水保局全省災害資料!$U$2:$U$2000=X15), 0, 1), 0)), "")</f>
        <v>38</v>
      </c>
      <c r="AU15">
        <f>IFERROR(INDEX(水保局全省災害資料!$U$2:$U$2000, MATCH(1, INDEX((水保局全省災害資料!$T$2:$T$2000=W15)*(水保局全省災害資料!$U$2:$U$2000=X15), 0, 1), 0)), "")</f>
        <v>786.9</v>
      </c>
      <c r="AV15" t="str">
        <f>IFERROR(INDEX(水保局全省災害資料!$B$2:$B$2000, MATCH(1, INDEX((水保局全省災害資料!$T$2:$T$2000=W15)*(水保局全省災害資料!$U$2:$U$2000=X15), 0, 1), 0)), "")</f>
        <v>土石流</v>
      </c>
    </row>
    <row r="16" spans="1:48">
      <c r="A16" t="s">
        <v>76</v>
      </c>
      <c r="B16" t="s">
        <v>118</v>
      </c>
      <c r="C16" t="s">
        <v>156</v>
      </c>
      <c r="D16" t="s">
        <v>157</v>
      </c>
      <c r="E16" t="s">
        <v>158</v>
      </c>
      <c r="F16" t="s">
        <v>48</v>
      </c>
      <c r="G16">
        <v>98</v>
      </c>
      <c r="H16" t="s">
        <v>153</v>
      </c>
      <c r="I16" s="13">
        <v>40034.083333333336</v>
      </c>
      <c r="J16">
        <v>2</v>
      </c>
      <c r="K16">
        <v>8.033105022831057</v>
      </c>
      <c r="L16">
        <v>0</v>
      </c>
      <c r="M16" t="str">
        <f>IF(SUMIFS(水保局全省災害資料!$X:$X, 水保局全省災害資料!$E:$E, A16, 水保局全省災害資料!$F:$F, B16, 水保局全省災害資料!$N:$N, H16)=0, "", SUMIFS(水保局全省災害資料!$X:$X, 水保局全省災害資料!$E:$E, A16, 水保局全省災害資料!$F:$F, B16, 水保局全省災害資料!$N:$N, H16))</f>
        <v/>
      </c>
      <c r="N16">
        <v>0</v>
      </c>
      <c r="O16">
        <v>5.0452452035455577</v>
      </c>
      <c r="P16" t="s">
        <v>51</v>
      </c>
      <c r="Q16">
        <v>1</v>
      </c>
      <c r="S16">
        <v>250</v>
      </c>
      <c r="T16" t="s">
        <v>147</v>
      </c>
      <c r="U16" t="s">
        <v>142</v>
      </c>
      <c r="V16">
        <v>1919</v>
      </c>
      <c r="W16">
        <v>89</v>
      </c>
      <c r="X16">
        <v>1087.9000000000001</v>
      </c>
      <c r="Y16">
        <v>226.5</v>
      </c>
      <c r="Z16">
        <v>349</v>
      </c>
      <c r="AA16">
        <v>585.5</v>
      </c>
      <c r="AB16">
        <v>857</v>
      </c>
      <c r="AC16" t="s">
        <v>55</v>
      </c>
      <c r="AD16" t="s">
        <v>58</v>
      </c>
      <c r="AE16" t="s">
        <v>58</v>
      </c>
      <c r="AF16" t="s">
        <v>64</v>
      </c>
      <c r="AG16" t="s">
        <v>64</v>
      </c>
      <c r="AH16">
        <v>95</v>
      </c>
      <c r="AI16">
        <v>255.5</v>
      </c>
      <c r="AJ16">
        <v>392</v>
      </c>
      <c r="AK16">
        <v>653</v>
      </c>
      <c r="AL16">
        <v>1138.5</v>
      </c>
      <c r="AM16" t="s">
        <v>56</v>
      </c>
      <c r="AN16" t="s">
        <v>87</v>
      </c>
      <c r="AO16" t="s">
        <v>64</v>
      </c>
      <c r="AP16" t="s">
        <v>64</v>
      </c>
      <c r="AQ16" t="s">
        <v>64</v>
      </c>
      <c r="AR16">
        <v>49</v>
      </c>
      <c r="AS16">
        <f>IFERROR(INDEX(水保局全省災害資料!$X$2:$X$2000, MATCH(1, INDEX((水保局全省災害資料!$T$2:$T$2000=W16)*(水保局全省災害資料!$U$2:$U$2000=X16), 0, 1), 0)), "")</f>
        <v>0</v>
      </c>
      <c r="AT16">
        <f>IFERROR(INDEX(水保局全省災害資料!$T$2:$T$2000, MATCH(1, INDEX((水保局全省災害資料!$T$2:$T$2000=W16)*(水保局全省災害資料!$U$2:$U$2000=X16), 0, 1), 0)), "")</f>
        <v>89</v>
      </c>
      <c r="AU16">
        <f>IFERROR(INDEX(水保局全省災害資料!$U$2:$U$2000, MATCH(1, INDEX((水保局全省災害資料!$T$2:$T$2000=W16)*(水保局全省災害資料!$U$2:$U$2000=X16), 0, 1), 0)), "")</f>
        <v>1087.9000000000001</v>
      </c>
      <c r="AV16" t="str">
        <f>IFERROR(INDEX(水保局全省災害資料!$B$2:$B$2000, MATCH(1, INDEX((水保局全省災害資料!$T$2:$T$2000=W16)*(水保局全省災害資料!$U$2:$U$2000=X16), 0, 1), 0)), "")</f>
        <v>土石流、洪水</v>
      </c>
    </row>
    <row r="17" spans="1:48">
      <c r="A17" t="s">
        <v>76</v>
      </c>
      <c r="B17" t="s">
        <v>118</v>
      </c>
      <c r="C17" t="s">
        <v>156</v>
      </c>
      <c r="D17" t="s">
        <v>157</v>
      </c>
      <c r="E17" t="s">
        <v>158</v>
      </c>
      <c r="F17" t="s">
        <v>48</v>
      </c>
      <c r="G17">
        <v>101</v>
      </c>
      <c r="H17" t="s">
        <v>159</v>
      </c>
      <c r="I17" s="13">
        <v>41071.791666666664</v>
      </c>
      <c r="J17">
        <v>3</v>
      </c>
      <c r="K17">
        <v>2.8430365296803521</v>
      </c>
      <c r="L17">
        <v>22.2</v>
      </c>
      <c r="M17" t="str">
        <f>IF(SUMIFS(水保局全省災害資料!$X:$X, 水保局全省災害資料!$E:$E, A17, 水保局全省災害資料!$F:$F, B17, 水保局全省災害資料!$N:$N, H17)=0, "", SUMIFS(水保局全省災害資料!$X:$X, 水保局全省災害資料!$E:$E, A17, 水保局全省災害資料!$F:$F, B17, 水保局全省災害資料!$N:$N, H17))</f>
        <v/>
      </c>
      <c r="N17">
        <v>5.1378185100326323</v>
      </c>
      <c r="O17">
        <v>4.1843134532157649</v>
      </c>
      <c r="P17" t="s">
        <v>51</v>
      </c>
      <c r="Q17">
        <v>2</v>
      </c>
      <c r="R17">
        <v>2.8430365296803521</v>
      </c>
      <c r="S17">
        <v>250</v>
      </c>
      <c r="T17" t="s">
        <v>160</v>
      </c>
      <c r="U17" t="s">
        <v>161</v>
      </c>
      <c r="V17">
        <v>656.5</v>
      </c>
      <c r="W17">
        <v>18.5</v>
      </c>
      <c r="X17">
        <v>434.8</v>
      </c>
      <c r="Y17">
        <v>59</v>
      </c>
      <c r="Z17">
        <v>129</v>
      </c>
      <c r="AA17">
        <v>237.5</v>
      </c>
      <c r="AB17">
        <v>307</v>
      </c>
      <c r="AC17" t="s">
        <v>63</v>
      </c>
      <c r="AD17" t="s">
        <v>63</v>
      </c>
      <c r="AE17" t="s">
        <v>63</v>
      </c>
      <c r="AF17" t="s">
        <v>63</v>
      </c>
      <c r="AG17" t="s">
        <v>63</v>
      </c>
      <c r="AH17">
        <v>32</v>
      </c>
      <c r="AI17">
        <v>80.5</v>
      </c>
      <c r="AJ17">
        <v>150.5</v>
      </c>
      <c r="AK17">
        <v>244</v>
      </c>
      <c r="AL17">
        <v>353</v>
      </c>
      <c r="AM17" t="s">
        <v>63</v>
      </c>
      <c r="AN17" t="s">
        <v>63</v>
      </c>
      <c r="AO17" t="s">
        <v>63</v>
      </c>
      <c r="AP17" t="s">
        <v>54</v>
      </c>
      <c r="AQ17" t="s">
        <v>54</v>
      </c>
      <c r="AR17">
        <v>40</v>
      </c>
      <c r="AS17">
        <f>IFERROR(INDEX(水保局全省災害資料!$X$2:$X$2000, MATCH(1, INDEX((水保局全省災害資料!$T$2:$T$2000=W17)*(水保局全省災害資料!$U$2:$U$2000=X17), 0, 1), 0)), "")</f>
        <v>0</v>
      </c>
      <c r="AT17">
        <f>IFERROR(INDEX(水保局全省災害資料!$T$2:$T$2000, MATCH(1, INDEX((水保局全省災害資料!$T$2:$T$2000=W17)*(水保局全省災害資料!$U$2:$U$2000=X17), 0, 1), 0)), "")</f>
        <v>18.5</v>
      </c>
      <c r="AU17">
        <f>IFERROR(INDEX(水保局全省災害資料!$U$2:$U$2000, MATCH(1, INDEX((水保局全省災害資料!$T$2:$T$2000=W17)*(水保局全省災害資料!$U$2:$U$2000=X17), 0, 1), 0)), "")</f>
        <v>434.8</v>
      </c>
      <c r="AV17" t="str">
        <f>IFERROR(INDEX(水保局全省災害資料!$B$2:$B$2000, MATCH(1, INDEX((水保局全省災害資料!$T$2:$T$2000=W17)*(水保局全省災害資料!$U$2:$U$2000=X17), 0, 1), 0)), "")</f>
        <v>土石流、洪水(土砂淤積)</v>
      </c>
    </row>
    <row r="18" spans="1:48">
      <c r="A18" t="s">
        <v>76</v>
      </c>
      <c r="B18" t="s">
        <v>118</v>
      </c>
      <c r="C18" t="s">
        <v>162</v>
      </c>
      <c r="D18" t="s">
        <v>163</v>
      </c>
      <c r="E18" t="s">
        <v>164</v>
      </c>
      <c r="F18" t="s">
        <v>48</v>
      </c>
      <c r="G18">
        <v>112</v>
      </c>
      <c r="H18" t="s">
        <v>165</v>
      </c>
      <c r="I18" s="13">
        <v>45162.708333333336</v>
      </c>
      <c r="J18">
        <v>1</v>
      </c>
      <c r="L18">
        <v>0</v>
      </c>
      <c r="M18" t="str">
        <f>IF(SUMIFS(水保局全省災害資料!$X:$X, 水保局全省災害資料!$E:$E, A18, 水保局全省災害資料!$F:$F, B18, 水保局全省災害資料!$N:$N, H18)=0, "", SUMIFS(水保局全省災害資料!$X:$X, 水保局全省災害資料!$E:$E, A18, 水保局全省災害資料!$F:$F, B18, 水保局全省災害資料!$N:$N, H18))</f>
        <v/>
      </c>
      <c r="N18">
        <v>0</v>
      </c>
      <c r="O18">
        <v>0</v>
      </c>
      <c r="P18" t="s">
        <v>51</v>
      </c>
      <c r="Q18">
        <v>1</v>
      </c>
      <c r="S18">
        <v>300</v>
      </c>
      <c r="T18" t="s">
        <v>145</v>
      </c>
      <c r="U18" t="s">
        <v>146</v>
      </c>
      <c r="V18">
        <v>42</v>
      </c>
      <c r="W18">
        <v>29</v>
      </c>
      <c r="X18">
        <v>46</v>
      </c>
      <c r="Y18">
        <v>36.5</v>
      </c>
      <c r="Z18">
        <v>36.5</v>
      </c>
      <c r="AA18">
        <v>36.5</v>
      </c>
      <c r="AB18">
        <v>36.5</v>
      </c>
      <c r="AC18" t="s">
        <v>63</v>
      </c>
      <c r="AD18" t="s">
        <v>63</v>
      </c>
      <c r="AE18" t="s">
        <v>63</v>
      </c>
      <c r="AF18" t="s">
        <v>63</v>
      </c>
      <c r="AG18" t="s">
        <v>63</v>
      </c>
      <c r="AH18">
        <v>29</v>
      </c>
      <c r="AI18">
        <v>42</v>
      </c>
      <c r="AJ18">
        <v>42</v>
      </c>
      <c r="AK18">
        <v>42</v>
      </c>
      <c r="AL18">
        <v>42</v>
      </c>
      <c r="AM18" t="s">
        <v>63</v>
      </c>
      <c r="AN18" t="s">
        <v>63</v>
      </c>
      <c r="AO18" t="s">
        <v>63</v>
      </c>
      <c r="AP18" t="s">
        <v>63</v>
      </c>
      <c r="AQ18" t="s">
        <v>63</v>
      </c>
      <c r="AR18">
        <v>3</v>
      </c>
      <c r="AS18" t="str">
        <f>IFERROR(INDEX(水保局全省災害資料!$X$2:$X$2000, MATCH(1, INDEX((水保局全省災害資料!$T$2:$T$2000=W18)*(水保局全省災害資料!$U$2:$U$2000=X18), 0, 1), 0)), "")</f>
        <v/>
      </c>
      <c r="AT18" t="str">
        <f>IFERROR(INDEX(水保局全省災害資料!$T$2:$T$2000, MATCH(1, INDEX((水保局全省災害資料!$T$2:$T$2000=W18)*(水保局全省災害資料!$U$2:$U$2000=X18), 0, 1), 0)), "")</f>
        <v/>
      </c>
      <c r="AU18" t="str">
        <f>IFERROR(INDEX(水保局全省災害資料!$U$2:$U$2000, MATCH(1, INDEX((水保局全省災害資料!$T$2:$T$2000=W18)*(水保局全省災害資料!$U$2:$U$2000=X18), 0, 1), 0)), "")</f>
        <v/>
      </c>
      <c r="AV18" t="str">
        <f>IFERROR(INDEX(水保局全省災害資料!$B$2:$B$2000, MATCH(1, INDEX((水保局全省災害資料!$T$2:$T$2000=W18)*(水保局全省災害資料!$U$2:$U$2000=X18), 0, 1), 0)), "")</f>
        <v/>
      </c>
    </row>
    <row r="19" spans="1:48">
      <c r="A19" t="s">
        <v>76</v>
      </c>
      <c r="B19" t="s">
        <v>118</v>
      </c>
      <c r="C19" t="s">
        <v>162</v>
      </c>
      <c r="D19" t="s">
        <v>163</v>
      </c>
      <c r="E19" t="s">
        <v>164</v>
      </c>
      <c r="F19" t="s">
        <v>48</v>
      </c>
      <c r="G19">
        <v>113</v>
      </c>
      <c r="H19" t="s">
        <v>165</v>
      </c>
      <c r="I19" s="13">
        <v>45440.5</v>
      </c>
      <c r="J19">
        <v>2</v>
      </c>
      <c r="K19">
        <v>0.761073059360724</v>
      </c>
      <c r="L19">
        <v>0.1</v>
      </c>
      <c r="M19" t="str">
        <f>IF(SUMIFS(水保局全省災害資料!$X:$X, 水保局全省災害資料!$E:$E, A19, 水保局全省災害資料!$F:$F, B19, 水保局全省災害資料!$N:$N, H19)=0, "", SUMIFS(水保局全省災害資料!$X:$X, 水保局全省災害資料!$E:$E, A19, 水保局全省災害資料!$F:$F, B19, 水保局全省災害資料!$N:$N, H19))</f>
        <v/>
      </c>
      <c r="N19">
        <v>0.12410027302060064</v>
      </c>
      <c r="O19">
        <v>-2146826273</v>
      </c>
      <c r="P19" t="s">
        <v>51</v>
      </c>
      <c r="Q19">
        <v>2</v>
      </c>
      <c r="R19">
        <v>0.761073059360724</v>
      </c>
      <c r="S19">
        <v>300</v>
      </c>
      <c r="T19" t="s">
        <v>167</v>
      </c>
      <c r="U19" t="s">
        <v>168</v>
      </c>
      <c r="V19">
        <v>41</v>
      </c>
      <c r="W19">
        <v>18</v>
      </c>
      <c r="X19">
        <v>102</v>
      </c>
      <c r="Y19">
        <v>48.5</v>
      </c>
      <c r="Z19">
        <v>57.5</v>
      </c>
      <c r="AA19">
        <v>60</v>
      </c>
      <c r="AB19">
        <v>67</v>
      </c>
      <c r="AC19" t="s">
        <v>63</v>
      </c>
      <c r="AD19" t="s">
        <v>63</v>
      </c>
      <c r="AE19" t="s">
        <v>63</v>
      </c>
      <c r="AF19" t="s">
        <v>63</v>
      </c>
      <c r="AG19" t="s">
        <v>63</v>
      </c>
      <c r="AH19">
        <v>14</v>
      </c>
      <c r="AI19">
        <v>32</v>
      </c>
      <c r="AJ19">
        <v>41</v>
      </c>
      <c r="AK19">
        <v>41</v>
      </c>
      <c r="AL19">
        <v>41</v>
      </c>
      <c r="AM19" t="s">
        <v>63</v>
      </c>
      <c r="AN19" t="s">
        <v>63</v>
      </c>
      <c r="AO19" t="s">
        <v>63</v>
      </c>
      <c r="AP19" t="s">
        <v>63</v>
      </c>
      <c r="AQ19" t="s">
        <v>63</v>
      </c>
      <c r="AR19">
        <v>6</v>
      </c>
      <c r="AS19" t="str">
        <f>IFERROR(INDEX(水保局全省災害資料!$X$2:$X$2000, MATCH(1, INDEX((水保局全省災害資料!$T$2:$T$2000=W19)*(水保局全省災害資料!$U$2:$U$2000=X19), 0, 1), 0)), "")</f>
        <v/>
      </c>
      <c r="AT19" t="str">
        <f>IFERROR(INDEX(水保局全省災害資料!$T$2:$T$2000, MATCH(1, INDEX((水保局全省災害資料!$T$2:$T$2000=W19)*(水保局全省災害資料!$U$2:$U$2000=X19), 0, 1), 0)), "")</f>
        <v/>
      </c>
      <c r="AU19" t="str">
        <f>IFERROR(INDEX(水保局全省災害資料!$U$2:$U$2000, MATCH(1, INDEX((水保局全省災害資料!$T$2:$T$2000=W19)*(水保局全省災害資料!$U$2:$U$2000=X19), 0, 1), 0)), "")</f>
        <v/>
      </c>
      <c r="AV19" t="str">
        <f>IFERROR(INDEX(水保局全省災害資料!$B$2:$B$2000, MATCH(1, INDEX((水保局全省災害資料!$T$2:$T$2000=W19)*(水保局全省災害資料!$U$2:$U$2000=X19), 0, 1), 0)), "")</f>
        <v/>
      </c>
    </row>
    <row r="20" spans="1:48">
      <c r="A20" t="s">
        <v>76</v>
      </c>
      <c r="B20" t="s">
        <v>118</v>
      </c>
      <c r="C20" t="s">
        <v>162</v>
      </c>
      <c r="D20" t="s">
        <v>163</v>
      </c>
      <c r="E20" t="s">
        <v>164</v>
      </c>
      <c r="F20" t="s">
        <v>48</v>
      </c>
      <c r="G20">
        <v>113</v>
      </c>
      <c r="H20" t="s">
        <v>59</v>
      </c>
      <c r="I20" s="13">
        <v>45498</v>
      </c>
      <c r="J20">
        <v>3</v>
      </c>
      <c r="K20">
        <v>0.15753424657534246</v>
      </c>
      <c r="L20" t="s">
        <v>166</v>
      </c>
      <c r="M20" t="str">
        <f>IF(SUMIFS(水保局全省災害資料!$X:$X, 水保局全省災害資料!$E:$E, A20, 水保局全省災害資料!$F:$F, B20, 水保局全省災害資料!$N:$N, H20)=0, "", SUMIFS(水保局全省災害資料!$X:$X, 水保局全省災害資料!$E:$E, A20, 水保局全省災害資料!$F:$F, B20, 水保局全省災害資料!$N:$N, H20))</f>
        <v/>
      </c>
      <c r="N20">
        <v>-2146826273</v>
      </c>
      <c r="O20">
        <v>-2146826273</v>
      </c>
      <c r="P20" t="s">
        <v>51</v>
      </c>
      <c r="Q20">
        <v>3</v>
      </c>
      <c r="R20">
        <v>0.15753424657534246</v>
      </c>
      <c r="S20">
        <v>300</v>
      </c>
      <c r="T20" t="s">
        <v>167</v>
      </c>
      <c r="U20" t="s">
        <v>168</v>
      </c>
      <c r="V20">
        <v>342</v>
      </c>
      <c r="W20">
        <v>11</v>
      </c>
      <c r="X20">
        <v>93</v>
      </c>
      <c r="Y20">
        <v>22</v>
      </c>
      <c r="Z20">
        <v>52</v>
      </c>
      <c r="AA20">
        <v>99</v>
      </c>
      <c r="AB20">
        <v>120</v>
      </c>
      <c r="AC20" t="s">
        <v>63</v>
      </c>
      <c r="AD20" t="s">
        <v>63</v>
      </c>
      <c r="AE20" t="s">
        <v>63</v>
      </c>
      <c r="AF20" t="s">
        <v>63</v>
      </c>
      <c r="AG20" t="s">
        <v>63</v>
      </c>
      <c r="AH20">
        <v>38</v>
      </c>
      <c r="AI20">
        <v>82</v>
      </c>
      <c r="AJ20">
        <v>126</v>
      </c>
      <c r="AK20">
        <v>177</v>
      </c>
      <c r="AL20">
        <v>284</v>
      </c>
      <c r="AM20" t="s">
        <v>63</v>
      </c>
      <c r="AN20" t="s">
        <v>63</v>
      </c>
      <c r="AO20" t="s">
        <v>63</v>
      </c>
      <c r="AP20" t="s">
        <v>54</v>
      </c>
      <c r="AQ20" t="s">
        <v>56</v>
      </c>
      <c r="AR20">
        <v>15</v>
      </c>
      <c r="AS20">
        <f>IFERROR(INDEX(水保局全省災害資料!$X$2:$X$2000, MATCH(1, INDEX((水保局全省災害資料!$T$2:$T$2000=W20)*(水保局全省災害資料!$U$2:$U$2000=X20), 0, 1), 0)), "")</f>
        <v>0</v>
      </c>
      <c r="AT20">
        <f>IFERROR(INDEX(水保局全省災害資料!$T$2:$T$2000, MATCH(1, INDEX((水保局全省災害資料!$T$2:$T$2000=W20)*(水保局全省災害資料!$U$2:$U$2000=X20), 0, 1), 0)), "")</f>
        <v>11</v>
      </c>
      <c r="AU20">
        <f>IFERROR(INDEX(水保局全省災害資料!$U$2:$U$2000, MATCH(1, INDEX((水保局全省災害資料!$T$2:$T$2000=W20)*(水保局全省災害資料!$U$2:$U$2000=X20), 0, 1), 0)), "")</f>
        <v>93</v>
      </c>
      <c r="AV20" t="str">
        <f>IFERROR(INDEX(水保局全省災害資料!$B$2:$B$2000, MATCH(1, INDEX((水保局全省災害資料!$T$2:$T$2000=W20)*(水保局全省災害資料!$U$2:$U$2000=X20), 0, 1), 0)), "")</f>
        <v>土石流</v>
      </c>
    </row>
    <row r="21" spans="1:48">
      <c r="A21" t="s">
        <v>76</v>
      </c>
      <c r="B21" t="s">
        <v>118</v>
      </c>
      <c r="C21" t="s">
        <v>142</v>
      </c>
      <c r="D21" t="s">
        <v>169</v>
      </c>
      <c r="E21" t="s">
        <v>170</v>
      </c>
      <c r="F21" t="s">
        <v>48</v>
      </c>
      <c r="G21">
        <v>98</v>
      </c>
      <c r="H21" t="s">
        <v>153</v>
      </c>
      <c r="I21" s="13">
        <v>40033.625</v>
      </c>
      <c r="J21">
        <v>4</v>
      </c>
      <c r="K21">
        <v>5.1058219178082194</v>
      </c>
      <c r="L21">
        <v>58.131931999999999</v>
      </c>
      <c r="M21" t="str">
        <f>IF(SUMIFS(水保局全省災害資料!$X:$X, 水保局全省災害資料!$E:$E, A21, 水保局全省災害資料!$F:$F, B21, 水保局全省災害資料!$N:$N, H21)=0, "", SUMIFS(水保局全省災害資料!$X:$X, 水保局全省災害資料!$E:$E, A21, 水保局全省災害資料!$F:$F, B21, 水保局全省災害資料!$N:$N, H21))</f>
        <v/>
      </c>
      <c r="N21">
        <v>15.487806255661535</v>
      </c>
      <c r="O21">
        <v>50.620770501412061</v>
      </c>
      <c r="P21" t="s">
        <v>51</v>
      </c>
      <c r="Q21">
        <v>1</v>
      </c>
      <c r="S21">
        <v>250</v>
      </c>
      <c r="T21" t="s">
        <v>147</v>
      </c>
      <c r="U21" t="s">
        <v>142</v>
      </c>
      <c r="V21">
        <v>1919</v>
      </c>
      <c r="W21">
        <v>34</v>
      </c>
      <c r="X21">
        <v>576.1</v>
      </c>
      <c r="Y21">
        <v>98</v>
      </c>
      <c r="Z21">
        <v>159</v>
      </c>
      <c r="AA21">
        <v>295.5</v>
      </c>
      <c r="AB21">
        <v>453.5</v>
      </c>
      <c r="AC21" t="s">
        <v>63</v>
      </c>
      <c r="AD21" t="s">
        <v>63</v>
      </c>
      <c r="AE21" t="s">
        <v>63</v>
      </c>
      <c r="AF21" t="s">
        <v>54</v>
      </c>
      <c r="AG21" t="s">
        <v>54</v>
      </c>
      <c r="AH21">
        <v>95</v>
      </c>
      <c r="AI21">
        <v>255.5</v>
      </c>
      <c r="AJ21">
        <v>392</v>
      </c>
      <c r="AK21">
        <v>653</v>
      </c>
      <c r="AL21">
        <v>1138.5</v>
      </c>
      <c r="AM21" t="s">
        <v>56</v>
      </c>
      <c r="AN21" t="s">
        <v>87</v>
      </c>
      <c r="AO21" t="s">
        <v>64</v>
      </c>
      <c r="AP21" t="s">
        <v>64</v>
      </c>
      <c r="AQ21" t="s">
        <v>64</v>
      </c>
      <c r="AR21">
        <v>39</v>
      </c>
      <c r="AS21">
        <f>IFERROR(INDEX(水保局全省災害資料!$X$2:$X$2000, MATCH(1, INDEX((水保局全省災害資料!$T$2:$T$2000=W21)*(水保局全省災害資料!$U$2:$U$2000=X21), 0, 1), 0)), "")</f>
        <v>0</v>
      </c>
      <c r="AT21">
        <f>IFERROR(INDEX(水保局全省災害資料!$T$2:$T$2000, MATCH(1, INDEX((水保局全省災害資料!$T$2:$T$2000=W21)*(水保局全省災害資料!$U$2:$U$2000=X21), 0, 1), 0)), "")</f>
        <v>34</v>
      </c>
      <c r="AU21">
        <f>IFERROR(INDEX(水保局全省災害資料!$U$2:$U$2000, MATCH(1, INDEX((水保局全省災害資料!$T$2:$T$2000=W21)*(水保局全省災害資料!$U$2:$U$2000=X21), 0, 1), 0)), "")</f>
        <v>576.1</v>
      </c>
      <c r="AV21" t="str">
        <f>IFERROR(INDEX(水保局全省災害資料!$B$2:$B$2000, MATCH(1, INDEX((水保局全省災害資料!$T$2:$T$2000=W21)*(水保局全省災害資料!$U$2:$U$2000=X21), 0, 1), 0)), "")</f>
        <v>土石流</v>
      </c>
    </row>
    <row r="22" spans="1:48">
      <c r="A22" t="s">
        <v>76</v>
      </c>
      <c r="B22" t="s">
        <v>118</v>
      </c>
      <c r="C22" t="s">
        <v>142</v>
      </c>
      <c r="D22" t="s">
        <v>169</v>
      </c>
      <c r="E22" t="s">
        <v>170</v>
      </c>
      <c r="F22" t="s">
        <v>48</v>
      </c>
      <c r="G22">
        <v>100</v>
      </c>
      <c r="H22" t="s">
        <v>171</v>
      </c>
      <c r="I22" s="13">
        <v>40742.958333333336</v>
      </c>
      <c r="J22">
        <v>5</v>
      </c>
      <c r="K22">
        <v>1.9433789954337966</v>
      </c>
      <c r="L22">
        <v>134.191002</v>
      </c>
      <c r="M22" t="str">
        <f>IF(SUMIFS(水保局全省災害資料!$X:$X, 水保局全省災害資料!$E:$E, A22, 水保局全省災害資料!$F:$F, B22, 水保局全省災害資料!$N:$N, H22)=0, "", SUMIFS(水保局全省災害資料!$X:$X, 水保局全省災害資料!$E:$E, A22, 水保局全省災害資料!$F:$F, B22, 水保局全省災害資料!$N:$N, H22))</f>
        <v/>
      </c>
      <c r="N22">
        <v>35.751852187350138</v>
      </c>
      <c r="O22">
        <v>40.740396174135455</v>
      </c>
      <c r="P22" t="s">
        <v>51</v>
      </c>
      <c r="Q22">
        <v>2</v>
      </c>
      <c r="R22">
        <v>1.9433789954337966</v>
      </c>
      <c r="S22">
        <v>250</v>
      </c>
      <c r="T22" t="s">
        <v>147</v>
      </c>
      <c r="U22" t="s">
        <v>142</v>
      </c>
      <c r="V22">
        <v>252</v>
      </c>
      <c r="W22">
        <v>15</v>
      </c>
      <c r="X22">
        <v>89.32</v>
      </c>
      <c r="Y22">
        <v>32</v>
      </c>
      <c r="Z22">
        <v>33</v>
      </c>
      <c r="AA22">
        <v>34</v>
      </c>
      <c r="AB22">
        <v>60.5</v>
      </c>
      <c r="AC22" t="s">
        <v>63</v>
      </c>
      <c r="AD22" t="s">
        <v>63</v>
      </c>
      <c r="AE22" t="s">
        <v>63</v>
      </c>
      <c r="AF22" t="s">
        <v>63</v>
      </c>
      <c r="AG22" t="s">
        <v>63</v>
      </c>
      <c r="AH22">
        <v>45</v>
      </c>
      <c r="AI22">
        <v>102.5</v>
      </c>
      <c r="AJ22">
        <v>173.5</v>
      </c>
      <c r="AK22">
        <v>245.5</v>
      </c>
      <c r="AL22">
        <v>252</v>
      </c>
      <c r="AM22" t="s">
        <v>63</v>
      </c>
      <c r="AN22" t="s">
        <v>63</v>
      </c>
      <c r="AO22" t="s">
        <v>63</v>
      </c>
      <c r="AP22" t="s">
        <v>63</v>
      </c>
      <c r="AQ22" t="s">
        <v>63</v>
      </c>
      <c r="AR22">
        <v>2</v>
      </c>
      <c r="AS22" t="str">
        <f>IFERROR(INDEX(水保局全省災害資料!$X$2:$X$2000, MATCH(1, INDEX((水保局全省災害資料!$T$2:$T$2000=W22)*(水保局全省災害資料!$U$2:$U$2000=X22), 0, 1), 0)), "")</f>
        <v/>
      </c>
      <c r="AT22" t="str">
        <f>IFERROR(INDEX(水保局全省災害資料!$T$2:$T$2000, MATCH(1, INDEX((水保局全省災害資料!$T$2:$T$2000=W22)*(水保局全省災害資料!$U$2:$U$2000=X22), 0, 1), 0)), "")</f>
        <v/>
      </c>
      <c r="AU22" t="str">
        <f>IFERROR(INDEX(水保局全省災害資料!$U$2:$U$2000, MATCH(1, INDEX((水保局全省災害資料!$T$2:$T$2000=W22)*(水保局全省災害資料!$U$2:$U$2000=X22), 0, 1), 0)), "")</f>
        <v/>
      </c>
      <c r="AV22" t="str">
        <f>IFERROR(INDEX(水保局全省災害資料!$B$2:$B$2000, MATCH(1, INDEX((水保局全省災害資料!$T$2:$T$2000=W22)*(水保局全省災害資料!$U$2:$U$2000=X22), 0, 1), 0)), "")</f>
        <v/>
      </c>
    </row>
    <row r="23" spans="1:48">
      <c r="A23" t="s">
        <v>76</v>
      </c>
      <c r="B23" t="s">
        <v>118</v>
      </c>
      <c r="C23" t="s">
        <v>142</v>
      </c>
      <c r="D23" t="s">
        <v>169</v>
      </c>
      <c r="E23" t="s">
        <v>170</v>
      </c>
      <c r="F23" t="s">
        <v>48</v>
      </c>
      <c r="G23">
        <v>101</v>
      </c>
      <c r="H23" t="s">
        <v>159</v>
      </c>
      <c r="I23" s="13">
        <v>41070.791666666664</v>
      </c>
      <c r="J23">
        <v>6</v>
      </c>
      <c r="K23">
        <v>0.8981735159817219</v>
      </c>
      <c r="L23">
        <v>110.2</v>
      </c>
      <c r="M23" t="str">
        <f>IF(SUMIFS(水保局全省災害資料!$X:$X, 水保局全省災害資料!$E:$E, A23, 水保局全省災害資料!$F:$F, B23, 水保局全省災害資料!$N:$N, H23)=0, "", SUMIFS(水保局全省災害資料!$X:$X, 水保局全省災害資料!$E:$E, A23, 水保局全省災害資料!$F:$F, B23, 水保局全省災害資料!$N:$N, H23))</f>
        <v/>
      </c>
      <c r="N23">
        <v>29.360046890818992</v>
      </c>
      <c r="O23">
        <v>30.931955027441788</v>
      </c>
      <c r="P23" t="s">
        <v>51</v>
      </c>
      <c r="Q23">
        <v>3</v>
      </c>
      <c r="R23">
        <v>0.8981735159817219</v>
      </c>
      <c r="S23">
        <v>250</v>
      </c>
      <c r="T23" t="s">
        <v>147</v>
      </c>
      <c r="U23" t="s">
        <v>142</v>
      </c>
      <c r="V23">
        <v>949</v>
      </c>
      <c r="W23">
        <v>24.5</v>
      </c>
      <c r="X23">
        <v>228.6</v>
      </c>
      <c r="Y23">
        <v>82</v>
      </c>
      <c r="Z23">
        <v>122.5</v>
      </c>
      <c r="AA23">
        <v>153</v>
      </c>
      <c r="AB23">
        <v>180</v>
      </c>
      <c r="AC23" t="s">
        <v>63</v>
      </c>
      <c r="AD23" t="s">
        <v>63</v>
      </c>
      <c r="AE23" t="s">
        <v>63</v>
      </c>
      <c r="AF23" t="s">
        <v>63</v>
      </c>
      <c r="AG23" t="s">
        <v>63</v>
      </c>
      <c r="AH23">
        <v>39.5</v>
      </c>
      <c r="AI23">
        <v>84</v>
      </c>
      <c r="AJ23">
        <v>151</v>
      </c>
      <c r="AK23">
        <v>279.5</v>
      </c>
      <c r="AL23">
        <v>460.5</v>
      </c>
      <c r="AM23" t="s">
        <v>63</v>
      </c>
      <c r="AN23" t="s">
        <v>63</v>
      </c>
      <c r="AO23" t="s">
        <v>63</v>
      </c>
      <c r="AP23" t="s">
        <v>54</v>
      </c>
      <c r="AQ23" t="s">
        <v>55</v>
      </c>
      <c r="AR23">
        <v>12</v>
      </c>
      <c r="AS23" t="str">
        <f>IFERROR(INDEX(水保局全省災害資料!$X$2:$X$2000, MATCH(1, INDEX((水保局全省災害資料!$T$2:$T$2000=W23)*(水保局全省災害資料!$U$2:$U$2000=X23), 0, 1), 0)), "")</f>
        <v/>
      </c>
      <c r="AT23" t="str">
        <f>IFERROR(INDEX(水保局全省災害資料!$T$2:$T$2000, MATCH(1, INDEX((水保局全省災害資料!$T$2:$T$2000=W23)*(水保局全省災害資料!$U$2:$U$2000=X23), 0, 1), 0)), "")</f>
        <v/>
      </c>
      <c r="AU23" t="str">
        <f>IFERROR(INDEX(水保局全省災害資料!$U$2:$U$2000, MATCH(1, INDEX((水保局全省災害資料!$T$2:$T$2000=W23)*(水保局全省災害資料!$U$2:$U$2000=X23), 0, 1), 0)), "")</f>
        <v/>
      </c>
      <c r="AV23" t="str">
        <f>IFERROR(INDEX(水保局全省災害資料!$B$2:$B$2000, MATCH(1, INDEX((水保局全省災害資料!$T$2:$T$2000=W23)*(水保局全省災害資料!$U$2:$U$2000=X23), 0, 1), 0)), "")</f>
        <v/>
      </c>
    </row>
    <row r="24" spans="1:48">
      <c r="A24" t="s">
        <v>76</v>
      </c>
      <c r="B24" t="s">
        <v>118</v>
      </c>
      <c r="C24" t="s">
        <v>142</v>
      </c>
      <c r="D24" t="s">
        <v>169</v>
      </c>
      <c r="E24" t="s">
        <v>170</v>
      </c>
      <c r="F24" t="s">
        <v>48</v>
      </c>
      <c r="G24">
        <v>102</v>
      </c>
      <c r="H24" t="s">
        <v>172</v>
      </c>
      <c r="I24" s="13">
        <v>41468.287499999999</v>
      </c>
      <c r="J24">
        <v>7</v>
      </c>
      <c r="K24">
        <v>1.0890296803652995</v>
      </c>
      <c r="L24">
        <v>116.1</v>
      </c>
      <c r="M24" t="str">
        <f>IF(SUMIFS(水保局全省災害資料!$X:$X, 水保局全省災害資料!$E:$E, A24, 水保局全省災害資料!$F:$F, B24, 水保局全省災害資料!$N:$N, H24)=0, "", SUMIFS(水保局全省災害資料!$X:$X, 水保局全省災害資料!$E:$E, A24, 水保局全省災害資料!$F:$F, B24, 水保局全省災害資料!$N:$N, H24))</f>
        <v/>
      </c>
      <c r="N24">
        <v>30.931955027441788</v>
      </c>
      <c r="O24">
        <v>34.55533649491128</v>
      </c>
      <c r="P24" t="s">
        <v>51</v>
      </c>
      <c r="Q24">
        <v>4</v>
      </c>
      <c r="R24">
        <v>1.0890296803652995</v>
      </c>
      <c r="S24">
        <v>250</v>
      </c>
      <c r="T24" t="s">
        <v>147</v>
      </c>
      <c r="U24" t="s">
        <v>142</v>
      </c>
      <c r="V24">
        <v>617.5</v>
      </c>
      <c r="W24">
        <v>59.5</v>
      </c>
      <c r="X24">
        <v>340.7</v>
      </c>
      <c r="Y24">
        <v>136.5</v>
      </c>
      <c r="Z24">
        <v>254.5</v>
      </c>
      <c r="AA24">
        <v>328.5</v>
      </c>
      <c r="AB24">
        <v>332</v>
      </c>
      <c r="AC24" t="s">
        <v>63</v>
      </c>
      <c r="AD24" t="s">
        <v>54</v>
      </c>
      <c r="AE24" t="s">
        <v>55</v>
      </c>
      <c r="AF24" t="s">
        <v>54</v>
      </c>
      <c r="AG24" t="s">
        <v>63</v>
      </c>
      <c r="AH24">
        <v>59.5</v>
      </c>
      <c r="AI24">
        <v>143</v>
      </c>
      <c r="AJ24">
        <v>254.5</v>
      </c>
      <c r="AK24">
        <v>436</v>
      </c>
      <c r="AL24">
        <v>617.5</v>
      </c>
      <c r="AM24" t="s">
        <v>63</v>
      </c>
      <c r="AN24" t="s">
        <v>54</v>
      </c>
      <c r="AO24" t="s">
        <v>55</v>
      </c>
      <c r="AP24" t="s">
        <v>57</v>
      </c>
      <c r="AQ24" t="s">
        <v>57</v>
      </c>
      <c r="AR24">
        <v>12</v>
      </c>
      <c r="AS24" t="str">
        <f>IFERROR(INDEX(水保局全省災害資料!$X$2:$X$2000, MATCH(1, INDEX((水保局全省災害資料!$T$2:$T$2000=W24)*(水保局全省災害資料!$U$2:$U$2000=X24), 0, 1), 0)), "")</f>
        <v/>
      </c>
      <c r="AT24" t="str">
        <f>IFERROR(INDEX(水保局全省災害資料!$T$2:$T$2000, MATCH(1, INDEX((水保局全省災害資料!$T$2:$T$2000=W24)*(水保局全省災害資料!$U$2:$U$2000=X24), 0, 1), 0)), "")</f>
        <v/>
      </c>
      <c r="AU24" t="str">
        <f>IFERROR(INDEX(水保局全省災害資料!$U$2:$U$2000, MATCH(1, INDEX((水保局全省災害資料!$T$2:$T$2000=W24)*(水保局全省災害資料!$U$2:$U$2000=X24), 0, 1), 0)), "")</f>
        <v/>
      </c>
      <c r="AV24" t="str">
        <f>IFERROR(INDEX(水保局全省災害資料!$B$2:$B$2000, MATCH(1, INDEX((水保局全省災害資料!$T$2:$T$2000=W24)*(水保局全省災害資料!$U$2:$U$2000=X24), 0, 1), 0)), "")</f>
        <v/>
      </c>
    </row>
    <row r="25" spans="1:48">
      <c r="A25" t="s">
        <v>76</v>
      </c>
      <c r="B25" t="s">
        <v>118</v>
      </c>
      <c r="C25" t="s">
        <v>142</v>
      </c>
      <c r="D25" t="s">
        <v>169</v>
      </c>
      <c r="E25" t="s">
        <v>170</v>
      </c>
      <c r="F25" t="s">
        <v>48</v>
      </c>
      <c r="G25">
        <v>103</v>
      </c>
      <c r="H25" t="s">
        <v>173</v>
      </c>
      <c r="I25" s="13">
        <v>41779.536805555559</v>
      </c>
      <c r="J25">
        <v>8</v>
      </c>
      <c r="K25">
        <v>0.85273782343989202</v>
      </c>
      <c r="L25">
        <v>129.69999999999999</v>
      </c>
      <c r="M25" t="str">
        <f>IF(SUMIFS(水保局全省災害資料!$X:$X, 水保局全省災害資料!$E:$E, A25, 水保局全省災害資料!$F:$F, B25, 水保局全省災害資料!$N:$N, H25)=0, "", SUMIFS(水保局全省災害資料!$X:$X, 水保局全省災害資料!$E:$E, A25, 水保局全省災害資料!$F:$F, B25, 水保局全省災害資料!$N:$N, H25))</f>
        <v/>
      </c>
      <c r="N25">
        <v>34.55533649491128</v>
      </c>
      <c r="O25">
        <v>25.912505994564931</v>
      </c>
      <c r="P25" t="s">
        <v>51</v>
      </c>
      <c r="Q25">
        <v>5</v>
      </c>
      <c r="R25">
        <v>0.85273782343989202</v>
      </c>
      <c r="S25">
        <v>250</v>
      </c>
      <c r="T25" t="s">
        <v>147</v>
      </c>
      <c r="U25" t="s">
        <v>142</v>
      </c>
      <c r="V25">
        <v>153.5</v>
      </c>
      <c r="W25">
        <v>13</v>
      </c>
      <c r="X25">
        <v>88.9</v>
      </c>
      <c r="Y25">
        <v>42</v>
      </c>
      <c r="Z25">
        <v>42.5</v>
      </c>
      <c r="AA25">
        <v>42.5</v>
      </c>
      <c r="AB25">
        <v>62.5</v>
      </c>
      <c r="AC25" t="s">
        <v>63</v>
      </c>
      <c r="AD25" t="s">
        <v>63</v>
      </c>
      <c r="AE25" t="s">
        <v>63</v>
      </c>
      <c r="AF25" t="s">
        <v>63</v>
      </c>
      <c r="AG25" t="s">
        <v>63</v>
      </c>
      <c r="AH25">
        <v>35.5</v>
      </c>
      <c r="AI25">
        <v>63.5</v>
      </c>
      <c r="AJ25">
        <v>96.5</v>
      </c>
      <c r="AK25">
        <v>153.5</v>
      </c>
      <c r="AL25">
        <v>153.5</v>
      </c>
      <c r="AM25" t="s">
        <v>63</v>
      </c>
      <c r="AN25" t="s">
        <v>63</v>
      </c>
      <c r="AO25" t="s">
        <v>63</v>
      </c>
      <c r="AP25" t="s">
        <v>63</v>
      </c>
      <c r="AQ25" t="s">
        <v>63</v>
      </c>
      <c r="AR25">
        <v>1</v>
      </c>
      <c r="AS25" t="str">
        <f>IFERROR(INDEX(水保局全省災害資料!$X$2:$X$2000, MATCH(1, INDEX((水保局全省災害資料!$T$2:$T$2000=W25)*(水保局全省災害資料!$U$2:$U$2000=X25), 0, 1), 0)), "")</f>
        <v/>
      </c>
      <c r="AT25" t="str">
        <f>IFERROR(INDEX(水保局全省災害資料!$T$2:$T$2000, MATCH(1, INDEX((水保局全省災害資料!$T$2:$T$2000=W25)*(水保局全省災害資料!$U$2:$U$2000=X25), 0, 1), 0)), "")</f>
        <v/>
      </c>
      <c r="AU25" t="str">
        <f>IFERROR(INDEX(水保局全省災害資料!$U$2:$U$2000, MATCH(1, INDEX((水保局全省災害資料!$T$2:$T$2000=W25)*(水保局全省災害資料!$U$2:$U$2000=X25), 0, 1), 0)), "")</f>
        <v/>
      </c>
      <c r="AV25" t="str">
        <f>IFERROR(INDEX(水保局全省災害資料!$B$2:$B$2000, MATCH(1, INDEX((水保局全省災害資料!$T$2:$T$2000=W25)*(水保局全省災害資料!$U$2:$U$2000=X25), 0, 1), 0)), "")</f>
        <v/>
      </c>
    </row>
    <row r="26" spans="1:48">
      <c r="A26" t="s">
        <v>174</v>
      </c>
      <c r="B26" t="s">
        <v>175</v>
      </c>
      <c r="C26" t="s">
        <v>176</v>
      </c>
      <c r="D26" t="s">
        <v>177</v>
      </c>
      <c r="F26" t="s">
        <v>127</v>
      </c>
      <c r="G26">
        <v>106</v>
      </c>
      <c r="H26" t="s">
        <v>178</v>
      </c>
      <c r="I26" s="13">
        <v>42889.958333333336</v>
      </c>
      <c r="J26">
        <v>1</v>
      </c>
      <c r="L26">
        <v>0</v>
      </c>
      <c r="M26" t="str">
        <f>IF(SUMIFS(水保局全省災害資料!$X:$X, 水保局全省災害資料!$E:$E, A26, 水保局全省災害資料!$F:$F, B26, 水保局全省災害資料!$N:$N, H26)=0, "", SUMIFS(水保局全省災害資料!$X:$X, 水保局全省災害資料!$E:$E, A26, 水保局全省災害資料!$F:$F, B26, 水保局全省災害資料!$N:$N, H26))</f>
        <v/>
      </c>
      <c r="N26">
        <v>0</v>
      </c>
      <c r="O26">
        <v>1.4526170163707632</v>
      </c>
      <c r="P26" t="s">
        <v>51</v>
      </c>
      <c r="Q26">
        <v>1</v>
      </c>
      <c r="S26">
        <v>300</v>
      </c>
      <c r="T26" t="s">
        <v>179</v>
      </c>
      <c r="U26" t="s">
        <v>180</v>
      </c>
      <c r="V26">
        <v>124</v>
      </c>
      <c r="W26">
        <v>54</v>
      </c>
      <c r="X26">
        <v>614</v>
      </c>
      <c r="Y26">
        <v>81</v>
      </c>
      <c r="Z26">
        <v>97.5</v>
      </c>
      <c r="AA26">
        <v>97.5</v>
      </c>
      <c r="AB26">
        <v>97.5</v>
      </c>
      <c r="AC26" t="s">
        <v>63</v>
      </c>
      <c r="AD26" t="s">
        <v>63</v>
      </c>
      <c r="AE26" t="s">
        <v>63</v>
      </c>
      <c r="AF26" t="s">
        <v>63</v>
      </c>
      <c r="AG26" t="s">
        <v>63</v>
      </c>
      <c r="AH26">
        <v>54</v>
      </c>
      <c r="AI26">
        <v>81</v>
      </c>
      <c r="AJ26">
        <v>107.5</v>
      </c>
      <c r="AK26">
        <v>124</v>
      </c>
      <c r="AL26">
        <v>124</v>
      </c>
      <c r="AM26" t="s">
        <v>63</v>
      </c>
      <c r="AN26" t="s">
        <v>63</v>
      </c>
      <c r="AO26" t="s">
        <v>63</v>
      </c>
      <c r="AP26" t="s">
        <v>63</v>
      </c>
      <c r="AQ26" t="s">
        <v>63</v>
      </c>
      <c r="AR26">
        <v>5</v>
      </c>
      <c r="AS26">
        <f>IFERROR(INDEX(水保局全省災害資料!$X$2:$X$2000, MATCH(1, INDEX((水保局全省災害資料!$T$2:$T$2000=W26)*(水保局全省災害資料!$U$2:$U$2000=X26), 0, 1), 0)), "")</f>
        <v>0</v>
      </c>
      <c r="AT26">
        <f>IFERROR(INDEX(水保局全省災害資料!$T$2:$T$2000, MATCH(1, INDEX((水保局全省災害資料!$T$2:$T$2000=W26)*(水保局全省災害資料!$U$2:$U$2000=X26), 0, 1), 0)), "")</f>
        <v>54</v>
      </c>
      <c r="AU26">
        <f>IFERROR(INDEX(水保局全省災害資料!$U$2:$U$2000, MATCH(1, INDEX((水保局全省災害資料!$T$2:$T$2000=W26)*(水保局全省災害資料!$U$2:$U$2000=X26), 0, 1), 0)), "")</f>
        <v>614</v>
      </c>
      <c r="AV26" t="str">
        <f>IFERROR(INDEX(水保局全省災害資料!$B$2:$B$2000, MATCH(1, INDEX((水保局全省災害資料!$T$2:$T$2000=W26)*(水保局全省災害資料!$U$2:$U$2000=X26), 0, 1), 0)), "")</f>
        <v>崩塌、土石流</v>
      </c>
    </row>
    <row r="27" spans="1:48">
      <c r="A27" t="s">
        <v>174</v>
      </c>
      <c r="B27" t="s">
        <v>175</v>
      </c>
      <c r="C27" t="s">
        <v>176</v>
      </c>
      <c r="D27" t="s">
        <v>177</v>
      </c>
      <c r="F27" t="s">
        <v>127</v>
      </c>
      <c r="G27">
        <v>113</v>
      </c>
      <c r="H27" t="s">
        <v>59</v>
      </c>
      <c r="I27" s="13">
        <v>45498.208333333336</v>
      </c>
      <c r="J27">
        <v>2</v>
      </c>
      <c r="K27">
        <v>7.1458904109589039</v>
      </c>
      <c r="L27">
        <v>0</v>
      </c>
      <c r="M27">
        <f>IF(SUMIFS(水保局全省災害資料!$X:$X, 水保局全省災害資料!$E:$E, A27, 水保局全省災害資料!$F:$F, B27, 水保局全省災害資料!$N:$N, H27)=0, "", SUMIFS(水保局全省災害資料!$X:$X, 水保局全省災害資料!$E:$E, A27, 水保局全省災害資料!$F:$F, B27, 水保局全省災害資料!$N:$N, H27))</f>
        <v>1.5</v>
      </c>
      <c r="N27">
        <v>0</v>
      </c>
      <c r="O27">
        <v>4.5192529398201522</v>
      </c>
      <c r="P27" t="s">
        <v>51</v>
      </c>
      <c r="Q27">
        <v>2</v>
      </c>
      <c r="R27">
        <v>7.1458904109589039</v>
      </c>
      <c r="S27">
        <v>400</v>
      </c>
      <c r="T27" t="s">
        <v>181</v>
      </c>
      <c r="U27" t="s">
        <v>182</v>
      </c>
      <c r="V27">
        <v>1103.5</v>
      </c>
      <c r="W27">
        <v>33.5</v>
      </c>
      <c r="X27">
        <v>371.5</v>
      </c>
      <c r="Y27">
        <v>139.5</v>
      </c>
      <c r="Z27">
        <v>266</v>
      </c>
      <c r="AA27">
        <v>312</v>
      </c>
      <c r="AB27">
        <v>342.5</v>
      </c>
      <c r="AC27" t="s">
        <v>63</v>
      </c>
      <c r="AD27" t="s">
        <v>54</v>
      </c>
      <c r="AE27" t="s">
        <v>56</v>
      </c>
      <c r="AF27" t="s">
        <v>55</v>
      </c>
      <c r="AG27" t="s">
        <v>63</v>
      </c>
      <c r="AH27">
        <v>65</v>
      </c>
      <c r="AI27">
        <v>156.5</v>
      </c>
      <c r="AJ27">
        <v>268.5</v>
      </c>
      <c r="AK27">
        <v>493</v>
      </c>
      <c r="AL27">
        <v>852</v>
      </c>
      <c r="AM27" t="s">
        <v>63</v>
      </c>
      <c r="AN27" t="s">
        <v>55</v>
      </c>
      <c r="AO27" t="s">
        <v>56</v>
      </c>
      <c r="AP27" t="s">
        <v>87</v>
      </c>
      <c r="AQ27" t="s">
        <v>64</v>
      </c>
      <c r="AR27">
        <v>18</v>
      </c>
      <c r="AS27">
        <f>IFERROR(INDEX(水保局全省災害資料!$X$2:$X$2000, MATCH(1, INDEX((水保局全省災害資料!$T$2:$T$2000=W27)*(水保局全省災害資料!$U$2:$U$2000=X27), 0, 1), 0)), "")</f>
        <v>1.5</v>
      </c>
      <c r="AT27">
        <f>IFERROR(INDEX(水保局全省災害資料!$T$2:$T$2000, MATCH(1, INDEX((水保局全省災害資料!$T$2:$T$2000=W27)*(水保局全省災害資料!$U$2:$U$2000=X27), 0, 1), 0)), "")</f>
        <v>33.5</v>
      </c>
      <c r="AU27">
        <f>IFERROR(INDEX(水保局全省災害資料!$U$2:$U$2000, MATCH(1, INDEX((水保局全省災害資料!$T$2:$T$2000=W27)*(水保局全省災害資料!$U$2:$U$2000=X27), 0, 1), 0)), "")</f>
        <v>371.5</v>
      </c>
      <c r="AV27" t="str">
        <f>IFERROR(INDEX(水保局全省災害資料!$B$2:$B$2000, MATCH(1, INDEX((水保局全省災害資料!$T$2:$T$2000=W27)*(水保局全省災害資料!$U$2:$U$2000=X27), 0, 1), 0)), "")</f>
        <v xml:space="preserve">土石流 </v>
      </c>
    </row>
    <row r="28" spans="1:48">
      <c r="A28" t="s">
        <v>183</v>
      </c>
      <c r="B28" t="s">
        <v>184</v>
      </c>
      <c r="C28" t="s">
        <v>185</v>
      </c>
      <c r="D28" t="s">
        <v>186</v>
      </c>
      <c r="E28" t="s">
        <v>187</v>
      </c>
      <c r="F28" t="s">
        <v>127</v>
      </c>
      <c r="G28">
        <v>108</v>
      </c>
      <c r="H28" t="s">
        <v>188</v>
      </c>
      <c r="I28" s="13">
        <v>43690.333333333336</v>
      </c>
      <c r="J28">
        <v>1</v>
      </c>
      <c r="L28">
        <v>0</v>
      </c>
      <c r="M28" t="str">
        <f>IF(SUMIFS(水保局全省災害資料!$X:$X, 水保局全省災害資料!$E:$E, A28, 水保局全省災害資料!$F:$F, B28, 水保局全省災害資料!$N:$N, H28)=0, "", SUMIFS(水保局全省災害資料!$X:$X, 水保局全省災害資料!$E:$E, A28, 水保局全省災害資料!$F:$F, B28, 水保局全省災害資料!$N:$N, H28))</f>
        <v/>
      </c>
      <c r="N28">
        <v>0</v>
      </c>
      <c r="O28">
        <v>7.463414634146341</v>
      </c>
      <c r="P28" t="s">
        <v>51</v>
      </c>
      <c r="Q28">
        <v>1</v>
      </c>
      <c r="S28">
        <v>350</v>
      </c>
      <c r="T28" t="s">
        <v>189</v>
      </c>
      <c r="U28" t="s">
        <v>190</v>
      </c>
      <c r="V28">
        <v>55</v>
      </c>
      <c r="W28">
        <v>6.5</v>
      </c>
      <c r="X28">
        <v>98</v>
      </c>
      <c r="Y28">
        <v>34.5</v>
      </c>
      <c r="Z28">
        <v>37.5</v>
      </c>
      <c r="AA28">
        <v>37.5</v>
      </c>
      <c r="AB28">
        <v>58</v>
      </c>
      <c r="AC28" t="s">
        <v>63</v>
      </c>
      <c r="AD28" t="s">
        <v>63</v>
      </c>
      <c r="AE28" t="s">
        <v>63</v>
      </c>
      <c r="AF28" t="s">
        <v>63</v>
      </c>
      <c r="AG28" t="s">
        <v>63</v>
      </c>
      <c r="AH28">
        <v>16.5</v>
      </c>
      <c r="AI28">
        <v>34.5</v>
      </c>
      <c r="AJ28">
        <v>55</v>
      </c>
      <c r="AK28">
        <v>55</v>
      </c>
      <c r="AL28">
        <v>55</v>
      </c>
      <c r="AM28" t="s">
        <v>63</v>
      </c>
      <c r="AN28" t="s">
        <v>63</v>
      </c>
      <c r="AO28" t="s">
        <v>63</v>
      </c>
      <c r="AP28" t="s">
        <v>63</v>
      </c>
      <c r="AQ28" t="s">
        <v>63</v>
      </c>
      <c r="AR28">
        <v>3</v>
      </c>
      <c r="AS28" t="str">
        <f>IFERROR(INDEX(水保局全省災害資料!$X$2:$X$2000, MATCH(1, INDEX((水保局全省災害資料!$T$2:$T$2000=W28)*(水保局全省災害資料!$U$2:$U$2000=X28), 0, 1), 0)), "")</f>
        <v/>
      </c>
      <c r="AT28" t="str">
        <f>IFERROR(INDEX(水保局全省災害資料!$T$2:$T$2000, MATCH(1, INDEX((水保局全省災害資料!$T$2:$T$2000=W28)*(水保局全省災害資料!$U$2:$U$2000=X28), 0, 1), 0)), "")</f>
        <v/>
      </c>
      <c r="AU28" t="str">
        <f>IFERROR(INDEX(水保局全省災害資料!$U$2:$U$2000, MATCH(1, INDEX((水保局全省災害資料!$T$2:$T$2000=W28)*(水保局全省災害資料!$U$2:$U$2000=X28), 0, 1), 0)), "")</f>
        <v/>
      </c>
      <c r="AV28" t="str">
        <f>IFERROR(INDEX(水保局全省災害資料!$B$2:$B$2000, MATCH(1, INDEX((水保局全省災害資料!$T$2:$T$2000=W28)*(水保局全省災害資料!$U$2:$U$2000=X28), 0, 1), 0)), "")</f>
        <v/>
      </c>
    </row>
    <row r="29" spans="1:48">
      <c r="A29" t="s">
        <v>183</v>
      </c>
      <c r="B29" t="s">
        <v>184</v>
      </c>
      <c r="C29" t="s">
        <v>185</v>
      </c>
      <c r="D29" t="s">
        <v>186</v>
      </c>
      <c r="E29" t="s">
        <v>187</v>
      </c>
      <c r="F29" t="s">
        <v>127</v>
      </c>
      <c r="G29">
        <v>108</v>
      </c>
      <c r="H29" t="s">
        <v>191</v>
      </c>
      <c r="I29" s="13">
        <v>43693.25</v>
      </c>
      <c r="J29">
        <v>2</v>
      </c>
      <c r="K29">
        <v>7.9908675799020314E-3</v>
      </c>
      <c r="L29">
        <v>0</v>
      </c>
      <c r="M29" t="str">
        <f>IF(SUMIFS(水保局全省災害資料!$X:$X, 水保局全省災害資料!$E:$E, A29, 水保局全省災害資料!$F:$F, B29, 水保局全省災害資料!$N:$N, H29)=0, "", SUMIFS(水保局全省災害資料!$X:$X, 水保局全省災害資料!$E:$E, A29, 水保局全省災害資料!$F:$F, B29, 水保局全省災害資料!$N:$N, H29))</f>
        <v/>
      </c>
      <c r="N29">
        <v>0</v>
      </c>
      <c r="O29">
        <v>7.463414634146341</v>
      </c>
      <c r="P29" t="s">
        <v>51</v>
      </c>
      <c r="Q29">
        <v>2</v>
      </c>
      <c r="R29">
        <v>7.9908675799020314E-3</v>
      </c>
      <c r="S29">
        <v>350</v>
      </c>
      <c r="T29" t="s">
        <v>189</v>
      </c>
      <c r="U29" t="s">
        <v>190</v>
      </c>
      <c r="V29">
        <v>106.5</v>
      </c>
      <c r="W29">
        <v>20.5</v>
      </c>
      <c r="X29">
        <v>174</v>
      </c>
      <c r="Y29">
        <v>38</v>
      </c>
      <c r="Z29">
        <v>51</v>
      </c>
      <c r="AA29">
        <v>71.5</v>
      </c>
      <c r="AB29">
        <v>120.5</v>
      </c>
      <c r="AC29" t="s">
        <v>63</v>
      </c>
      <c r="AD29" t="s">
        <v>63</v>
      </c>
      <c r="AE29" t="s">
        <v>63</v>
      </c>
      <c r="AF29" t="s">
        <v>63</v>
      </c>
      <c r="AG29" t="s">
        <v>63</v>
      </c>
      <c r="AH29">
        <v>20.5</v>
      </c>
      <c r="AI29">
        <v>38</v>
      </c>
      <c r="AJ29">
        <v>58.5</v>
      </c>
      <c r="AK29">
        <v>77</v>
      </c>
      <c r="AL29">
        <v>106.5</v>
      </c>
      <c r="AM29" t="s">
        <v>63</v>
      </c>
      <c r="AN29" t="s">
        <v>63</v>
      </c>
      <c r="AO29" t="s">
        <v>63</v>
      </c>
      <c r="AP29" t="s">
        <v>63</v>
      </c>
      <c r="AQ29" t="s">
        <v>63</v>
      </c>
      <c r="AR29">
        <v>10</v>
      </c>
      <c r="AS29" t="str">
        <f>IFERROR(INDEX(水保局全省災害資料!$X$2:$X$2000, MATCH(1, INDEX((水保局全省災害資料!$T$2:$T$2000=W29)*(水保局全省災害資料!$U$2:$U$2000=X29), 0, 1), 0)), "")</f>
        <v/>
      </c>
      <c r="AT29" t="str">
        <f>IFERROR(INDEX(水保局全省災害資料!$T$2:$T$2000, MATCH(1, INDEX((水保局全省災害資料!$T$2:$T$2000=W29)*(水保局全省災害資料!$U$2:$U$2000=X29), 0, 1), 0)), "")</f>
        <v/>
      </c>
      <c r="AU29" t="str">
        <f>IFERROR(INDEX(水保局全省災害資料!$U$2:$U$2000, MATCH(1, INDEX((水保局全省災害資料!$T$2:$T$2000=W29)*(水保局全省災害資料!$U$2:$U$2000=X29), 0, 1), 0)), "")</f>
        <v/>
      </c>
      <c r="AV29" t="str">
        <f>IFERROR(INDEX(水保局全省災害資料!$B$2:$B$2000, MATCH(1, INDEX((水保局全省災害資料!$T$2:$T$2000=W29)*(水保局全省災害資料!$U$2:$U$2000=X29), 0, 1), 0)), "")</f>
        <v/>
      </c>
    </row>
    <row r="30" spans="1:48">
      <c r="A30" t="s">
        <v>183</v>
      </c>
      <c r="B30" t="s">
        <v>184</v>
      </c>
      <c r="C30" t="s">
        <v>185</v>
      </c>
      <c r="D30" t="s">
        <v>186</v>
      </c>
      <c r="E30" t="s">
        <v>187</v>
      </c>
      <c r="F30" t="s">
        <v>127</v>
      </c>
      <c r="G30">
        <v>112</v>
      </c>
      <c r="H30" t="s">
        <v>192</v>
      </c>
      <c r="I30" s="13">
        <v>45179.833333333336</v>
      </c>
      <c r="J30">
        <v>3</v>
      </c>
      <c r="K30">
        <v>4.0728310502283174</v>
      </c>
      <c r="L30">
        <v>0.38600000000000001</v>
      </c>
      <c r="M30" t="str">
        <f>IF(SUMIFS(水保局全省災害資料!$X:$X, 水保局全省災害資料!$E:$E, A30, 水保局全省災害資料!$F:$F, B30, 水保局全省災害資料!$N:$N, H30)=0, "", SUMIFS(水保局全省災害資料!$X:$X, 水保局全省災害資料!$E:$E, A30, 水保局全省災害資料!$F:$F, B30, 水保局全省災害資料!$N:$N, H30))</f>
        <v/>
      </c>
      <c r="N30">
        <v>1.8829268292682926</v>
      </c>
      <c r="O30">
        <v>20</v>
      </c>
      <c r="P30" t="s">
        <v>51</v>
      </c>
      <c r="Q30">
        <v>3</v>
      </c>
      <c r="R30">
        <v>4.0728310502283174</v>
      </c>
      <c r="S30">
        <v>300</v>
      </c>
      <c r="T30" t="s">
        <v>189</v>
      </c>
      <c r="U30" t="s">
        <v>190</v>
      </c>
      <c r="V30">
        <v>391</v>
      </c>
      <c r="W30">
        <v>25</v>
      </c>
      <c r="X30">
        <v>391</v>
      </c>
      <c r="Y30">
        <v>173.5</v>
      </c>
      <c r="Z30">
        <v>241.5</v>
      </c>
      <c r="AA30">
        <v>255</v>
      </c>
      <c r="AB30">
        <v>255</v>
      </c>
      <c r="AC30" t="s">
        <v>63</v>
      </c>
      <c r="AD30" t="s">
        <v>56</v>
      </c>
      <c r="AE30" t="s">
        <v>56</v>
      </c>
      <c r="AF30" t="s">
        <v>54</v>
      </c>
      <c r="AG30" t="s">
        <v>63</v>
      </c>
      <c r="AH30">
        <v>123</v>
      </c>
      <c r="AI30">
        <v>181</v>
      </c>
      <c r="AJ30">
        <v>230</v>
      </c>
      <c r="AK30">
        <v>230</v>
      </c>
      <c r="AL30">
        <v>230</v>
      </c>
      <c r="AM30" t="s">
        <v>87</v>
      </c>
      <c r="AN30" t="s">
        <v>56</v>
      </c>
      <c r="AO30" t="s">
        <v>55</v>
      </c>
      <c r="AP30" t="s">
        <v>63</v>
      </c>
      <c r="AQ30" t="s">
        <v>63</v>
      </c>
      <c r="AR30">
        <v>6</v>
      </c>
      <c r="AS30">
        <f>IFERROR(INDEX(水保局全省災害資料!$X$2:$X$2000, MATCH(1, INDEX((水保局全省災害資料!$T$2:$T$2000=W30)*(水保局全省災害資料!$U$2:$U$2000=X30), 0, 1), 0)), "")</f>
        <v>1.08</v>
      </c>
      <c r="AT30">
        <f>IFERROR(INDEX(水保局全省災害資料!$T$2:$T$2000, MATCH(1, INDEX((水保局全省災害資料!$T$2:$T$2000=W30)*(水保局全省災害資料!$U$2:$U$2000=X30), 0, 1), 0)), "")</f>
        <v>25</v>
      </c>
      <c r="AU30">
        <f>IFERROR(INDEX(水保局全省災害資料!$U$2:$U$2000, MATCH(1, INDEX((水保局全省災害資料!$T$2:$T$2000=W30)*(水保局全省災害資料!$U$2:$U$2000=X30), 0, 1), 0)), "")</f>
        <v>391</v>
      </c>
      <c r="AV30" t="str">
        <f>IFERROR(INDEX(水保局全省災害資料!$B$2:$B$2000, MATCH(1, INDEX((水保局全省災害資料!$T$2:$T$2000=W30)*(水保局全省災害資料!$U$2:$U$2000=X30), 0, 1), 0)), "")</f>
        <v>崩塌(山崩)、土石流</v>
      </c>
    </row>
    <row r="31" spans="1:48">
      <c r="A31" t="s">
        <v>183</v>
      </c>
      <c r="B31" t="s">
        <v>184</v>
      </c>
      <c r="C31" t="s">
        <v>185</v>
      </c>
      <c r="D31" t="s">
        <v>186</v>
      </c>
      <c r="E31" t="s">
        <v>187</v>
      </c>
      <c r="F31" t="s">
        <v>127</v>
      </c>
      <c r="G31">
        <v>113</v>
      </c>
      <c r="H31" t="s">
        <v>165</v>
      </c>
      <c r="I31" s="13">
        <v>45450.708333333336</v>
      </c>
      <c r="J31">
        <v>4</v>
      </c>
      <c r="K31">
        <v>0.74212328767123292</v>
      </c>
      <c r="L31">
        <v>4.0999999999999996</v>
      </c>
      <c r="M31" t="str">
        <f>IF(SUMIFS(水保局全省災害資料!$X:$X, 水保局全省災害資料!$E:$E, A31, 水保局全省災害資料!$F:$F, B31, 水保局全省災害資料!$N:$N, H31)=0, "", SUMIFS(水保局全省災害資料!$X:$X, 水保局全省災害資料!$E:$E, A31, 水保局全省災害資料!$F:$F, B31, 水保局全省災害資料!$N:$N, H31))</f>
        <v/>
      </c>
      <c r="N31">
        <v>20</v>
      </c>
      <c r="O31">
        <v>24.390243902439025</v>
      </c>
      <c r="P31" t="s">
        <v>51</v>
      </c>
      <c r="Q31">
        <v>4</v>
      </c>
      <c r="R31">
        <v>0.74212328767123292</v>
      </c>
      <c r="S31">
        <v>300</v>
      </c>
      <c r="T31" t="s">
        <v>189</v>
      </c>
      <c r="U31" t="s">
        <v>190</v>
      </c>
      <c r="V31">
        <v>15.5</v>
      </c>
      <c r="W31">
        <v>3.5</v>
      </c>
      <c r="X31">
        <v>15</v>
      </c>
      <c r="Y31">
        <v>10</v>
      </c>
      <c r="Z31">
        <v>10</v>
      </c>
      <c r="AA31">
        <v>10</v>
      </c>
      <c r="AB31">
        <v>11.5</v>
      </c>
      <c r="AC31" t="s">
        <v>63</v>
      </c>
      <c r="AD31" t="s">
        <v>63</v>
      </c>
      <c r="AE31" t="s">
        <v>63</v>
      </c>
      <c r="AF31" t="s">
        <v>63</v>
      </c>
      <c r="AG31" t="s">
        <v>63</v>
      </c>
      <c r="AH31">
        <v>15.5</v>
      </c>
      <c r="AI31">
        <v>15.5</v>
      </c>
      <c r="AJ31">
        <v>15.5</v>
      </c>
      <c r="AK31">
        <v>15.5</v>
      </c>
      <c r="AL31">
        <v>15.5</v>
      </c>
      <c r="AM31" t="s">
        <v>63</v>
      </c>
      <c r="AN31" t="s">
        <v>63</v>
      </c>
      <c r="AO31" t="s">
        <v>63</v>
      </c>
      <c r="AP31" t="s">
        <v>63</v>
      </c>
      <c r="AQ31" t="s">
        <v>63</v>
      </c>
      <c r="AR31">
        <v>1</v>
      </c>
      <c r="AS31">
        <f>IFERROR(INDEX(水保局全省災害資料!$X$2:$X$2000, MATCH(1, INDEX((水保局全省災害資料!$T$2:$T$2000=W31)*(水保局全省災害資料!$U$2:$U$2000=X31), 0, 1), 0)), "")</f>
        <v>0</v>
      </c>
      <c r="AT31">
        <f>IFERROR(INDEX(水保局全省災害資料!$T$2:$T$2000, MATCH(1, INDEX((水保局全省災害資料!$T$2:$T$2000=W31)*(水保局全省災害資料!$U$2:$U$2000=X31), 0, 1), 0)), "")</f>
        <v>3.5</v>
      </c>
      <c r="AU31">
        <f>IFERROR(INDEX(水保局全省災害資料!$U$2:$U$2000, MATCH(1, INDEX((水保局全省災害資料!$T$2:$T$2000=W31)*(水保局全省災害資料!$U$2:$U$2000=X31), 0, 1), 0)), "")</f>
        <v>15</v>
      </c>
      <c r="AV31" t="str">
        <f>IFERROR(INDEX(水保局全省災害資料!$B$2:$B$2000, MATCH(1, INDEX((水保局全省災害資料!$T$2:$T$2000=W31)*(水保局全省災害資料!$U$2:$U$2000=X31), 0, 1), 0)), "")</f>
        <v>土石流</v>
      </c>
    </row>
    <row r="32" spans="1:48">
      <c r="A32" t="s">
        <v>183</v>
      </c>
      <c r="B32" t="s">
        <v>193</v>
      </c>
      <c r="C32" t="s">
        <v>203</v>
      </c>
      <c r="D32" t="s">
        <v>204</v>
      </c>
      <c r="E32" t="s">
        <v>205</v>
      </c>
      <c r="F32" t="s">
        <v>48</v>
      </c>
      <c r="G32">
        <v>98</v>
      </c>
      <c r="H32" t="s">
        <v>153</v>
      </c>
      <c r="I32" s="13">
        <v>40034.125</v>
      </c>
      <c r="J32">
        <v>1</v>
      </c>
      <c r="L32">
        <v>9.44</v>
      </c>
      <c r="M32" t="str">
        <f>IF(SUMIFS(水保局全省災害資料!$X:$X, 水保局全省災害資料!$E:$E, A32, 水保局全省災害資料!$F:$F, B32, 水保局全省災害資料!$N:$N, H32)=0, "", SUMIFS(水保局全省災害資料!$X:$X, 水保局全省災害資料!$E:$E, A32, 水保局全省災害資料!$F:$F, B32, 水保局全省災害資料!$N:$N, H32))</f>
        <v/>
      </c>
      <c r="N32">
        <v>8.8018648018648022</v>
      </c>
      <c r="O32">
        <v>51.475221445221443</v>
      </c>
      <c r="P32" t="s">
        <v>51</v>
      </c>
      <c r="Q32">
        <v>1</v>
      </c>
      <c r="S32">
        <v>300</v>
      </c>
      <c r="T32" t="s">
        <v>206</v>
      </c>
      <c r="U32" t="s">
        <v>207</v>
      </c>
      <c r="V32">
        <v>1882</v>
      </c>
      <c r="W32">
        <v>52</v>
      </c>
      <c r="X32">
        <v>1283.7</v>
      </c>
      <c r="Y32">
        <v>286.5</v>
      </c>
      <c r="Z32">
        <v>415.5</v>
      </c>
      <c r="AA32">
        <v>654.5</v>
      </c>
      <c r="AB32">
        <v>846</v>
      </c>
      <c r="AC32" t="s">
        <v>63</v>
      </c>
      <c r="AD32" t="s">
        <v>64</v>
      </c>
      <c r="AE32" t="s">
        <v>64</v>
      </c>
      <c r="AF32" t="s">
        <v>64</v>
      </c>
      <c r="AG32" t="s">
        <v>64</v>
      </c>
      <c r="AH32">
        <v>121.5</v>
      </c>
      <c r="AI32">
        <v>286.5</v>
      </c>
      <c r="AJ32">
        <v>415.5</v>
      </c>
      <c r="AK32">
        <v>654.5</v>
      </c>
      <c r="AL32">
        <v>1065.5</v>
      </c>
      <c r="AM32" t="s">
        <v>58</v>
      </c>
      <c r="AN32" t="s">
        <v>64</v>
      </c>
      <c r="AO32" t="s">
        <v>64</v>
      </c>
      <c r="AP32" t="s">
        <v>64</v>
      </c>
      <c r="AQ32" t="s">
        <v>64</v>
      </c>
      <c r="AR32">
        <v>59</v>
      </c>
      <c r="AS32">
        <f>IFERROR(INDEX(水保局全省災害資料!$X$2:$X$2000, MATCH(1, INDEX((水保局全省災害資料!$T$2:$T$2000=W32)*(水保局全省災害資料!$U$2:$U$2000=X32), 0, 1), 0)), "")</f>
        <v>0</v>
      </c>
      <c r="AT32">
        <f>IFERROR(INDEX(水保局全省災害資料!$T$2:$T$2000, MATCH(1, INDEX((水保局全省災害資料!$T$2:$T$2000=W32)*(水保局全省災害資料!$U$2:$U$2000=X32), 0, 1), 0)), "")</f>
        <v>52</v>
      </c>
      <c r="AU32">
        <f>IFERROR(INDEX(水保局全省災害資料!$U$2:$U$2000, MATCH(1, INDEX((水保局全省災害資料!$T$2:$T$2000=W32)*(水保局全省災害資料!$U$2:$U$2000=X32), 0, 1), 0)), "")</f>
        <v>1283.7</v>
      </c>
      <c r="AV32" t="str">
        <f>IFERROR(INDEX(水保局全省災害資料!$B$2:$B$2000, MATCH(1, INDEX((水保局全省災害資料!$T$2:$T$2000=W32)*(水保局全省災害資料!$U$2:$U$2000=X32), 0, 1), 0)), "")</f>
        <v>土石流</v>
      </c>
    </row>
    <row r="33" spans="1:48">
      <c r="A33" t="s">
        <v>183</v>
      </c>
      <c r="B33" t="s">
        <v>193</v>
      </c>
      <c r="C33" t="s">
        <v>203</v>
      </c>
      <c r="D33" t="s">
        <v>204</v>
      </c>
      <c r="E33" t="s">
        <v>205</v>
      </c>
      <c r="F33" t="s">
        <v>48</v>
      </c>
      <c r="G33">
        <v>101</v>
      </c>
      <c r="H33" t="s">
        <v>159</v>
      </c>
      <c r="I33" s="13">
        <v>41072.458333333336</v>
      </c>
      <c r="J33">
        <v>2</v>
      </c>
      <c r="K33">
        <v>2.8447488584474954</v>
      </c>
      <c r="L33">
        <v>33.72</v>
      </c>
      <c r="M33" t="str">
        <f>IF(SUMIFS(水保局全省災害資料!$X:$X, 水保局全省災害資料!$E:$E, A33, 水保局全省災害資料!$F:$F, B33, 水保局全省災害資料!$N:$N, H33)=0, "", SUMIFS(水保局全省災害資料!$X:$X, 水保局全省災害資料!$E:$E, A33, 水保局全省災害資料!$F:$F, B33, 水保局全省災害資料!$N:$N, H33))</f>
        <v/>
      </c>
      <c r="N33">
        <v>31.44055944055944</v>
      </c>
      <c r="O33">
        <v>34.592074592074596</v>
      </c>
      <c r="P33" t="s">
        <v>51</v>
      </c>
      <c r="Q33">
        <v>2</v>
      </c>
      <c r="R33">
        <v>2.8447488584474954</v>
      </c>
      <c r="S33">
        <v>250</v>
      </c>
      <c r="T33" t="s">
        <v>206</v>
      </c>
      <c r="U33" t="s">
        <v>207</v>
      </c>
      <c r="V33">
        <v>769.5</v>
      </c>
      <c r="W33">
        <v>32.5</v>
      </c>
      <c r="X33">
        <v>607</v>
      </c>
      <c r="Y33">
        <v>52</v>
      </c>
      <c r="Z33">
        <v>71.5</v>
      </c>
      <c r="AA33">
        <v>109.5</v>
      </c>
      <c r="AB33">
        <v>267</v>
      </c>
      <c r="AC33" t="s">
        <v>63</v>
      </c>
      <c r="AD33" t="s">
        <v>63</v>
      </c>
      <c r="AE33" t="s">
        <v>63</v>
      </c>
      <c r="AF33" t="s">
        <v>63</v>
      </c>
      <c r="AG33" t="s">
        <v>63</v>
      </c>
      <c r="AH33">
        <v>39.5</v>
      </c>
      <c r="AI33">
        <v>79</v>
      </c>
      <c r="AJ33">
        <v>136</v>
      </c>
      <c r="AK33">
        <v>205.5</v>
      </c>
      <c r="AL33">
        <v>325</v>
      </c>
      <c r="AM33" t="s">
        <v>63</v>
      </c>
      <c r="AN33" t="s">
        <v>63</v>
      </c>
      <c r="AO33" t="s">
        <v>63</v>
      </c>
      <c r="AP33" t="s">
        <v>63</v>
      </c>
      <c r="AQ33" t="s">
        <v>63</v>
      </c>
      <c r="AR33">
        <v>56</v>
      </c>
      <c r="AS33">
        <f>IFERROR(INDEX(水保局全省災害資料!$X$2:$X$2000, MATCH(1, INDEX((水保局全省災害資料!$T$2:$T$2000=W33)*(水保局全省災害資料!$U$2:$U$2000=X33), 0, 1), 0)), "")</f>
        <v>0</v>
      </c>
      <c r="AT33">
        <f>IFERROR(INDEX(水保局全省災害資料!$T$2:$T$2000, MATCH(1, INDEX((水保局全省災害資料!$T$2:$T$2000=W33)*(水保局全省災害資料!$U$2:$U$2000=X33), 0, 1), 0)), "")</f>
        <v>32.5</v>
      </c>
      <c r="AU33">
        <f>IFERROR(INDEX(水保局全省災害資料!$U$2:$U$2000, MATCH(1, INDEX((水保局全省災害資料!$T$2:$T$2000=W33)*(水保局全省災害資料!$U$2:$U$2000=X33), 0, 1), 0)), "")</f>
        <v>607</v>
      </c>
      <c r="AV33" t="str">
        <f>IFERROR(INDEX(水保局全省災害資料!$B$2:$B$2000, MATCH(1, INDEX((水保局全省災害資料!$T$2:$T$2000=W33)*(水保局全省災害資料!$U$2:$U$2000=X33), 0, 1), 0)), "")</f>
        <v>土石流、洪水</v>
      </c>
    </row>
    <row r="34" spans="1:48">
      <c r="A34" t="s">
        <v>183</v>
      </c>
      <c r="B34" t="s">
        <v>208</v>
      </c>
      <c r="C34" t="s">
        <v>209</v>
      </c>
      <c r="D34" t="s">
        <v>210</v>
      </c>
      <c r="F34" t="s">
        <v>48</v>
      </c>
      <c r="G34">
        <v>98</v>
      </c>
      <c r="H34" t="s">
        <v>153</v>
      </c>
      <c r="I34" s="13">
        <v>40033.833333333336</v>
      </c>
      <c r="J34">
        <v>2</v>
      </c>
      <c r="K34">
        <v>7.9036529680365364</v>
      </c>
      <c r="L34">
        <v>2.0699999999999998</v>
      </c>
      <c r="M34" t="str">
        <f>IF(SUMIFS(水保局全省災害資料!$X:$X, 水保局全省災害資料!$E:$E, A34, 水保局全省災害資料!$F:$F, B34, 水保局全省災害資料!$N:$N, H34)=0, "", SUMIFS(水保局全省災害資料!$X:$X, 水保局全省災害資料!$E:$E, A34, 水保局全省災害資料!$F:$F, B34, 水保局全省災害資料!$N:$N, H34))</f>
        <v/>
      </c>
      <c r="N34">
        <v>0.18077339574527543</v>
      </c>
      <c r="O34">
        <v>7.3531980298319768</v>
      </c>
      <c r="P34" t="s">
        <v>51</v>
      </c>
      <c r="Q34">
        <v>1</v>
      </c>
      <c r="S34">
        <v>400</v>
      </c>
      <c r="T34" t="s">
        <v>211</v>
      </c>
      <c r="U34" t="s">
        <v>212</v>
      </c>
      <c r="V34">
        <v>1889.5</v>
      </c>
      <c r="W34">
        <v>44</v>
      </c>
      <c r="X34">
        <v>855.9</v>
      </c>
      <c r="Y34">
        <v>115</v>
      </c>
      <c r="Z34">
        <v>250</v>
      </c>
      <c r="AA34">
        <v>377</v>
      </c>
      <c r="AB34">
        <v>501.5</v>
      </c>
      <c r="AC34" t="s">
        <v>63</v>
      </c>
      <c r="AD34" t="s">
        <v>63</v>
      </c>
      <c r="AE34" t="s">
        <v>55</v>
      </c>
      <c r="AF34" t="s">
        <v>56</v>
      </c>
      <c r="AG34" t="s">
        <v>56</v>
      </c>
      <c r="AH34">
        <v>105</v>
      </c>
      <c r="AI34">
        <v>257</v>
      </c>
      <c r="AJ34">
        <v>404</v>
      </c>
      <c r="AK34">
        <v>644.5</v>
      </c>
      <c r="AL34">
        <v>1084.5</v>
      </c>
      <c r="AM34" t="s">
        <v>57</v>
      </c>
      <c r="AN34" t="s">
        <v>87</v>
      </c>
      <c r="AO34" t="s">
        <v>64</v>
      </c>
      <c r="AP34" t="s">
        <v>64</v>
      </c>
      <c r="AQ34" t="s">
        <v>64</v>
      </c>
      <c r="AR34">
        <v>62</v>
      </c>
      <c r="AS34">
        <f>IFERROR(INDEX(水保局全省災害資料!$X$2:$X$2000, MATCH(1, INDEX((水保局全省災害資料!$T$2:$T$2000=W34)*(水保局全省災害資料!$U$2:$U$2000=X34), 0, 1), 0)), "")</f>
        <v>0</v>
      </c>
      <c r="AT34">
        <f>IFERROR(INDEX(水保局全省災害資料!$T$2:$T$2000, MATCH(1, INDEX((水保局全省災害資料!$T$2:$T$2000=W34)*(水保局全省災害資料!$U$2:$U$2000=X34), 0, 1), 0)), "")</f>
        <v>44</v>
      </c>
      <c r="AU34">
        <f>IFERROR(INDEX(水保局全省災害資料!$U$2:$U$2000, MATCH(1, INDEX((水保局全省災害資料!$T$2:$T$2000=W34)*(水保局全省災害資料!$U$2:$U$2000=X34), 0, 1), 0)), "")</f>
        <v>855.9</v>
      </c>
      <c r="AV34" t="str">
        <f>IFERROR(INDEX(水保局全省災害資料!$B$2:$B$2000, MATCH(1, INDEX((水保局全省災害資料!$T$2:$T$2000=W34)*(水保局全省災害資料!$U$2:$U$2000=X34), 0, 1), 0)), "")</f>
        <v>土石流</v>
      </c>
    </row>
    <row r="35" spans="1:48">
      <c r="A35" t="s">
        <v>213</v>
      </c>
      <c r="B35" t="s">
        <v>214</v>
      </c>
      <c r="C35" t="s">
        <v>215</v>
      </c>
      <c r="D35" t="s">
        <v>216</v>
      </c>
      <c r="E35" t="s">
        <v>217</v>
      </c>
      <c r="F35" t="s">
        <v>127</v>
      </c>
      <c r="G35">
        <v>97</v>
      </c>
      <c r="H35" t="s">
        <v>124</v>
      </c>
      <c r="I35" s="13">
        <v>39646.875</v>
      </c>
      <c r="J35">
        <v>1</v>
      </c>
      <c r="L35">
        <v>0.143898</v>
      </c>
      <c r="M35" t="str">
        <f>IF(SUMIFS(水保局全省災害資料!$X:$X, 水保局全省災害資料!$E:$E, A35, 水保局全省災害資料!$F:$F, B35, 水保局全省災害資料!$N:$N, H35)=0, "", SUMIFS(水保局全省災害資料!$X:$X, 水保局全省災害資料!$E:$E, A35, 水保局全省災害資料!$F:$F, B35, 水保局全省災害資料!$N:$N, H35))</f>
        <v/>
      </c>
      <c r="N35">
        <v>0.47902130492676437</v>
      </c>
      <c r="O35">
        <v>2.7962716378162451</v>
      </c>
      <c r="P35" t="s">
        <v>51</v>
      </c>
      <c r="Q35">
        <v>1</v>
      </c>
      <c r="S35">
        <v>500</v>
      </c>
      <c r="T35" t="s">
        <v>218</v>
      </c>
      <c r="U35" t="s">
        <v>219</v>
      </c>
      <c r="V35">
        <v>998.5</v>
      </c>
      <c r="W35">
        <v>125.5</v>
      </c>
      <c r="X35">
        <v>545.5</v>
      </c>
      <c r="Y35">
        <v>229.5</v>
      </c>
      <c r="Z35">
        <v>458.5</v>
      </c>
      <c r="AA35">
        <v>472.5</v>
      </c>
      <c r="AB35">
        <v>472.5</v>
      </c>
      <c r="AC35" t="s">
        <v>87</v>
      </c>
      <c r="AD35" t="s">
        <v>58</v>
      </c>
      <c r="AE35" t="s">
        <v>64</v>
      </c>
      <c r="AF35" t="s">
        <v>87</v>
      </c>
      <c r="AG35" t="s">
        <v>56</v>
      </c>
      <c r="AH35">
        <v>140.5</v>
      </c>
      <c r="AI35">
        <v>324</v>
      </c>
      <c r="AJ35">
        <v>573</v>
      </c>
      <c r="AK35">
        <v>764</v>
      </c>
      <c r="AL35">
        <v>911</v>
      </c>
      <c r="AM35" t="s">
        <v>64</v>
      </c>
      <c r="AN35" t="s">
        <v>64</v>
      </c>
      <c r="AO35" t="s">
        <v>64</v>
      </c>
      <c r="AP35" t="s">
        <v>64</v>
      </c>
      <c r="AQ35" t="s">
        <v>64</v>
      </c>
      <c r="AR35">
        <v>7</v>
      </c>
      <c r="AS35">
        <f>IFERROR(INDEX(水保局全省災害資料!$X$2:$X$2000, MATCH(1, INDEX((水保局全省災害資料!$T$2:$T$2000=W35)*(水保局全省災害資料!$U$2:$U$2000=X35), 0, 1), 0)), "")</f>
        <v>0</v>
      </c>
      <c r="AT35">
        <f>IFERROR(INDEX(水保局全省災害資料!$T$2:$T$2000, MATCH(1, INDEX((水保局全省災害資料!$T$2:$T$2000=W35)*(水保局全省災害資料!$U$2:$U$2000=X35), 0, 1), 0)), "")</f>
        <v>125.5</v>
      </c>
      <c r="AU35">
        <f>IFERROR(INDEX(水保局全省災害資料!$U$2:$U$2000, MATCH(1, INDEX((水保局全省災害資料!$T$2:$T$2000=W35)*(水保局全省災害資料!$U$2:$U$2000=X35), 0, 1), 0)), "")</f>
        <v>545.5</v>
      </c>
      <c r="AV35" t="str">
        <f>IFERROR(INDEX(水保局全省災害資料!$B$2:$B$2000, MATCH(1, INDEX((水保局全省災害資料!$T$2:$T$2000=W35)*(水保局全省災害資料!$U$2:$U$2000=X35), 0, 1), 0)), "")</f>
        <v>土石流</v>
      </c>
    </row>
    <row r="36" spans="1:48">
      <c r="A36" t="s">
        <v>213</v>
      </c>
      <c r="B36" t="s">
        <v>214</v>
      </c>
      <c r="C36" t="s">
        <v>215</v>
      </c>
      <c r="D36" t="s">
        <v>216</v>
      </c>
      <c r="E36" t="s">
        <v>217</v>
      </c>
      <c r="F36" t="s">
        <v>127</v>
      </c>
      <c r="G36">
        <v>98</v>
      </c>
      <c r="H36" t="s">
        <v>153</v>
      </c>
      <c r="I36" s="13">
        <v>40033.708333333336</v>
      </c>
      <c r="J36">
        <v>2</v>
      </c>
      <c r="K36">
        <v>1.0598173515981801</v>
      </c>
      <c r="L36">
        <v>0.84</v>
      </c>
      <c r="M36" t="str">
        <f>IF(SUMIFS(水保局全省災害資料!$X:$X, 水保局全省災害資料!$E:$E, A36, 水保局全省災害資料!$F:$F, B36, 水保局全省災害資料!$N:$N, H36)=0, "", SUMIFS(水保局全省災害資料!$X:$X, 水保局全省災害資料!$E:$E, A36, 水保局全省災害資料!$F:$F, B36, 水保局全省災害資料!$N:$N, H36))</f>
        <v/>
      </c>
      <c r="N36">
        <v>2.7962716378162451</v>
      </c>
      <c r="O36">
        <v>6.7222669773635157</v>
      </c>
      <c r="P36" t="s">
        <v>51</v>
      </c>
      <c r="Q36">
        <v>2</v>
      </c>
      <c r="R36">
        <v>1.0598173515981801</v>
      </c>
      <c r="S36">
        <v>450</v>
      </c>
      <c r="T36" t="s">
        <v>218</v>
      </c>
      <c r="U36" t="s">
        <v>219</v>
      </c>
      <c r="V36">
        <v>1241.5</v>
      </c>
      <c r="W36">
        <v>88</v>
      </c>
      <c r="X36">
        <v>653.6</v>
      </c>
      <c r="Y36">
        <v>187.5</v>
      </c>
      <c r="Z36">
        <v>260</v>
      </c>
      <c r="AA36">
        <v>363.5</v>
      </c>
      <c r="AB36">
        <v>523.5</v>
      </c>
      <c r="AC36" t="s">
        <v>56</v>
      </c>
      <c r="AD36" t="s">
        <v>56</v>
      </c>
      <c r="AE36" t="s">
        <v>56</v>
      </c>
      <c r="AF36" t="s">
        <v>56</v>
      </c>
      <c r="AG36" t="s">
        <v>57</v>
      </c>
      <c r="AH36">
        <v>88</v>
      </c>
      <c r="AI36">
        <v>207.5</v>
      </c>
      <c r="AJ36">
        <v>359</v>
      </c>
      <c r="AK36">
        <v>555</v>
      </c>
      <c r="AL36">
        <v>770.5</v>
      </c>
      <c r="AM36" t="s">
        <v>56</v>
      </c>
      <c r="AN36" t="s">
        <v>57</v>
      </c>
      <c r="AO36" t="s">
        <v>64</v>
      </c>
      <c r="AP36" t="s">
        <v>64</v>
      </c>
      <c r="AQ36" t="s">
        <v>64</v>
      </c>
      <c r="AR36">
        <v>44</v>
      </c>
      <c r="AS36" t="str">
        <f>IFERROR(INDEX(水保局全省災害資料!$X$2:$X$2000, MATCH(1, INDEX((水保局全省災害資料!$T$2:$T$2000=W36)*(水保局全省災害資料!$U$2:$U$2000=X36), 0, 1), 0)), "")</f>
        <v/>
      </c>
      <c r="AT36" t="str">
        <f>IFERROR(INDEX(水保局全省災害資料!$T$2:$T$2000, MATCH(1, INDEX((水保局全省災害資料!$T$2:$T$2000=W36)*(水保局全省災害資料!$U$2:$U$2000=X36), 0, 1), 0)), "")</f>
        <v/>
      </c>
      <c r="AU36" t="str">
        <f>IFERROR(INDEX(水保局全省災害資料!$U$2:$U$2000, MATCH(1, INDEX((水保局全省災害資料!$T$2:$T$2000=W36)*(水保局全省災害資料!$U$2:$U$2000=X36), 0, 1), 0)), "")</f>
        <v/>
      </c>
      <c r="AV36" t="str">
        <f>IFERROR(INDEX(水保局全省災害資料!$B$2:$B$2000, MATCH(1, INDEX((水保局全省災害資料!$T$2:$T$2000=W36)*(水保局全省災害資料!$U$2:$U$2000=X36), 0, 1), 0)), "")</f>
        <v/>
      </c>
    </row>
    <row r="37" spans="1:48">
      <c r="A37" t="s">
        <v>220</v>
      </c>
      <c r="B37" t="s">
        <v>221</v>
      </c>
      <c r="C37" t="s">
        <v>222</v>
      </c>
      <c r="D37" t="s">
        <v>223</v>
      </c>
      <c r="E37" t="s">
        <v>224</v>
      </c>
      <c r="F37" t="s">
        <v>127</v>
      </c>
      <c r="G37">
        <v>97</v>
      </c>
      <c r="H37" t="s">
        <v>124</v>
      </c>
      <c r="I37" s="13">
        <v>39647.125</v>
      </c>
      <c r="J37">
        <v>1</v>
      </c>
      <c r="L37">
        <v>0</v>
      </c>
      <c r="M37" t="str">
        <f>IF(SUMIFS(水保局全省災害資料!$X:$X, 水保局全省災害資料!$E:$E, A37, 水保局全省災害資料!$F:$F, B37, 水保局全省災害資料!$N:$N, H37)=0, "", SUMIFS(水保局全省災害資料!$X:$X, 水保局全省災害資料!$E:$E, A37, 水保局全省災害資料!$F:$F, B37, 水保局全省災害資料!$N:$N, H37))</f>
        <v/>
      </c>
      <c r="N37">
        <v>0</v>
      </c>
      <c r="O37">
        <v>7.1330939557151405</v>
      </c>
      <c r="P37" t="s">
        <v>51</v>
      </c>
      <c r="Q37">
        <v>1</v>
      </c>
      <c r="S37">
        <v>450</v>
      </c>
      <c r="T37" t="s">
        <v>225</v>
      </c>
      <c r="U37" t="s">
        <v>226</v>
      </c>
      <c r="V37">
        <v>1034.5</v>
      </c>
      <c r="W37">
        <v>33</v>
      </c>
      <c r="X37">
        <v>710.1</v>
      </c>
      <c r="Y37">
        <v>147</v>
      </c>
      <c r="Z37">
        <v>515.5</v>
      </c>
      <c r="AA37">
        <v>684</v>
      </c>
      <c r="AB37">
        <v>684</v>
      </c>
      <c r="AC37" t="s">
        <v>63</v>
      </c>
      <c r="AD37" t="s">
        <v>54</v>
      </c>
      <c r="AE37" t="s">
        <v>64</v>
      </c>
      <c r="AF37" t="s">
        <v>64</v>
      </c>
      <c r="AG37" t="s">
        <v>58</v>
      </c>
      <c r="AH37">
        <v>148</v>
      </c>
      <c r="AI37">
        <v>368.5</v>
      </c>
      <c r="AJ37">
        <v>567</v>
      </c>
      <c r="AK37">
        <v>764.5</v>
      </c>
      <c r="AL37">
        <v>886.5</v>
      </c>
      <c r="AM37" t="s">
        <v>64</v>
      </c>
      <c r="AN37" t="s">
        <v>64</v>
      </c>
      <c r="AO37" t="s">
        <v>64</v>
      </c>
      <c r="AP37" t="s">
        <v>64</v>
      </c>
      <c r="AQ37" t="s">
        <v>64</v>
      </c>
      <c r="AR37">
        <v>11</v>
      </c>
      <c r="AS37">
        <f>IFERROR(INDEX(水保局全省災害資料!$X$2:$X$2000, MATCH(1, INDEX((水保局全省災害資料!$T$2:$T$2000=W37)*(水保局全省災害資料!$U$2:$U$2000=X37), 0, 1), 0)), "")</f>
        <v>0</v>
      </c>
      <c r="AT37">
        <f>IFERROR(INDEX(水保局全省災害資料!$T$2:$T$2000, MATCH(1, INDEX((水保局全省災害資料!$T$2:$T$2000=W37)*(水保局全省災害資料!$U$2:$U$2000=X37), 0, 1), 0)), "")</f>
        <v>33</v>
      </c>
      <c r="AU37">
        <f>IFERROR(INDEX(水保局全省災害資料!$U$2:$U$2000, MATCH(1, INDEX((水保局全省災害資料!$T$2:$T$2000=W37)*(水保局全省災害資料!$U$2:$U$2000=X37), 0, 1), 0)), "")</f>
        <v>710.1</v>
      </c>
      <c r="AV37" t="str">
        <f>IFERROR(INDEX(水保局全省災害資料!$B$2:$B$2000, MATCH(1, INDEX((水保局全省災害資料!$T$2:$T$2000=W37)*(水保局全省災害資料!$U$2:$U$2000=X37), 0, 1), 0)), "")</f>
        <v>土石流</v>
      </c>
    </row>
    <row r="38" spans="1:48">
      <c r="A38" t="s">
        <v>220</v>
      </c>
      <c r="B38" t="s">
        <v>221</v>
      </c>
      <c r="C38" t="s">
        <v>222</v>
      </c>
      <c r="D38" t="s">
        <v>223</v>
      </c>
      <c r="E38" t="s">
        <v>224</v>
      </c>
      <c r="F38" t="s">
        <v>127</v>
      </c>
      <c r="G38">
        <v>98</v>
      </c>
      <c r="H38" t="s">
        <v>153</v>
      </c>
      <c r="I38" s="13">
        <v>40032.875</v>
      </c>
      <c r="J38">
        <v>2</v>
      </c>
      <c r="K38">
        <v>1.0568493150684932</v>
      </c>
      <c r="L38">
        <v>1.19194</v>
      </c>
      <c r="M38" t="str">
        <f>IF(SUMIFS(水保局全省災害資料!$X:$X, 水保局全省災害資料!$E:$E, A38, 水保局全省災害資料!$F:$F, B38, 水保局全省災害資料!$N:$N, H38)=0, "", SUMIFS(水保局全省災害資料!$X:$X, 水保局全省災害資料!$E:$E, A38, 水保局全省災害資料!$F:$F, B38, 水保局全省災害資料!$N:$N, H38))</f>
        <v/>
      </c>
      <c r="N38">
        <v>7.1330939557151405</v>
      </c>
      <c r="O38">
        <v>13.721699581089167</v>
      </c>
      <c r="P38" t="s">
        <v>51</v>
      </c>
      <c r="Q38">
        <v>2</v>
      </c>
      <c r="R38">
        <v>1.0568493150684932</v>
      </c>
      <c r="S38">
        <v>400</v>
      </c>
      <c r="T38" t="s">
        <v>225</v>
      </c>
      <c r="U38" t="s">
        <v>226</v>
      </c>
      <c r="V38">
        <v>2418</v>
      </c>
      <c r="W38">
        <v>18.5</v>
      </c>
      <c r="X38">
        <v>308.89999999999998</v>
      </c>
      <c r="Y38">
        <v>56</v>
      </c>
      <c r="Z38">
        <v>101.5</v>
      </c>
      <c r="AA38">
        <v>165.5</v>
      </c>
      <c r="AB38">
        <v>299.5</v>
      </c>
      <c r="AC38" t="s">
        <v>63</v>
      </c>
      <c r="AD38" t="s">
        <v>63</v>
      </c>
      <c r="AE38" t="s">
        <v>63</v>
      </c>
      <c r="AF38" t="s">
        <v>63</v>
      </c>
      <c r="AG38" t="s">
        <v>63</v>
      </c>
      <c r="AH38">
        <v>103</v>
      </c>
      <c r="AI38">
        <v>253.5</v>
      </c>
      <c r="AJ38">
        <v>473.5</v>
      </c>
      <c r="AK38">
        <v>786.5</v>
      </c>
      <c r="AL38">
        <v>1199.5</v>
      </c>
      <c r="AM38" t="s">
        <v>56</v>
      </c>
      <c r="AN38" t="s">
        <v>87</v>
      </c>
      <c r="AO38" t="s">
        <v>64</v>
      </c>
      <c r="AP38" t="s">
        <v>64</v>
      </c>
      <c r="AQ38" t="s">
        <v>64</v>
      </c>
      <c r="AR38">
        <v>24</v>
      </c>
      <c r="AS38">
        <f>IFERROR(INDEX(水保局全省災害資料!$X$2:$X$2000, MATCH(1, INDEX((水保局全省災害資料!$T$2:$T$2000=W38)*(水保局全省災害資料!$U$2:$U$2000=X38), 0, 1), 0)), "")</f>
        <v>0</v>
      </c>
      <c r="AT38">
        <f>IFERROR(INDEX(水保局全省災害資料!$T$2:$T$2000, MATCH(1, INDEX((水保局全省災害資料!$T$2:$T$2000=W38)*(水保局全省災害資料!$U$2:$U$2000=X38), 0, 1), 0)), "")</f>
        <v>18.5</v>
      </c>
      <c r="AU38">
        <f>IFERROR(INDEX(水保局全省災害資料!$U$2:$U$2000, MATCH(1, INDEX((水保局全省災害資料!$T$2:$T$2000=W38)*(水保局全省災害資料!$U$2:$U$2000=X38), 0, 1), 0)), "")</f>
        <v>308.89999999999998</v>
      </c>
      <c r="AV38" t="str">
        <f>IFERROR(INDEX(水保局全省災害資料!$B$2:$B$2000, MATCH(1, INDEX((水保局全省災害資料!$T$2:$T$2000=W38)*(水保局全省災害資料!$U$2:$U$2000=X38), 0, 1), 0)), "")</f>
        <v>土石流</v>
      </c>
    </row>
    <row r="39" spans="1:48">
      <c r="A39" t="s">
        <v>220</v>
      </c>
      <c r="B39" t="s">
        <v>221</v>
      </c>
      <c r="C39" t="s">
        <v>222</v>
      </c>
      <c r="D39" t="s">
        <v>227</v>
      </c>
      <c r="E39" t="s">
        <v>228</v>
      </c>
      <c r="F39" t="s">
        <v>48</v>
      </c>
      <c r="G39">
        <v>96</v>
      </c>
      <c r="H39" t="s">
        <v>229</v>
      </c>
      <c r="I39" s="13">
        <v>39314.5</v>
      </c>
      <c r="J39">
        <v>1</v>
      </c>
      <c r="L39">
        <v>0</v>
      </c>
      <c r="M39" t="str">
        <f>IF(SUMIFS(水保局全省災害資料!$X:$X, 水保局全省災害資料!$E:$E, A39, 水保局全省災害資料!$F:$F, B39, 水保局全省災害資料!$N:$N, H39)=0, "", SUMIFS(水保局全省災害資料!$X:$X, 水保局全省災害資料!$E:$E, A39, 水保局全省災害資料!$F:$F, B39, 水保局全省災害資料!$N:$N, H39))</f>
        <v/>
      </c>
      <c r="N39">
        <v>0</v>
      </c>
      <c r="O39">
        <v>2.4475896562732786</v>
      </c>
      <c r="P39" t="s">
        <v>51</v>
      </c>
      <c r="Q39">
        <v>1</v>
      </c>
      <c r="S39">
        <v>450</v>
      </c>
      <c r="T39" t="s">
        <v>225</v>
      </c>
      <c r="U39" t="s">
        <v>226</v>
      </c>
      <c r="V39">
        <v>941.5</v>
      </c>
      <c r="W39">
        <v>33</v>
      </c>
      <c r="X39">
        <v>943.8</v>
      </c>
      <c r="Y39">
        <v>39.5</v>
      </c>
      <c r="Z39">
        <v>111</v>
      </c>
      <c r="AA39">
        <v>257.5</v>
      </c>
      <c r="AB39">
        <v>421</v>
      </c>
      <c r="AC39" t="s">
        <v>63</v>
      </c>
      <c r="AD39" t="s">
        <v>63</v>
      </c>
      <c r="AE39" t="s">
        <v>63</v>
      </c>
      <c r="AF39" t="s">
        <v>63</v>
      </c>
      <c r="AG39" t="s">
        <v>54</v>
      </c>
      <c r="AH39">
        <v>54.5</v>
      </c>
      <c r="AI39">
        <v>117</v>
      </c>
      <c r="AJ39">
        <v>222.5</v>
      </c>
      <c r="AK39">
        <v>328</v>
      </c>
      <c r="AL39">
        <v>466.5</v>
      </c>
      <c r="AM39" t="s">
        <v>63</v>
      </c>
      <c r="AN39" t="s">
        <v>63</v>
      </c>
      <c r="AO39" t="s">
        <v>54</v>
      </c>
      <c r="AP39" t="s">
        <v>54</v>
      </c>
      <c r="AQ39" t="s">
        <v>54</v>
      </c>
      <c r="AR39">
        <v>62</v>
      </c>
      <c r="AS39" t="str">
        <f>IFERROR(INDEX(水保局全省災害資料!$X$2:$X$2000, MATCH(1, INDEX((水保局全省災害資料!$T$2:$T$2000=W39)*(水保局全省災害資料!$U$2:$U$2000=X39), 0, 1), 0)), "")</f>
        <v/>
      </c>
      <c r="AT39" t="str">
        <f>IFERROR(INDEX(水保局全省災害資料!$T$2:$T$2000, MATCH(1, INDEX((水保局全省災害資料!$T$2:$T$2000=W39)*(水保局全省災害資料!$U$2:$U$2000=X39), 0, 1), 0)), "")</f>
        <v/>
      </c>
      <c r="AU39" t="str">
        <f>IFERROR(INDEX(水保局全省災害資料!$U$2:$U$2000, MATCH(1, INDEX((水保局全省災害資料!$T$2:$T$2000=W39)*(水保局全省災害資料!$U$2:$U$2000=X39), 0, 1), 0)), "")</f>
        <v/>
      </c>
      <c r="AV39" t="str">
        <f>IFERROR(INDEX(水保局全省災害資料!$B$2:$B$2000, MATCH(1, INDEX((水保局全省災害資料!$T$2:$T$2000=W39)*(水保局全省災害資料!$U$2:$U$2000=X39), 0, 1), 0)), "")</f>
        <v/>
      </c>
    </row>
    <row r="40" spans="1:48">
      <c r="A40" t="s">
        <v>220</v>
      </c>
      <c r="B40" t="s">
        <v>221</v>
      </c>
      <c r="C40" t="s">
        <v>222</v>
      </c>
      <c r="D40" t="s">
        <v>227</v>
      </c>
      <c r="E40" t="s">
        <v>228</v>
      </c>
      <c r="F40" t="s">
        <v>48</v>
      </c>
      <c r="G40">
        <v>97</v>
      </c>
      <c r="H40" t="s">
        <v>124</v>
      </c>
      <c r="I40" s="13">
        <v>39646.958333333336</v>
      </c>
      <c r="J40">
        <v>2</v>
      </c>
      <c r="K40">
        <v>0.91084474885845412</v>
      </c>
      <c r="L40">
        <v>5.8</v>
      </c>
      <c r="M40" t="str">
        <f>IF(SUMIFS(水保局全省災害資料!$X:$X, 水保局全省災害資料!$E:$E, A40, 水保局全省災害資料!$F:$F, B40, 水保局全省災害資料!$N:$N, H40)=0, "", SUMIFS(水保局全省災害資料!$X:$X, 水保局全省災害資料!$E:$E, A40, 水保局全省災害資料!$F:$F, B40, 水保局全省災害資料!$N:$N, H40))</f>
        <v/>
      </c>
      <c r="N40">
        <v>3.0860913057358732</v>
      </c>
      <c r="O40">
        <v>4.0438437799297651</v>
      </c>
      <c r="P40" t="s">
        <v>51</v>
      </c>
      <c r="Q40">
        <v>2</v>
      </c>
      <c r="R40">
        <v>0.91084474885845412</v>
      </c>
      <c r="S40">
        <v>450</v>
      </c>
      <c r="T40" t="s">
        <v>225</v>
      </c>
      <c r="U40" t="s">
        <v>226</v>
      </c>
      <c r="V40">
        <v>1034.5</v>
      </c>
      <c r="W40">
        <v>144.5</v>
      </c>
      <c r="X40">
        <v>454.2</v>
      </c>
      <c r="Y40">
        <v>334</v>
      </c>
      <c r="Z40">
        <v>409</v>
      </c>
      <c r="AA40">
        <v>419</v>
      </c>
      <c r="AB40">
        <v>419</v>
      </c>
      <c r="AC40" t="s">
        <v>64</v>
      </c>
      <c r="AD40" t="s">
        <v>64</v>
      </c>
      <c r="AE40" t="s">
        <v>64</v>
      </c>
      <c r="AF40" t="s">
        <v>56</v>
      </c>
      <c r="AG40" t="s">
        <v>54</v>
      </c>
      <c r="AH40">
        <v>148</v>
      </c>
      <c r="AI40">
        <v>368.5</v>
      </c>
      <c r="AJ40">
        <v>567</v>
      </c>
      <c r="AK40">
        <v>764.5</v>
      </c>
      <c r="AL40">
        <v>886.5</v>
      </c>
      <c r="AM40" t="s">
        <v>64</v>
      </c>
      <c r="AN40" t="s">
        <v>64</v>
      </c>
      <c r="AO40" t="s">
        <v>64</v>
      </c>
      <c r="AP40" t="s">
        <v>64</v>
      </c>
      <c r="AQ40" t="s">
        <v>64</v>
      </c>
      <c r="AR40">
        <v>7</v>
      </c>
      <c r="AS40">
        <f>IFERROR(INDEX(水保局全省災害資料!$X$2:$X$2000, MATCH(1, INDEX((水保局全省災害資料!$T$2:$T$2000=W40)*(水保局全省災害資料!$U$2:$U$2000=X40), 0, 1), 0)), "")</f>
        <v>0</v>
      </c>
      <c r="AT40">
        <f>IFERROR(INDEX(水保局全省災害資料!$T$2:$T$2000, MATCH(1, INDEX((水保局全省災害資料!$T$2:$T$2000=W40)*(水保局全省災害資料!$U$2:$U$2000=X40), 0, 1), 0)), "")</f>
        <v>144.5</v>
      </c>
      <c r="AU40">
        <f>IFERROR(INDEX(水保局全省災害資料!$U$2:$U$2000, MATCH(1, INDEX((水保局全省災害資料!$T$2:$T$2000=W40)*(水保局全省災害資料!$U$2:$U$2000=X40), 0, 1), 0)), "")</f>
        <v>454.2</v>
      </c>
      <c r="AV40" t="str">
        <f>IFERROR(INDEX(水保局全省災害資料!$B$2:$B$2000, MATCH(1, INDEX((水保局全省災害資料!$T$2:$T$2000=W40)*(水保局全省災害資料!$U$2:$U$2000=X40), 0, 1), 0)), "")</f>
        <v>土石流</v>
      </c>
    </row>
    <row r="41" spans="1:48">
      <c r="A41" t="s">
        <v>220</v>
      </c>
      <c r="B41" t="s">
        <v>221</v>
      </c>
      <c r="C41" t="s">
        <v>230</v>
      </c>
      <c r="D41" t="s">
        <v>231</v>
      </c>
      <c r="E41" t="s">
        <v>232</v>
      </c>
      <c r="F41" t="s">
        <v>127</v>
      </c>
      <c r="G41">
        <v>95</v>
      </c>
      <c r="H41" t="s">
        <v>110</v>
      </c>
      <c r="I41" s="13">
        <v>38877.75</v>
      </c>
      <c r="J41">
        <v>1</v>
      </c>
      <c r="L41">
        <v>0</v>
      </c>
      <c r="M41" t="str">
        <f>IF(SUMIFS(水保局全省災害資料!$X:$X, 水保局全省災害資料!$E:$E, A41, 水保局全省災害資料!$F:$F, B41, 水保局全省災害資料!$N:$N, H41)=0, "", SUMIFS(水保局全省災害資料!$X:$X, 水保局全省災害資料!$E:$E, A41, 水保局全省災害資料!$F:$F, B41, 水保局全省災害資料!$N:$N, H41))</f>
        <v/>
      </c>
      <c r="N41">
        <v>0</v>
      </c>
      <c r="O41">
        <v>8.6206896551724146</v>
      </c>
      <c r="P41" t="s">
        <v>51</v>
      </c>
      <c r="Q41">
        <v>1</v>
      </c>
      <c r="S41">
        <v>400</v>
      </c>
      <c r="T41" t="s">
        <v>233</v>
      </c>
      <c r="U41" t="s">
        <v>234</v>
      </c>
      <c r="V41">
        <v>565</v>
      </c>
      <c r="W41">
        <v>14.4</v>
      </c>
      <c r="X41">
        <v>336.4</v>
      </c>
      <c r="Y41">
        <v>42</v>
      </c>
      <c r="Z41">
        <v>129.5</v>
      </c>
      <c r="AA41">
        <v>195.5</v>
      </c>
      <c r="AB41">
        <v>219</v>
      </c>
      <c r="AC41" t="s">
        <v>63</v>
      </c>
      <c r="AD41" t="s">
        <v>63</v>
      </c>
      <c r="AE41" t="s">
        <v>63</v>
      </c>
      <c r="AF41" t="s">
        <v>63</v>
      </c>
      <c r="AG41" t="s">
        <v>63</v>
      </c>
      <c r="AH41">
        <v>72</v>
      </c>
      <c r="AI41">
        <v>111</v>
      </c>
      <c r="AJ41">
        <v>193</v>
      </c>
      <c r="AK41">
        <v>264.5</v>
      </c>
      <c r="AL41">
        <v>461</v>
      </c>
      <c r="AM41" t="s">
        <v>54</v>
      </c>
      <c r="AN41" t="s">
        <v>63</v>
      </c>
      <c r="AO41" t="s">
        <v>63</v>
      </c>
      <c r="AP41" t="s">
        <v>63</v>
      </c>
      <c r="AQ41" t="s">
        <v>55</v>
      </c>
      <c r="AR41">
        <v>16</v>
      </c>
      <c r="AS41">
        <f>IFERROR(INDEX(水保局全省災害資料!$X$2:$X$2000, MATCH(1, INDEX((水保局全省災害資料!$T$2:$T$2000=W41)*(水保局全省災害資料!$U$2:$U$2000=X41), 0, 1), 0)), "")</f>
        <v>0</v>
      </c>
      <c r="AT41">
        <f>IFERROR(INDEX(水保局全省災害資料!$T$2:$T$2000, MATCH(1, INDEX((水保局全省災害資料!$T$2:$T$2000=W41)*(水保局全省災害資料!$U$2:$U$2000=X41), 0, 1), 0)), "")</f>
        <v>14.4</v>
      </c>
      <c r="AU41">
        <f>IFERROR(INDEX(水保局全省災害資料!$U$2:$U$2000, MATCH(1, INDEX((水保局全省災害資料!$T$2:$T$2000=W41)*(水保局全省災害資料!$U$2:$U$2000=X41), 0, 1), 0)), "")</f>
        <v>336.4</v>
      </c>
      <c r="AV41" t="str">
        <f>IFERROR(INDEX(水保局全省災害資料!$B$2:$B$2000, MATCH(1, INDEX((水保局全省災害資料!$T$2:$T$2000=W41)*(水保局全省災害資料!$U$2:$U$2000=X41), 0, 1), 0)), "")</f>
        <v>土石流</v>
      </c>
    </row>
    <row r="42" spans="1:48">
      <c r="A42" t="s">
        <v>220</v>
      </c>
      <c r="B42" t="s">
        <v>221</v>
      </c>
      <c r="C42" t="s">
        <v>230</v>
      </c>
      <c r="D42" t="s">
        <v>231</v>
      </c>
      <c r="E42" t="s">
        <v>232</v>
      </c>
      <c r="F42" t="s">
        <v>127</v>
      </c>
      <c r="G42">
        <v>98</v>
      </c>
      <c r="H42" t="s">
        <v>153</v>
      </c>
      <c r="I42" s="13">
        <v>40033.208333333336</v>
      </c>
      <c r="J42">
        <v>2</v>
      </c>
      <c r="K42">
        <v>3.1656392694063995</v>
      </c>
      <c r="L42">
        <v>0.3</v>
      </c>
      <c r="M42" t="str">
        <f>IF(SUMIFS(水保局全省災害資料!$X:$X, 水保局全省災害資料!$E:$E, A42, 水保局全省災害資料!$F:$F, B42, 水保局全省災害資料!$N:$N, H42)=0, "", SUMIFS(水保局全省災害資料!$X:$X, 水保局全省災害資料!$E:$E, A42, 水保局全省災害資料!$F:$F, B42, 水保局全省災害資料!$N:$N, H42))</f>
        <v/>
      </c>
      <c r="N42">
        <v>2.5862068965517242</v>
      </c>
      <c r="O42">
        <v>19.827586206896548</v>
      </c>
      <c r="P42" t="s">
        <v>51</v>
      </c>
      <c r="Q42">
        <v>2</v>
      </c>
      <c r="R42">
        <v>3.1656392694063995</v>
      </c>
      <c r="S42">
        <v>400</v>
      </c>
      <c r="T42" t="s">
        <v>233</v>
      </c>
      <c r="U42" t="s">
        <v>234</v>
      </c>
      <c r="V42">
        <v>1211</v>
      </c>
      <c r="W42">
        <v>32.5</v>
      </c>
      <c r="X42">
        <v>534.5</v>
      </c>
      <c r="Y42">
        <v>98</v>
      </c>
      <c r="Z42">
        <v>145</v>
      </c>
      <c r="AA42">
        <v>220</v>
      </c>
      <c r="AB42">
        <v>320</v>
      </c>
      <c r="AC42" t="s">
        <v>63</v>
      </c>
      <c r="AD42" t="s">
        <v>63</v>
      </c>
      <c r="AE42" t="s">
        <v>63</v>
      </c>
      <c r="AF42" t="s">
        <v>63</v>
      </c>
      <c r="AG42" t="s">
        <v>63</v>
      </c>
      <c r="AH42">
        <v>52.5</v>
      </c>
      <c r="AI42">
        <v>124</v>
      </c>
      <c r="AJ42">
        <v>244</v>
      </c>
      <c r="AK42">
        <v>416</v>
      </c>
      <c r="AL42">
        <v>743</v>
      </c>
      <c r="AM42" t="s">
        <v>63</v>
      </c>
      <c r="AN42" t="s">
        <v>63</v>
      </c>
      <c r="AO42" t="s">
        <v>55</v>
      </c>
      <c r="AP42" t="s">
        <v>56</v>
      </c>
      <c r="AQ42" t="s">
        <v>87</v>
      </c>
      <c r="AR42">
        <v>32</v>
      </c>
      <c r="AS42">
        <f>IFERROR(INDEX(水保局全省災害資料!$X$2:$X$2000, MATCH(1, INDEX((水保局全省災害資料!$T$2:$T$2000=W42)*(水保局全省災害資料!$U$2:$U$2000=X42), 0, 1), 0)), "")</f>
        <v>0</v>
      </c>
      <c r="AT42">
        <f>IFERROR(INDEX(水保局全省災害資料!$T$2:$T$2000, MATCH(1, INDEX((水保局全省災害資料!$T$2:$T$2000=W42)*(水保局全省災害資料!$U$2:$U$2000=X42), 0, 1), 0)), "")</f>
        <v>32.5</v>
      </c>
      <c r="AU42">
        <f>IFERROR(INDEX(水保局全省災害資料!$U$2:$U$2000, MATCH(1, INDEX((水保局全省災害資料!$T$2:$T$2000=W42)*(水保局全省災害資料!$U$2:$U$2000=X42), 0, 1), 0)), "")</f>
        <v>534.5</v>
      </c>
      <c r="AV42" t="str">
        <f>IFERROR(INDEX(水保局全省災害資料!$B$2:$B$2000, MATCH(1, INDEX((水保局全省災害資料!$T$2:$T$2000=W42)*(水保局全省災害資料!$U$2:$U$2000=X42), 0, 1), 0)), "")</f>
        <v>土石流</v>
      </c>
    </row>
    <row r="43" spans="1:48">
      <c r="A43" t="s">
        <v>220</v>
      </c>
      <c r="B43" t="s">
        <v>221</v>
      </c>
      <c r="C43" t="s">
        <v>230</v>
      </c>
      <c r="D43" t="s">
        <v>235</v>
      </c>
      <c r="E43" t="s">
        <v>236</v>
      </c>
      <c r="F43" t="s">
        <v>48</v>
      </c>
      <c r="G43">
        <v>99</v>
      </c>
      <c r="H43" t="s">
        <v>237</v>
      </c>
      <c r="I43" s="13">
        <v>40440.75</v>
      </c>
      <c r="J43">
        <v>2</v>
      </c>
      <c r="K43">
        <v>5.1735159817351661</v>
      </c>
      <c r="L43">
        <v>7.4</v>
      </c>
      <c r="M43" t="str">
        <f>IF(SUMIFS(水保局全省災害資料!$X:$X, 水保局全省災害資料!$E:$E, A43, 水保局全省災害資料!$F:$F, B43, 水保局全省災害資料!$N:$N, H43)=0, "", SUMIFS(水保局全省災害資料!$X:$X, 水保局全省災害資料!$E:$E, A43, 水保局全省災害資料!$F:$F, B43, 水保局全省災害資料!$N:$N, H43))</f>
        <v/>
      </c>
      <c r="N43">
        <v>4.4016178919819176</v>
      </c>
      <c r="O43">
        <v>4.2350701879609796</v>
      </c>
      <c r="P43" t="s">
        <v>51</v>
      </c>
      <c r="Q43">
        <v>2</v>
      </c>
      <c r="R43">
        <v>5.1735159817351661</v>
      </c>
      <c r="S43">
        <v>200</v>
      </c>
      <c r="T43" t="s">
        <v>233</v>
      </c>
      <c r="U43" t="s">
        <v>234</v>
      </c>
      <c r="V43">
        <v>584.5</v>
      </c>
      <c r="W43">
        <v>45</v>
      </c>
      <c r="X43">
        <v>322</v>
      </c>
      <c r="Y43">
        <v>68.5</v>
      </c>
      <c r="Z43">
        <v>149.5</v>
      </c>
      <c r="AA43">
        <v>267</v>
      </c>
      <c r="AB43">
        <v>314</v>
      </c>
      <c r="AC43" t="s">
        <v>63</v>
      </c>
      <c r="AD43" t="s">
        <v>63</v>
      </c>
      <c r="AE43" t="s">
        <v>63</v>
      </c>
      <c r="AF43" t="s">
        <v>63</v>
      </c>
      <c r="AG43" t="s">
        <v>63</v>
      </c>
      <c r="AH43">
        <v>72</v>
      </c>
      <c r="AI43">
        <v>184.5</v>
      </c>
      <c r="AJ43">
        <v>262.5</v>
      </c>
      <c r="AK43">
        <v>411</v>
      </c>
      <c r="AL43">
        <v>584.5</v>
      </c>
      <c r="AM43" t="s">
        <v>54</v>
      </c>
      <c r="AN43" t="s">
        <v>56</v>
      </c>
      <c r="AO43" t="s">
        <v>55</v>
      </c>
      <c r="AP43" t="s">
        <v>56</v>
      </c>
      <c r="AQ43" t="s">
        <v>57</v>
      </c>
      <c r="AR43">
        <v>16</v>
      </c>
      <c r="AS43">
        <f>IFERROR(INDEX(水保局全省災害資料!$X$2:$X$2000, MATCH(1, INDEX((水保局全省災害資料!$T$2:$T$2000=W43)*(水保局全省災害資料!$U$2:$U$2000=X43), 0, 1), 0)), "")</f>
        <v>0</v>
      </c>
      <c r="AT43">
        <f>IFERROR(INDEX(水保局全省災害資料!$T$2:$T$2000, MATCH(1, INDEX((水保局全省災害資料!$T$2:$T$2000=W43)*(水保局全省災害資料!$U$2:$U$2000=X43), 0, 1), 0)), "")</f>
        <v>45</v>
      </c>
      <c r="AU43">
        <f>IFERROR(INDEX(水保局全省災害資料!$U$2:$U$2000, MATCH(1, INDEX((水保局全省災害資料!$T$2:$T$2000=W43)*(水保局全省災害資料!$U$2:$U$2000=X43), 0, 1), 0)), "")</f>
        <v>322</v>
      </c>
      <c r="AV43" t="str">
        <f>IFERROR(INDEX(水保局全省災害資料!$B$2:$B$2000, MATCH(1, INDEX((水保局全省災害資料!$T$2:$T$2000=W43)*(水保局全省災害資料!$U$2:$U$2000=X43), 0, 1), 0)), "")</f>
        <v>土石流</v>
      </c>
    </row>
    <row r="44" spans="1:48">
      <c r="A44" t="s">
        <v>220</v>
      </c>
      <c r="B44" t="s">
        <v>221</v>
      </c>
      <c r="C44" t="s">
        <v>230</v>
      </c>
      <c r="D44" t="s">
        <v>235</v>
      </c>
      <c r="E44" t="s">
        <v>236</v>
      </c>
      <c r="F44" t="s">
        <v>48</v>
      </c>
      <c r="G44">
        <v>113</v>
      </c>
      <c r="H44" t="s">
        <v>59</v>
      </c>
      <c r="I44" s="13">
        <v>45498.458333333336</v>
      </c>
      <c r="J44">
        <v>3</v>
      </c>
      <c r="K44">
        <v>13.856735159817358</v>
      </c>
      <c r="L44">
        <v>0.84899999999999998</v>
      </c>
      <c r="M44">
        <f>IF(SUMIFS(水保局全省災害資料!$X:$X, 水保局全省災害資料!$E:$E, A44, 水保局全省災害資料!$F:$F, B44, 水保局全省災害資料!$N:$N, H44)=0, "", SUMIFS(水保局全省災害資料!$X:$X, 水保局全省災害資料!$E:$E, A44, 水保局全省災害資料!$F:$F, B44, 水保局全省災害資料!$N:$N, H44))</f>
        <v>0.89</v>
      </c>
      <c r="N44">
        <v>0.50499643112062809</v>
      </c>
      <c r="O44">
        <v>3.1340709017368544</v>
      </c>
      <c r="P44" t="s">
        <v>51</v>
      </c>
      <c r="Q44">
        <v>3</v>
      </c>
      <c r="R44">
        <v>13.856735159817358</v>
      </c>
      <c r="S44">
        <v>350</v>
      </c>
      <c r="T44" t="s">
        <v>233</v>
      </c>
      <c r="U44" t="s">
        <v>234</v>
      </c>
      <c r="V44">
        <v>1235.5</v>
      </c>
      <c r="W44">
        <v>105.5</v>
      </c>
      <c r="X44">
        <v>861.5</v>
      </c>
      <c r="Y44">
        <v>265</v>
      </c>
      <c r="Z44">
        <v>452</v>
      </c>
      <c r="AA44">
        <v>656</v>
      </c>
      <c r="AB44">
        <v>865</v>
      </c>
      <c r="AC44" t="s">
        <v>57</v>
      </c>
      <c r="AD44" t="s">
        <v>64</v>
      </c>
      <c r="AE44" t="s">
        <v>64</v>
      </c>
      <c r="AF44" t="s">
        <v>64</v>
      </c>
      <c r="AG44" t="s">
        <v>64</v>
      </c>
      <c r="AH44">
        <v>105.5</v>
      </c>
      <c r="AI44">
        <v>266.5</v>
      </c>
      <c r="AJ44">
        <v>479.5</v>
      </c>
      <c r="AK44">
        <v>763.5</v>
      </c>
      <c r="AL44">
        <v>989</v>
      </c>
      <c r="AM44" t="s">
        <v>57</v>
      </c>
      <c r="AN44" t="s">
        <v>64</v>
      </c>
      <c r="AO44" t="s">
        <v>64</v>
      </c>
      <c r="AP44" t="s">
        <v>64</v>
      </c>
      <c r="AQ44" t="s">
        <v>64</v>
      </c>
      <c r="AR44">
        <v>24</v>
      </c>
      <c r="AS44">
        <f>IFERROR(INDEX(水保局全省災害資料!$X$2:$X$2000, MATCH(1, INDEX((水保局全省災害資料!$T$2:$T$2000=W44)*(水保局全省災害資料!$U$2:$U$2000=X44), 0, 1), 0)), "")</f>
        <v>0</v>
      </c>
      <c r="AT44">
        <f>IFERROR(INDEX(水保局全省災害資料!$T$2:$T$2000, MATCH(1, INDEX((水保局全省災害資料!$T$2:$T$2000=W44)*(水保局全省災害資料!$U$2:$U$2000=X44), 0, 1), 0)), "")</f>
        <v>105.5</v>
      </c>
      <c r="AU44">
        <f>IFERROR(INDEX(水保局全省災害資料!$U$2:$U$2000, MATCH(1, INDEX((水保局全省災害資料!$T$2:$T$2000=W44)*(水保局全省災害資料!$U$2:$U$2000=X44), 0, 1), 0)), "")</f>
        <v>861.5</v>
      </c>
      <c r="AV44" t="str">
        <f>IFERROR(INDEX(水保局全省災害資料!$B$2:$B$2000, MATCH(1, INDEX((水保局全省災害資料!$T$2:$T$2000=W44)*(水保局全省災害資料!$U$2:$U$2000=X44), 0, 1), 0)), "")</f>
        <v>土石流</v>
      </c>
    </row>
    <row r="45" spans="1:48">
      <c r="A45" t="s">
        <v>220</v>
      </c>
      <c r="B45" t="s">
        <v>221</v>
      </c>
      <c r="C45" t="s">
        <v>238</v>
      </c>
      <c r="D45" t="s">
        <v>239</v>
      </c>
      <c r="E45" t="s">
        <v>240</v>
      </c>
      <c r="F45" t="s">
        <v>127</v>
      </c>
      <c r="G45">
        <v>97</v>
      </c>
      <c r="H45" t="s">
        <v>124</v>
      </c>
      <c r="I45" s="13">
        <v>39647.083333333336</v>
      </c>
      <c r="J45">
        <v>1</v>
      </c>
      <c r="L45">
        <v>0</v>
      </c>
      <c r="M45" t="str">
        <f>IF(SUMIFS(水保局全省災害資料!$X:$X, 水保局全省災害資料!$E:$E, A45, 水保局全省災害資料!$F:$F, B45, 水保局全省災害資料!$N:$N, H45)=0, "", SUMIFS(水保局全省災害資料!$X:$X, 水保局全省災害資料!$E:$E, A45, 水保局全省災害資料!$F:$F, B45, 水保局全省災害資料!$N:$N, H45))</f>
        <v/>
      </c>
      <c r="N45">
        <v>0</v>
      </c>
      <c r="O45">
        <v>0</v>
      </c>
      <c r="P45" t="s">
        <v>51</v>
      </c>
      <c r="Q45">
        <v>1</v>
      </c>
      <c r="S45">
        <v>450</v>
      </c>
      <c r="T45" t="s">
        <v>225</v>
      </c>
      <c r="U45" t="s">
        <v>226</v>
      </c>
      <c r="V45">
        <v>1034.5</v>
      </c>
      <c r="W45">
        <v>37.5</v>
      </c>
      <c r="X45">
        <v>662</v>
      </c>
      <c r="Y45">
        <v>232</v>
      </c>
      <c r="Z45">
        <v>566</v>
      </c>
      <c r="AA45">
        <v>651</v>
      </c>
      <c r="AB45">
        <v>651</v>
      </c>
      <c r="AC45" t="s">
        <v>63</v>
      </c>
      <c r="AD45" t="s">
        <v>58</v>
      </c>
      <c r="AE45" t="s">
        <v>64</v>
      </c>
      <c r="AF45" t="s">
        <v>64</v>
      </c>
      <c r="AG45" t="s">
        <v>57</v>
      </c>
      <c r="AH45">
        <v>148</v>
      </c>
      <c r="AI45">
        <v>368.5</v>
      </c>
      <c r="AJ45">
        <v>567</v>
      </c>
      <c r="AK45">
        <v>764.5</v>
      </c>
      <c r="AL45">
        <v>886.5</v>
      </c>
      <c r="AM45" t="s">
        <v>64</v>
      </c>
      <c r="AN45" t="s">
        <v>64</v>
      </c>
      <c r="AO45" t="s">
        <v>64</v>
      </c>
      <c r="AP45" t="s">
        <v>64</v>
      </c>
      <c r="AQ45" t="s">
        <v>64</v>
      </c>
      <c r="AR45">
        <v>10</v>
      </c>
      <c r="AS45" t="str">
        <f>IFERROR(INDEX(水保局全省災害資料!$X$2:$X$2000, MATCH(1, INDEX((水保局全省災害資料!$T$2:$T$2000=W45)*(水保局全省災害資料!$U$2:$U$2000=X45), 0, 1), 0)), "")</f>
        <v/>
      </c>
      <c r="AT45" t="str">
        <f>IFERROR(INDEX(水保局全省災害資料!$T$2:$T$2000, MATCH(1, INDEX((水保局全省災害資料!$T$2:$T$2000=W45)*(水保局全省災害資料!$U$2:$U$2000=X45), 0, 1), 0)), "")</f>
        <v/>
      </c>
      <c r="AU45" t="str">
        <f>IFERROR(INDEX(水保局全省災害資料!$U$2:$U$2000, MATCH(1, INDEX((水保局全省災害資料!$T$2:$T$2000=W45)*(水保局全省災害資料!$U$2:$U$2000=X45), 0, 1), 0)), "")</f>
        <v/>
      </c>
      <c r="AV45" t="str">
        <f>IFERROR(INDEX(水保局全省災害資料!$B$2:$B$2000, MATCH(1, INDEX((水保局全省災害資料!$T$2:$T$2000=W45)*(水保局全省災害資料!$U$2:$U$2000=X45), 0, 1), 0)), "")</f>
        <v/>
      </c>
    </row>
    <row r="46" spans="1:48">
      <c r="A46" t="s">
        <v>220</v>
      </c>
      <c r="B46" t="s">
        <v>221</v>
      </c>
      <c r="C46" t="s">
        <v>238</v>
      </c>
      <c r="D46" t="s">
        <v>239</v>
      </c>
      <c r="E46" t="s">
        <v>240</v>
      </c>
      <c r="F46" t="s">
        <v>127</v>
      </c>
      <c r="G46">
        <v>98</v>
      </c>
      <c r="H46" t="s">
        <v>153</v>
      </c>
      <c r="I46" s="13">
        <v>40033.833333333336</v>
      </c>
      <c r="J46">
        <v>2</v>
      </c>
      <c r="K46">
        <v>1.0595890410958904</v>
      </c>
      <c r="L46">
        <v>0</v>
      </c>
      <c r="M46" t="str">
        <f>IF(SUMIFS(水保局全省災害資料!$X:$X, 水保局全省災害資料!$E:$E, A46, 水保局全省災害資料!$F:$F, B46, 水保局全省災害資料!$N:$N, H46)=0, "", SUMIFS(水保局全省災害資料!$X:$X, 水保局全省災害資料!$E:$E, A46, 水保局全省災害資料!$F:$F, B46, 水保局全省災害資料!$N:$N, H46))</f>
        <v/>
      </c>
      <c r="N46">
        <v>0</v>
      </c>
      <c r="O46">
        <v>1.0076817401259304</v>
      </c>
      <c r="P46" t="s">
        <v>51</v>
      </c>
      <c r="Q46">
        <v>2</v>
      </c>
      <c r="R46">
        <v>1.0595890410958904</v>
      </c>
      <c r="S46">
        <v>400</v>
      </c>
      <c r="T46" t="s">
        <v>225</v>
      </c>
      <c r="U46" t="s">
        <v>226</v>
      </c>
      <c r="V46">
        <v>2418</v>
      </c>
      <c r="W46">
        <v>56</v>
      </c>
      <c r="X46">
        <v>1271.5999999999999</v>
      </c>
      <c r="Y46">
        <v>241</v>
      </c>
      <c r="Z46">
        <v>473.5</v>
      </c>
      <c r="AA46">
        <v>684</v>
      </c>
      <c r="AB46">
        <v>1033.5</v>
      </c>
      <c r="AC46" t="s">
        <v>63</v>
      </c>
      <c r="AD46" t="s">
        <v>58</v>
      </c>
      <c r="AE46" t="s">
        <v>64</v>
      </c>
      <c r="AF46" t="s">
        <v>64</v>
      </c>
      <c r="AG46" t="s">
        <v>64</v>
      </c>
      <c r="AH46">
        <v>103</v>
      </c>
      <c r="AI46">
        <v>253.5</v>
      </c>
      <c r="AJ46">
        <v>473.5</v>
      </c>
      <c r="AK46">
        <v>786.5</v>
      </c>
      <c r="AL46">
        <v>1199.5</v>
      </c>
      <c r="AM46" t="s">
        <v>56</v>
      </c>
      <c r="AN46" t="s">
        <v>87</v>
      </c>
      <c r="AO46" t="s">
        <v>64</v>
      </c>
      <c r="AP46" t="s">
        <v>64</v>
      </c>
      <c r="AQ46" t="s">
        <v>64</v>
      </c>
      <c r="AR46">
        <v>47</v>
      </c>
      <c r="AS46">
        <f>IFERROR(INDEX(水保局全省災害資料!$X$2:$X$2000, MATCH(1, INDEX((水保局全省災害資料!$T$2:$T$2000=W46)*(水保局全省災害資料!$U$2:$U$2000=X46), 0, 1), 0)), "")</f>
        <v>0</v>
      </c>
      <c r="AT46">
        <f>IFERROR(INDEX(水保局全省災害資料!$T$2:$T$2000, MATCH(1, INDEX((水保局全省災害資料!$T$2:$T$2000=W46)*(水保局全省災害資料!$U$2:$U$2000=X46), 0, 1), 0)), "")</f>
        <v>56</v>
      </c>
      <c r="AU46">
        <f>IFERROR(INDEX(水保局全省災害資料!$U$2:$U$2000, MATCH(1, INDEX((水保局全省災害資料!$T$2:$T$2000=W46)*(水保局全省災害資料!$U$2:$U$2000=X46), 0, 1), 0)), "")</f>
        <v>1271.5999999999999</v>
      </c>
      <c r="AV46" t="str">
        <f>IFERROR(INDEX(水保局全省災害資料!$B$2:$B$2000, MATCH(1, INDEX((水保局全省災害資料!$T$2:$T$2000=W46)*(水保局全省災害資料!$U$2:$U$2000=X46), 0, 1), 0)), "")</f>
        <v>土石流 、崩塌</v>
      </c>
    </row>
    <row r="47" spans="1:48">
      <c r="A47" t="s">
        <v>220</v>
      </c>
      <c r="B47" t="s">
        <v>221</v>
      </c>
      <c r="C47" t="s">
        <v>238</v>
      </c>
      <c r="D47" t="s">
        <v>239</v>
      </c>
      <c r="E47" t="s">
        <v>240</v>
      </c>
      <c r="F47" t="s">
        <v>127</v>
      </c>
      <c r="G47">
        <v>113</v>
      </c>
      <c r="H47" t="s">
        <v>59</v>
      </c>
      <c r="I47" s="13">
        <v>45498.5</v>
      </c>
      <c r="J47">
        <v>3</v>
      </c>
      <c r="K47">
        <v>14.971689497716888</v>
      </c>
      <c r="L47">
        <v>0.28000000000000003</v>
      </c>
      <c r="M47">
        <f>IF(SUMIFS(水保局全省災害資料!$X:$X, 水保局全省災害資料!$E:$E, A47, 水保局全省災害資料!$F:$F, B47, 水保局全省災害資料!$N:$N, H47)=0, "", SUMIFS(水保局全省災害資料!$X:$X, 水保局全省災害資料!$E:$E, A47, 水保局全省災害資料!$F:$F, B47, 水保局全省災害資料!$N:$N, H47))</f>
        <v>0.89</v>
      </c>
      <c r="N47">
        <v>0.32054951345163146</v>
      </c>
      <c r="O47">
        <v>2.2896393817973668</v>
      </c>
      <c r="P47" t="s">
        <v>51</v>
      </c>
      <c r="Q47">
        <v>3</v>
      </c>
      <c r="R47">
        <v>14.971689497716888</v>
      </c>
      <c r="S47">
        <v>350</v>
      </c>
      <c r="T47" t="s">
        <v>241</v>
      </c>
      <c r="U47" t="s">
        <v>242</v>
      </c>
      <c r="V47">
        <v>1379</v>
      </c>
      <c r="W47">
        <v>89.5</v>
      </c>
      <c r="X47">
        <v>796.8</v>
      </c>
      <c r="Y47">
        <v>180</v>
      </c>
      <c r="Z47">
        <v>307</v>
      </c>
      <c r="AA47">
        <v>527</v>
      </c>
      <c r="AB47">
        <v>749.5</v>
      </c>
      <c r="AC47" t="s">
        <v>55</v>
      </c>
      <c r="AD47" t="s">
        <v>56</v>
      </c>
      <c r="AE47" t="s">
        <v>57</v>
      </c>
      <c r="AF47" t="s">
        <v>87</v>
      </c>
      <c r="AG47" t="s">
        <v>64</v>
      </c>
      <c r="AH47">
        <v>89.5</v>
      </c>
      <c r="AI47">
        <v>213.5</v>
      </c>
      <c r="AJ47">
        <v>339.5</v>
      </c>
      <c r="AK47">
        <v>604.5</v>
      </c>
      <c r="AL47">
        <v>950</v>
      </c>
      <c r="AM47" t="s">
        <v>55</v>
      </c>
      <c r="AN47" t="s">
        <v>57</v>
      </c>
      <c r="AO47" t="s">
        <v>58</v>
      </c>
      <c r="AP47" t="s">
        <v>64</v>
      </c>
      <c r="AQ47" t="s">
        <v>64</v>
      </c>
      <c r="AR47">
        <v>26</v>
      </c>
      <c r="AS47">
        <f>IFERROR(INDEX(水保局全省災害資料!$X$2:$X$2000, MATCH(1, INDEX((水保局全省災害資料!$T$2:$T$2000=W47)*(水保局全省災害資料!$U$2:$U$2000=X47), 0, 1), 0)), "")</f>
        <v>0.75</v>
      </c>
      <c r="AT47">
        <f>IFERROR(INDEX(水保局全省災害資料!$T$2:$T$2000, MATCH(1, INDEX((水保局全省災害資料!$T$2:$T$2000=W47)*(水保局全省災害資料!$U$2:$U$2000=X47), 0, 1), 0)), "")</f>
        <v>89.5</v>
      </c>
      <c r="AU47">
        <f>IFERROR(INDEX(水保局全省災害資料!$U$2:$U$2000, MATCH(1, INDEX((水保局全省災害資料!$T$2:$T$2000=W47)*(水保局全省災害資料!$U$2:$U$2000=X47), 0, 1), 0)), "")</f>
        <v>796.8</v>
      </c>
      <c r="AV47" t="str">
        <f>IFERROR(INDEX(水保局全省災害資料!$B$2:$B$2000, MATCH(1, INDEX((水保局全省災害資料!$T$2:$T$2000=W47)*(水保局全省災害資料!$U$2:$U$2000=X47), 0, 1), 0)), "")</f>
        <v>土石流</v>
      </c>
    </row>
    <row r="48" spans="1:48">
      <c r="A48" t="s">
        <v>220</v>
      </c>
      <c r="B48" t="s">
        <v>221</v>
      </c>
      <c r="C48" t="s">
        <v>243</v>
      </c>
      <c r="D48" t="s">
        <v>244</v>
      </c>
      <c r="E48" t="s">
        <v>245</v>
      </c>
      <c r="F48" t="s">
        <v>127</v>
      </c>
      <c r="G48">
        <v>98</v>
      </c>
      <c r="H48" t="s">
        <v>153</v>
      </c>
      <c r="I48" s="13">
        <v>40033.833333333336</v>
      </c>
      <c r="J48">
        <v>2</v>
      </c>
      <c r="K48">
        <v>4.0583333333333469</v>
      </c>
      <c r="L48">
        <v>0</v>
      </c>
      <c r="M48" t="str">
        <f>IF(SUMIFS(水保局全省災害資料!$X:$X, 水保局全省災害資料!$E:$E, A48, 水保局全省災害資料!$F:$F, B48, 水保局全省災害資料!$N:$N, H48)=0, "", SUMIFS(水保局全省災害資料!$X:$X, 水保局全省災害資料!$E:$E, A48, 水保局全省災害資料!$F:$F, B48, 水保局全省災害資料!$N:$N, H48))</f>
        <v/>
      </c>
      <c r="N48">
        <v>0</v>
      </c>
      <c r="O48">
        <v>20.219402021940201</v>
      </c>
      <c r="P48" t="s">
        <v>51</v>
      </c>
      <c r="Q48">
        <v>2</v>
      </c>
      <c r="R48">
        <v>4.0583333333333469</v>
      </c>
      <c r="S48">
        <v>400</v>
      </c>
      <c r="T48" t="s">
        <v>225</v>
      </c>
      <c r="U48" t="s">
        <v>226</v>
      </c>
      <c r="V48">
        <v>2418</v>
      </c>
      <c r="W48">
        <v>56</v>
      </c>
      <c r="X48">
        <v>1271.5999999999999</v>
      </c>
      <c r="Y48">
        <v>241</v>
      </c>
      <c r="Z48">
        <v>473.5</v>
      </c>
      <c r="AA48">
        <v>684</v>
      </c>
      <c r="AB48">
        <v>1033.5</v>
      </c>
      <c r="AC48" t="s">
        <v>63</v>
      </c>
      <c r="AD48" t="s">
        <v>58</v>
      </c>
      <c r="AE48" t="s">
        <v>64</v>
      </c>
      <c r="AF48" t="s">
        <v>64</v>
      </c>
      <c r="AG48" t="s">
        <v>64</v>
      </c>
      <c r="AH48">
        <v>103</v>
      </c>
      <c r="AI48">
        <v>253.5</v>
      </c>
      <c r="AJ48">
        <v>473.5</v>
      </c>
      <c r="AK48">
        <v>786.5</v>
      </c>
      <c r="AL48">
        <v>1199.5</v>
      </c>
      <c r="AM48" t="s">
        <v>56</v>
      </c>
      <c r="AN48" t="s">
        <v>87</v>
      </c>
      <c r="AO48" t="s">
        <v>64</v>
      </c>
      <c r="AP48" t="s">
        <v>64</v>
      </c>
      <c r="AQ48" t="s">
        <v>64</v>
      </c>
      <c r="AR48">
        <v>47</v>
      </c>
      <c r="AS48">
        <f>IFERROR(INDEX(水保局全省災害資料!$X$2:$X$2000, MATCH(1, INDEX((水保局全省災害資料!$T$2:$T$2000=W48)*(水保局全省災害資料!$U$2:$U$2000=X48), 0, 1), 0)), "")</f>
        <v>0</v>
      </c>
      <c r="AT48">
        <f>IFERROR(INDEX(水保局全省災害資料!$T$2:$T$2000, MATCH(1, INDEX((水保局全省災害資料!$T$2:$T$2000=W48)*(水保局全省災害資料!$U$2:$U$2000=X48), 0, 1), 0)), "")</f>
        <v>56</v>
      </c>
      <c r="AU48">
        <f>IFERROR(INDEX(水保局全省災害資料!$U$2:$U$2000, MATCH(1, INDEX((水保局全省災害資料!$T$2:$T$2000=W48)*(水保局全省災害資料!$U$2:$U$2000=X48), 0, 1), 0)), "")</f>
        <v>1271.5999999999999</v>
      </c>
      <c r="AV48" t="str">
        <f>IFERROR(INDEX(水保局全省災害資料!$B$2:$B$2000, MATCH(1, INDEX((水保局全省災害資料!$T$2:$T$2000=W48)*(水保局全省災害資料!$U$2:$U$2000=X48), 0, 1), 0)), "")</f>
        <v>土石流 、崩塌</v>
      </c>
    </row>
    <row r="49" spans="1:48">
      <c r="A49" t="s">
        <v>220</v>
      </c>
      <c r="B49" t="s">
        <v>221</v>
      </c>
      <c r="C49" t="s">
        <v>230</v>
      </c>
      <c r="D49" t="s">
        <v>246</v>
      </c>
      <c r="E49" t="s">
        <v>247</v>
      </c>
      <c r="F49" t="s">
        <v>127</v>
      </c>
      <c r="G49">
        <v>95</v>
      </c>
      <c r="H49" t="s">
        <v>110</v>
      </c>
      <c r="I49" s="13">
        <v>38878.25</v>
      </c>
      <c r="J49">
        <v>1</v>
      </c>
      <c r="L49">
        <v>0</v>
      </c>
      <c r="M49" t="str">
        <f>IF(SUMIFS(水保局全省災害資料!$X:$X, 水保局全省災害資料!$E:$E, A49, 水保局全省災害資料!$F:$F, B49, 水保局全省災害資料!$N:$N, H49)=0, "", SUMIFS(水保局全省災害資料!$X:$X, 水保局全省災害資料!$E:$E, A49, 水保局全省災害資料!$F:$F, B49, 水保局全省災害資料!$N:$N, H49))</f>
        <v/>
      </c>
      <c r="N49">
        <v>0</v>
      </c>
      <c r="O49">
        <v>10.351966873706003</v>
      </c>
      <c r="P49" t="s">
        <v>51</v>
      </c>
      <c r="Q49">
        <v>1</v>
      </c>
      <c r="S49">
        <v>400</v>
      </c>
      <c r="T49" t="s">
        <v>233</v>
      </c>
      <c r="U49" t="s">
        <v>234</v>
      </c>
      <c r="V49">
        <v>705</v>
      </c>
      <c r="W49">
        <v>48.5</v>
      </c>
      <c r="X49">
        <v>431.6</v>
      </c>
      <c r="Y49">
        <v>80</v>
      </c>
      <c r="Z49">
        <v>103</v>
      </c>
      <c r="AA49">
        <v>176.5</v>
      </c>
      <c r="AB49">
        <v>372</v>
      </c>
      <c r="AC49" t="s">
        <v>63</v>
      </c>
      <c r="AD49" t="s">
        <v>63</v>
      </c>
      <c r="AE49" t="s">
        <v>63</v>
      </c>
      <c r="AF49" t="s">
        <v>63</v>
      </c>
      <c r="AG49" t="s">
        <v>63</v>
      </c>
      <c r="AH49">
        <v>72</v>
      </c>
      <c r="AI49">
        <v>111</v>
      </c>
      <c r="AJ49">
        <v>193</v>
      </c>
      <c r="AK49">
        <v>264.5</v>
      </c>
      <c r="AL49">
        <v>461</v>
      </c>
      <c r="AM49" t="s">
        <v>54</v>
      </c>
      <c r="AN49" t="s">
        <v>63</v>
      </c>
      <c r="AO49" t="s">
        <v>63</v>
      </c>
      <c r="AP49" t="s">
        <v>63</v>
      </c>
      <c r="AQ49" t="s">
        <v>55</v>
      </c>
      <c r="AR49">
        <v>28</v>
      </c>
      <c r="AS49">
        <f>IFERROR(INDEX(水保局全省災害資料!$X$2:$X$2000, MATCH(1, INDEX((水保局全省災害資料!$T$2:$T$2000=W49)*(水保局全省災害資料!$U$2:$U$2000=X49), 0, 1), 0)), "")</f>
        <v>0</v>
      </c>
      <c r="AT49">
        <f>IFERROR(INDEX(水保局全省災害資料!$T$2:$T$2000, MATCH(1, INDEX((水保局全省災害資料!$T$2:$T$2000=W49)*(水保局全省災害資料!$U$2:$U$2000=X49), 0, 1), 0)), "")</f>
        <v>48.5</v>
      </c>
      <c r="AU49">
        <f>IFERROR(INDEX(水保局全省災害資料!$U$2:$U$2000, MATCH(1, INDEX((水保局全省災害資料!$T$2:$T$2000=W49)*(水保局全省災害資料!$U$2:$U$2000=X49), 0, 1), 0)), "")</f>
        <v>431.6</v>
      </c>
      <c r="AV49" t="str">
        <f>IFERROR(INDEX(水保局全省災害資料!$B$2:$B$2000, MATCH(1, INDEX((水保局全省災害資料!$T$2:$T$2000=W49)*(水保局全省災害資料!$U$2:$U$2000=X49), 0, 1), 0)), "")</f>
        <v>土石流</v>
      </c>
    </row>
    <row r="50" spans="1:48">
      <c r="A50" t="s">
        <v>220</v>
      </c>
      <c r="B50" t="s">
        <v>221</v>
      </c>
      <c r="C50" t="s">
        <v>230</v>
      </c>
      <c r="D50" t="s">
        <v>246</v>
      </c>
      <c r="E50" t="s">
        <v>247</v>
      </c>
      <c r="F50" t="s">
        <v>127</v>
      </c>
      <c r="G50">
        <v>98</v>
      </c>
      <c r="H50" t="s">
        <v>153</v>
      </c>
      <c r="I50" s="13">
        <v>40033.208333333336</v>
      </c>
      <c r="J50">
        <v>2</v>
      </c>
      <c r="K50">
        <v>3.1642694063927008</v>
      </c>
      <c r="L50">
        <v>0</v>
      </c>
      <c r="M50" t="str">
        <f>IF(SUMIFS(水保局全省災害資料!$X:$X, 水保局全省災害資料!$E:$E, A50, 水保局全省災害資料!$F:$F, B50, 水保局全省災害資料!$N:$N, H50)=0, "", SUMIFS(水保局全省災害資料!$X:$X, 水保局全省災害資料!$E:$E, A50, 水保局全省災害資料!$F:$F, B50, 水保局全省災害資料!$N:$N, H50))</f>
        <v/>
      </c>
      <c r="N50">
        <v>0</v>
      </c>
      <c r="O50">
        <v>12.629399585921325</v>
      </c>
      <c r="P50" t="s">
        <v>51</v>
      </c>
      <c r="Q50">
        <v>2</v>
      </c>
      <c r="R50">
        <v>3.1642694063927008</v>
      </c>
      <c r="S50">
        <v>400</v>
      </c>
      <c r="T50" t="s">
        <v>233</v>
      </c>
      <c r="U50" t="s">
        <v>234</v>
      </c>
      <c r="V50">
        <v>1211</v>
      </c>
      <c r="W50">
        <v>32.5</v>
      </c>
      <c r="X50">
        <v>534.5</v>
      </c>
      <c r="Y50">
        <v>98</v>
      </c>
      <c r="Z50">
        <v>145</v>
      </c>
      <c r="AA50">
        <v>220</v>
      </c>
      <c r="AB50">
        <v>320</v>
      </c>
      <c r="AC50" t="s">
        <v>63</v>
      </c>
      <c r="AD50" t="s">
        <v>63</v>
      </c>
      <c r="AE50" t="s">
        <v>63</v>
      </c>
      <c r="AF50" t="s">
        <v>63</v>
      </c>
      <c r="AG50" t="s">
        <v>63</v>
      </c>
      <c r="AH50">
        <v>52.5</v>
      </c>
      <c r="AI50">
        <v>124</v>
      </c>
      <c r="AJ50">
        <v>244</v>
      </c>
      <c r="AK50">
        <v>416</v>
      </c>
      <c r="AL50">
        <v>743</v>
      </c>
      <c r="AM50" t="s">
        <v>63</v>
      </c>
      <c r="AN50" t="s">
        <v>63</v>
      </c>
      <c r="AO50" t="s">
        <v>55</v>
      </c>
      <c r="AP50" t="s">
        <v>56</v>
      </c>
      <c r="AQ50" t="s">
        <v>87</v>
      </c>
      <c r="AR50">
        <v>32</v>
      </c>
      <c r="AS50">
        <f>IFERROR(INDEX(水保局全省災害資料!$X$2:$X$2000, MATCH(1, INDEX((水保局全省災害資料!$T$2:$T$2000=W50)*(水保局全省災害資料!$U$2:$U$2000=X50), 0, 1), 0)), "")</f>
        <v>0</v>
      </c>
      <c r="AT50">
        <f>IFERROR(INDEX(水保局全省災害資料!$T$2:$T$2000, MATCH(1, INDEX((水保局全省災害資料!$T$2:$T$2000=W50)*(水保局全省災害資料!$U$2:$U$2000=X50), 0, 1), 0)), "")</f>
        <v>32.5</v>
      </c>
      <c r="AU50">
        <f>IFERROR(INDEX(水保局全省災害資料!$U$2:$U$2000, MATCH(1, INDEX((水保局全省災害資料!$T$2:$T$2000=W50)*(水保局全省災害資料!$U$2:$U$2000=X50), 0, 1), 0)), "")</f>
        <v>534.5</v>
      </c>
      <c r="AV50" t="str">
        <f>IFERROR(INDEX(水保局全省災害資料!$B$2:$B$2000, MATCH(1, INDEX((水保局全省災害資料!$T$2:$T$2000=W50)*(水保局全省災害資料!$U$2:$U$2000=X50), 0, 1), 0)), "")</f>
        <v>土石流</v>
      </c>
    </row>
    <row r="51" spans="1:48">
      <c r="A51" t="s">
        <v>220</v>
      </c>
      <c r="B51" t="s">
        <v>221</v>
      </c>
      <c r="C51" t="s">
        <v>230</v>
      </c>
      <c r="D51" t="s">
        <v>246</v>
      </c>
      <c r="E51" t="s">
        <v>247</v>
      </c>
      <c r="F51" t="s">
        <v>127</v>
      </c>
      <c r="G51">
        <v>99</v>
      </c>
      <c r="H51" t="s">
        <v>237</v>
      </c>
      <c r="I51" s="13">
        <v>40440.875</v>
      </c>
      <c r="J51">
        <v>3</v>
      </c>
      <c r="K51">
        <v>1.1168949771689431</v>
      </c>
      <c r="L51">
        <v>0.9</v>
      </c>
      <c r="M51" t="str">
        <f>IF(SUMIFS(水保局全省災害資料!$X:$X, 水保局全省災害資料!$E:$E, A51, 水保局全省災害資料!$F:$F, B51, 水保局全省災害資料!$N:$N, H51)=0, "", SUMIFS(水保局全省災害資料!$X:$X, 水保局全省災害資料!$E:$E, A51, 水保局全省災害資料!$F:$F, B51, 水保局全省災害資料!$N:$N, H51))</f>
        <v/>
      </c>
      <c r="N51">
        <v>4.658385093167702</v>
      </c>
      <c r="O51">
        <v>7.0482246376811597</v>
      </c>
      <c r="P51" t="s">
        <v>51</v>
      </c>
      <c r="Q51">
        <v>3</v>
      </c>
      <c r="R51">
        <v>1.1168949771689431</v>
      </c>
      <c r="S51">
        <v>200</v>
      </c>
      <c r="T51" t="s">
        <v>233</v>
      </c>
      <c r="U51" t="s">
        <v>234</v>
      </c>
      <c r="V51">
        <v>584.5</v>
      </c>
      <c r="W51">
        <v>22</v>
      </c>
      <c r="X51">
        <v>482.5</v>
      </c>
      <c r="Y51">
        <v>165.5</v>
      </c>
      <c r="Z51">
        <v>234</v>
      </c>
      <c r="AA51">
        <v>398.5</v>
      </c>
      <c r="AB51">
        <v>479.5</v>
      </c>
      <c r="AC51" t="s">
        <v>63</v>
      </c>
      <c r="AD51" t="s">
        <v>55</v>
      </c>
      <c r="AE51" t="s">
        <v>54</v>
      </c>
      <c r="AF51" t="s">
        <v>56</v>
      </c>
      <c r="AG51" t="s">
        <v>55</v>
      </c>
      <c r="AH51">
        <v>72</v>
      </c>
      <c r="AI51">
        <v>184.5</v>
      </c>
      <c r="AJ51">
        <v>262.5</v>
      </c>
      <c r="AK51">
        <v>411</v>
      </c>
      <c r="AL51">
        <v>584.5</v>
      </c>
      <c r="AM51" t="s">
        <v>54</v>
      </c>
      <c r="AN51" t="s">
        <v>56</v>
      </c>
      <c r="AO51" t="s">
        <v>55</v>
      </c>
      <c r="AP51" t="s">
        <v>56</v>
      </c>
      <c r="AQ51" t="s">
        <v>57</v>
      </c>
      <c r="AR51">
        <v>19</v>
      </c>
      <c r="AS51">
        <f>IFERROR(INDEX(水保局全省災害資料!$X$2:$X$2000, MATCH(1, INDEX((水保局全省災害資料!$T$2:$T$2000=W51)*(水保局全省災害資料!$U$2:$U$2000=X51), 0, 1), 0)), "")</f>
        <v>0</v>
      </c>
      <c r="AT51">
        <f>IFERROR(INDEX(水保局全省災害資料!$T$2:$T$2000, MATCH(1, INDEX((水保局全省災害資料!$T$2:$T$2000=W51)*(水保局全省災害資料!$U$2:$U$2000=X51), 0, 1), 0)), "")</f>
        <v>22</v>
      </c>
      <c r="AU51">
        <f>IFERROR(INDEX(水保局全省災害資料!$U$2:$U$2000, MATCH(1, INDEX((水保局全省災害資料!$T$2:$T$2000=W51)*(水保局全省災害資料!$U$2:$U$2000=X51), 0, 1), 0)), "")</f>
        <v>482.5</v>
      </c>
      <c r="AV51" t="str">
        <f>IFERROR(INDEX(水保局全省災害資料!$B$2:$B$2000, MATCH(1, INDEX((水保局全省災害資料!$T$2:$T$2000=W51)*(水保局全省災害資料!$U$2:$U$2000=X51), 0, 1), 0)), "")</f>
        <v>土石流</v>
      </c>
    </row>
    <row r="52" spans="1:48">
      <c r="A52" t="s">
        <v>220</v>
      </c>
      <c r="B52" t="s">
        <v>221</v>
      </c>
      <c r="C52" t="s">
        <v>248</v>
      </c>
      <c r="D52" t="s">
        <v>249</v>
      </c>
      <c r="E52" t="s">
        <v>250</v>
      </c>
      <c r="F52" t="s">
        <v>48</v>
      </c>
      <c r="G52">
        <v>98</v>
      </c>
      <c r="H52" t="s">
        <v>153</v>
      </c>
      <c r="I52" s="13">
        <v>40034.166666666664</v>
      </c>
      <c r="J52">
        <v>1</v>
      </c>
      <c r="L52">
        <v>0</v>
      </c>
      <c r="M52" t="str">
        <f>IF(SUMIFS(水保局全省災害資料!$X:$X, 水保局全省災害資料!$E:$E, A52, 水保局全省災害資料!$F:$F, B52, 水保局全省災害資料!$N:$N, H52)=0, "", SUMIFS(水保局全省災害資料!$X:$X, 水保局全省災害資料!$E:$E, A52, 水保局全省災害資料!$F:$F, B52, 水保局全省災害資料!$N:$N, H52))</f>
        <v/>
      </c>
      <c r="N52">
        <v>0</v>
      </c>
      <c r="O52">
        <v>5.3664685755447508</v>
      </c>
      <c r="P52" t="s">
        <v>51</v>
      </c>
      <c r="Q52">
        <v>1</v>
      </c>
      <c r="S52">
        <v>400</v>
      </c>
      <c r="T52" t="s">
        <v>225</v>
      </c>
      <c r="U52" t="s">
        <v>226</v>
      </c>
      <c r="V52">
        <v>2418</v>
      </c>
      <c r="W52">
        <v>29.5</v>
      </c>
      <c r="X52">
        <v>1615</v>
      </c>
      <c r="Y52">
        <v>66</v>
      </c>
      <c r="Z52">
        <v>178</v>
      </c>
      <c r="AA52">
        <v>611.5</v>
      </c>
      <c r="AB52">
        <v>1174.5</v>
      </c>
      <c r="AC52" t="s">
        <v>63</v>
      </c>
      <c r="AD52" t="s">
        <v>63</v>
      </c>
      <c r="AE52" t="s">
        <v>63</v>
      </c>
      <c r="AF52" t="s">
        <v>64</v>
      </c>
      <c r="AG52" t="s">
        <v>64</v>
      </c>
      <c r="AH52">
        <v>103</v>
      </c>
      <c r="AI52">
        <v>253.5</v>
      </c>
      <c r="AJ52">
        <v>473.5</v>
      </c>
      <c r="AK52">
        <v>786.5</v>
      </c>
      <c r="AL52">
        <v>1199.5</v>
      </c>
      <c r="AM52" t="s">
        <v>56</v>
      </c>
      <c r="AN52" t="s">
        <v>87</v>
      </c>
      <c r="AO52" t="s">
        <v>64</v>
      </c>
      <c r="AP52" t="s">
        <v>64</v>
      </c>
      <c r="AQ52" t="s">
        <v>64</v>
      </c>
      <c r="AR52">
        <v>55</v>
      </c>
      <c r="AS52" t="str">
        <f>IFERROR(INDEX(水保局全省災害資料!$X$2:$X$2000, MATCH(1, INDEX((水保局全省災害資料!$T$2:$T$2000=W52)*(水保局全省災害資料!$U$2:$U$2000=X52), 0, 1), 0)), "")</f>
        <v/>
      </c>
      <c r="AT52" t="str">
        <f>IFERROR(INDEX(水保局全省災害資料!$T$2:$T$2000, MATCH(1, INDEX((水保局全省災害資料!$T$2:$T$2000=W52)*(水保局全省災害資料!$U$2:$U$2000=X52), 0, 1), 0)), "")</f>
        <v/>
      </c>
      <c r="AU52" t="str">
        <f>IFERROR(INDEX(水保局全省災害資料!$U$2:$U$2000, MATCH(1, INDEX((水保局全省災害資料!$T$2:$T$2000=W52)*(水保局全省災害資料!$U$2:$U$2000=X52), 0, 1), 0)), "")</f>
        <v/>
      </c>
      <c r="AV52" t="str">
        <f>IFERROR(INDEX(水保局全省災害資料!$B$2:$B$2000, MATCH(1, INDEX((水保局全省災害資料!$T$2:$T$2000=W52)*(水保局全省災害資料!$U$2:$U$2000=X52), 0, 1), 0)), "")</f>
        <v/>
      </c>
    </row>
    <row r="53" spans="1:48">
      <c r="A53" t="s">
        <v>220</v>
      </c>
      <c r="B53" t="s">
        <v>221</v>
      </c>
      <c r="C53" t="s">
        <v>248</v>
      </c>
      <c r="D53" t="s">
        <v>249</v>
      </c>
      <c r="E53" t="s">
        <v>250</v>
      </c>
      <c r="F53" t="s">
        <v>48</v>
      </c>
      <c r="G53">
        <v>101</v>
      </c>
      <c r="H53" t="s">
        <v>159</v>
      </c>
      <c r="I53" s="13">
        <v>41070.583333333336</v>
      </c>
      <c r="J53">
        <v>2</v>
      </c>
      <c r="K53">
        <v>2.8394977168949906</v>
      </c>
      <c r="L53">
        <v>0.6</v>
      </c>
      <c r="M53" t="str">
        <f>IF(SUMIFS(水保局全省災害資料!$X:$X, 水保局全省災害資料!$E:$E, A53, 水保局全省災害資料!$F:$F, B53, 水保局全省災害資料!$N:$N, H53)=0, "", SUMIFS(水保局全省災害資料!$X:$X, 水保局全省災害資料!$E:$E, A53, 水保局全省災害資料!$F:$F, B53, 水保局全省災害資料!$N:$N, H53))</f>
        <v/>
      </c>
      <c r="N53">
        <v>0.5402485143165856</v>
      </c>
      <c r="O53">
        <v>0.18908698001080496</v>
      </c>
      <c r="P53" t="s">
        <v>51</v>
      </c>
      <c r="Q53">
        <v>2</v>
      </c>
      <c r="R53">
        <v>2.8394977168949906</v>
      </c>
      <c r="S53">
        <v>250</v>
      </c>
      <c r="T53" t="s">
        <v>225</v>
      </c>
      <c r="U53" t="s">
        <v>226</v>
      </c>
      <c r="V53">
        <v>1141.5</v>
      </c>
      <c r="W53">
        <v>19.5</v>
      </c>
      <c r="X53">
        <v>312.60000000000002</v>
      </c>
      <c r="Y53">
        <v>29</v>
      </c>
      <c r="Z53">
        <v>136.5</v>
      </c>
      <c r="AA53">
        <v>230</v>
      </c>
      <c r="AB53">
        <v>283.5</v>
      </c>
      <c r="AC53" t="s">
        <v>63</v>
      </c>
      <c r="AD53" t="s">
        <v>63</v>
      </c>
      <c r="AE53" t="s">
        <v>63</v>
      </c>
      <c r="AF53" t="s">
        <v>63</v>
      </c>
      <c r="AG53" t="s">
        <v>63</v>
      </c>
      <c r="AH53">
        <v>65.5</v>
      </c>
      <c r="AI53">
        <v>122</v>
      </c>
      <c r="AJ53">
        <v>171</v>
      </c>
      <c r="AK53">
        <v>260</v>
      </c>
      <c r="AL53">
        <v>422</v>
      </c>
      <c r="AM53" t="s">
        <v>63</v>
      </c>
      <c r="AN53" t="s">
        <v>63</v>
      </c>
      <c r="AO53" t="s">
        <v>63</v>
      </c>
      <c r="AP53" t="s">
        <v>63</v>
      </c>
      <c r="AQ53" t="s">
        <v>54</v>
      </c>
      <c r="AR53">
        <v>23</v>
      </c>
      <c r="AS53" t="str">
        <f>IFERROR(INDEX(水保局全省災害資料!$X$2:$X$2000, MATCH(1, INDEX((水保局全省災害資料!$T$2:$T$2000=W53)*(水保局全省災害資料!$U$2:$U$2000=X53), 0, 1), 0)), "")</f>
        <v/>
      </c>
      <c r="AT53" t="str">
        <f>IFERROR(INDEX(水保局全省災害資料!$T$2:$T$2000, MATCH(1, INDEX((水保局全省災害資料!$T$2:$T$2000=W53)*(水保局全省災害資料!$U$2:$U$2000=X53), 0, 1), 0)), "")</f>
        <v/>
      </c>
      <c r="AU53" t="str">
        <f>IFERROR(INDEX(水保局全省災害資料!$U$2:$U$2000, MATCH(1, INDEX((水保局全省災害資料!$T$2:$T$2000=W53)*(水保局全省災害資料!$U$2:$U$2000=X53), 0, 1), 0)), "")</f>
        <v/>
      </c>
      <c r="AV53" t="str">
        <f>IFERROR(INDEX(水保局全省災害資料!$B$2:$B$2000, MATCH(1, INDEX((水保局全省災害資料!$T$2:$T$2000=W53)*(水保局全省災害資料!$U$2:$U$2000=X53), 0, 1), 0)), "")</f>
        <v/>
      </c>
    </row>
    <row r="54" spans="1:48">
      <c r="A54" t="s">
        <v>220</v>
      </c>
      <c r="B54" t="s">
        <v>221</v>
      </c>
      <c r="C54" t="s">
        <v>251</v>
      </c>
      <c r="D54" t="s">
        <v>252</v>
      </c>
      <c r="E54" t="s">
        <v>253</v>
      </c>
      <c r="F54" t="s">
        <v>48</v>
      </c>
      <c r="G54">
        <v>98</v>
      </c>
      <c r="H54" t="s">
        <v>153</v>
      </c>
      <c r="I54" s="13">
        <v>40034.958333333336</v>
      </c>
      <c r="J54">
        <v>1</v>
      </c>
      <c r="L54">
        <v>0</v>
      </c>
      <c r="M54" t="str">
        <f>IF(SUMIFS(水保局全省災害資料!$X:$X, 水保局全省災害資料!$E:$E, A54, 水保局全省災害資料!$F:$F, B54, 水保局全省災害資料!$N:$N, H54)=0, "", SUMIFS(水保局全省災害資料!$X:$X, 水保局全省災害資料!$E:$E, A54, 水保局全省災害資料!$F:$F, B54, 水保局全省災害資料!$N:$N, H54))</f>
        <v/>
      </c>
      <c r="N54">
        <v>0</v>
      </c>
      <c r="O54">
        <v>5.8207217694994178</v>
      </c>
      <c r="P54" t="s">
        <v>51</v>
      </c>
      <c r="Q54">
        <v>1</v>
      </c>
      <c r="S54">
        <v>400</v>
      </c>
      <c r="T54" t="s">
        <v>225</v>
      </c>
      <c r="U54" t="s">
        <v>226</v>
      </c>
      <c r="V54">
        <v>2418</v>
      </c>
      <c r="W54">
        <v>14.5</v>
      </c>
      <c r="X54">
        <v>1937</v>
      </c>
      <c r="Y54">
        <v>37</v>
      </c>
      <c r="Z54">
        <v>49.5</v>
      </c>
      <c r="AA54">
        <v>136.5</v>
      </c>
      <c r="AB54">
        <v>448</v>
      </c>
      <c r="AC54" t="s">
        <v>63</v>
      </c>
      <c r="AD54" t="s">
        <v>63</v>
      </c>
      <c r="AE54" t="s">
        <v>63</v>
      </c>
      <c r="AF54" t="s">
        <v>63</v>
      </c>
      <c r="AG54" t="s">
        <v>54</v>
      </c>
      <c r="AH54">
        <v>103</v>
      </c>
      <c r="AI54">
        <v>253.5</v>
      </c>
      <c r="AJ54">
        <v>473.5</v>
      </c>
      <c r="AK54">
        <v>786.5</v>
      </c>
      <c r="AL54">
        <v>1199.5</v>
      </c>
      <c r="AM54" t="s">
        <v>56</v>
      </c>
      <c r="AN54" t="s">
        <v>87</v>
      </c>
      <c r="AO54" t="s">
        <v>64</v>
      </c>
      <c r="AP54" t="s">
        <v>64</v>
      </c>
      <c r="AQ54" t="s">
        <v>64</v>
      </c>
      <c r="AR54">
        <v>74</v>
      </c>
      <c r="AS54" t="str">
        <f>IFERROR(INDEX(水保局全省災害資料!$X$2:$X$2000, MATCH(1, INDEX((水保局全省災害資料!$T$2:$T$2000=W54)*(水保局全省災害資料!$U$2:$U$2000=X54), 0, 1), 0)), "")</f>
        <v/>
      </c>
      <c r="AT54" t="str">
        <f>IFERROR(INDEX(水保局全省災害資料!$T$2:$T$2000, MATCH(1, INDEX((水保局全省災害資料!$T$2:$T$2000=W54)*(水保局全省災害資料!$U$2:$U$2000=X54), 0, 1), 0)), "")</f>
        <v/>
      </c>
      <c r="AU54" t="str">
        <f>IFERROR(INDEX(水保局全省災害資料!$U$2:$U$2000, MATCH(1, INDEX((水保局全省災害資料!$T$2:$T$2000=W54)*(水保局全省災害資料!$U$2:$U$2000=X54), 0, 1), 0)), "")</f>
        <v/>
      </c>
      <c r="AV54" t="str">
        <f>IFERROR(INDEX(水保局全省災害資料!$B$2:$B$2000, MATCH(1, INDEX((水保局全省災害資料!$T$2:$T$2000=W54)*(水保局全省災害資料!$U$2:$U$2000=X54), 0, 1), 0)), "")</f>
        <v/>
      </c>
    </row>
    <row r="55" spans="1:48">
      <c r="A55" t="s">
        <v>220</v>
      </c>
      <c r="B55" t="s">
        <v>221</v>
      </c>
      <c r="C55" t="s">
        <v>251</v>
      </c>
      <c r="D55" t="s">
        <v>252</v>
      </c>
      <c r="E55" t="s">
        <v>253</v>
      </c>
      <c r="F55" t="s">
        <v>48</v>
      </c>
      <c r="G55">
        <v>99</v>
      </c>
      <c r="H55" t="s">
        <v>237</v>
      </c>
      <c r="I55" s="13">
        <v>40440.875</v>
      </c>
      <c r="J55">
        <v>2</v>
      </c>
      <c r="K55">
        <v>1.112100456620998</v>
      </c>
      <c r="L55">
        <v>2.4700000000000002</v>
      </c>
      <c r="M55" t="str">
        <f>IF(SUMIFS(水保局全省災害資料!$X:$X, 水保局全省災害資料!$E:$E, A55, 水保局全省災害資料!$F:$F, B55, 水保局全省災害資料!$N:$N, H55)=0, "", SUMIFS(水保局全省災害資料!$X:$X, 水保局全省災害資料!$E:$E, A55, 水保局全省災害資料!$F:$F, B55, 水保局全省災害資料!$N:$N, H55))</f>
        <v/>
      </c>
      <c r="N55">
        <v>5.7508731082654254</v>
      </c>
      <c r="O55">
        <v>5.7741559953434223</v>
      </c>
      <c r="P55" t="s">
        <v>51</v>
      </c>
      <c r="Q55">
        <v>2</v>
      </c>
      <c r="R55">
        <v>1.112100456620998</v>
      </c>
      <c r="S55">
        <v>200</v>
      </c>
      <c r="T55" t="s">
        <v>225</v>
      </c>
      <c r="U55" t="s">
        <v>226</v>
      </c>
      <c r="V55">
        <v>510</v>
      </c>
      <c r="W55">
        <v>27</v>
      </c>
      <c r="X55">
        <v>444.4</v>
      </c>
      <c r="Y55">
        <v>140.5</v>
      </c>
      <c r="Z55">
        <v>164</v>
      </c>
      <c r="AA55">
        <v>290</v>
      </c>
      <c r="AB55">
        <v>290</v>
      </c>
      <c r="AC55" t="s">
        <v>63</v>
      </c>
      <c r="AD55" t="s">
        <v>54</v>
      </c>
      <c r="AE55" t="s">
        <v>63</v>
      </c>
      <c r="AF55" t="s">
        <v>54</v>
      </c>
      <c r="AG55" t="s">
        <v>63</v>
      </c>
      <c r="AH55">
        <v>66.5</v>
      </c>
      <c r="AI55">
        <v>140.5</v>
      </c>
      <c r="AJ55">
        <v>201</v>
      </c>
      <c r="AK55">
        <v>290</v>
      </c>
      <c r="AL55">
        <v>510</v>
      </c>
      <c r="AM55" t="s">
        <v>63</v>
      </c>
      <c r="AN55" t="s">
        <v>54</v>
      </c>
      <c r="AO55" t="s">
        <v>63</v>
      </c>
      <c r="AP55" t="s">
        <v>54</v>
      </c>
      <c r="AQ55" t="s">
        <v>55</v>
      </c>
      <c r="AR55">
        <v>19</v>
      </c>
      <c r="AS55" t="str">
        <f>IFERROR(INDEX(水保局全省災害資料!$X$2:$X$2000, MATCH(1, INDEX((水保局全省災害資料!$T$2:$T$2000=W55)*(水保局全省災害資料!$U$2:$U$2000=X55), 0, 1), 0)), "")</f>
        <v/>
      </c>
      <c r="AT55" t="str">
        <f>IFERROR(INDEX(水保局全省災害資料!$T$2:$T$2000, MATCH(1, INDEX((水保局全省災害資料!$T$2:$T$2000=W55)*(水保局全省災害資料!$U$2:$U$2000=X55), 0, 1), 0)), "")</f>
        <v/>
      </c>
      <c r="AU55" t="str">
        <f>IFERROR(INDEX(水保局全省災害資料!$U$2:$U$2000, MATCH(1, INDEX((水保局全省災害資料!$T$2:$T$2000=W55)*(水保局全省災害資料!$U$2:$U$2000=X55), 0, 1), 0)), "")</f>
        <v/>
      </c>
      <c r="AV55" t="str">
        <f>IFERROR(INDEX(水保局全省災害資料!$B$2:$B$2000, MATCH(1, INDEX((水保局全省災害資料!$T$2:$T$2000=W55)*(水保局全省災害資料!$U$2:$U$2000=X55), 0, 1), 0)), "")</f>
        <v/>
      </c>
    </row>
    <row r="56" spans="1:48">
      <c r="A56" t="s">
        <v>220</v>
      </c>
      <c r="B56" t="s">
        <v>221</v>
      </c>
      <c r="C56" t="s">
        <v>251</v>
      </c>
      <c r="D56" t="s">
        <v>252</v>
      </c>
      <c r="E56" t="s">
        <v>253</v>
      </c>
      <c r="F56" t="s">
        <v>48</v>
      </c>
      <c r="G56">
        <v>102</v>
      </c>
      <c r="H56" t="s">
        <v>172</v>
      </c>
      <c r="I56" s="13">
        <v>41468.708333333336</v>
      </c>
      <c r="J56">
        <v>3</v>
      </c>
      <c r="K56">
        <v>2.815981735159824</v>
      </c>
      <c r="L56">
        <v>0.98699999999999999</v>
      </c>
      <c r="M56" t="str">
        <f>IF(SUMIFS(水保局全省災害資料!$X:$X, 水保局全省災害資料!$E:$E, A56, 水保局全省災害資料!$F:$F, B56, 水保局全省災害資料!$N:$N, H56)=0, "", SUMIFS(水保局全省災害資料!$X:$X, 水保局全省災害資料!$E:$E, A56, 水保局全省災害資料!$F:$F, B56, 水保局全省災害資料!$N:$N, H56))</f>
        <v/>
      </c>
      <c r="N56">
        <v>2.2980209545983699</v>
      </c>
      <c r="O56">
        <v>2.1327124563445867</v>
      </c>
      <c r="P56" t="s">
        <v>51</v>
      </c>
      <c r="Q56">
        <v>3</v>
      </c>
      <c r="R56">
        <v>2.815981735159824</v>
      </c>
      <c r="S56">
        <v>250</v>
      </c>
      <c r="T56" t="s">
        <v>225</v>
      </c>
      <c r="U56" t="s">
        <v>226</v>
      </c>
      <c r="V56">
        <v>332</v>
      </c>
      <c r="W56">
        <v>0.5</v>
      </c>
      <c r="X56">
        <v>344.2</v>
      </c>
      <c r="Y56">
        <v>0.5</v>
      </c>
      <c r="Z56">
        <v>14.5</v>
      </c>
      <c r="AA56">
        <v>237</v>
      </c>
      <c r="AB56">
        <v>332</v>
      </c>
      <c r="AC56" t="s">
        <v>63</v>
      </c>
      <c r="AD56" t="s">
        <v>63</v>
      </c>
      <c r="AE56" t="s">
        <v>63</v>
      </c>
      <c r="AF56" t="s">
        <v>63</v>
      </c>
      <c r="AG56" t="s">
        <v>63</v>
      </c>
      <c r="AH56">
        <v>57</v>
      </c>
      <c r="AI56">
        <v>128</v>
      </c>
      <c r="AJ56">
        <v>222.5</v>
      </c>
      <c r="AK56">
        <v>316.5</v>
      </c>
      <c r="AL56">
        <v>332</v>
      </c>
      <c r="AM56" t="s">
        <v>63</v>
      </c>
      <c r="AN56" t="s">
        <v>63</v>
      </c>
      <c r="AO56" t="s">
        <v>54</v>
      </c>
      <c r="AP56" t="s">
        <v>54</v>
      </c>
      <c r="AQ56" t="s">
        <v>63</v>
      </c>
      <c r="AR56">
        <v>17</v>
      </c>
      <c r="AS56">
        <f>IFERROR(INDEX(水保局全省災害資料!$X$2:$X$2000, MATCH(1, INDEX((水保局全省災害資料!$T$2:$T$2000=W56)*(水保局全省災害資料!$U$2:$U$2000=X56), 0, 1), 0)), "")</f>
        <v>0</v>
      </c>
      <c r="AT56">
        <f>IFERROR(INDEX(水保局全省災害資料!$T$2:$T$2000, MATCH(1, INDEX((水保局全省災害資料!$T$2:$T$2000=W56)*(水保局全省災害資料!$U$2:$U$2000=X56), 0, 1), 0)), "")</f>
        <v>0.5</v>
      </c>
      <c r="AU56">
        <f>IFERROR(INDEX(水保局全省災害資料!$U$2:$U$2000, MATCH(1, INDEX((水保局全省災害資料!$T$2:$T$2000=W56)*(水保局全省災害資料!$U$2:$U$2000=X56), 0, 1), 0)), "")</f>
        <v>344.2</v>
      </c>
      <c r="AV56" t="str">
        <f>IFERROR(INDEX(水保局全省災害資料!$B$2:$B$2000, MATCH(1, INDEX((水保局全省災害資料!$T$2:$T$2000=W56)*(水保局全省災害資料!$U$2:$U$2000=X56), 0, 1), 0)), "")</f>
        <v>洪水</v>
      </c>
    </row>
    <row r="57" spans="1:48">
      <c r="A57" t="s">
        <v>220</v>
      </c>
      <c r="B57" t="s">
        <v>221</v>
      </c>
      <c r="C57" t="s">
        <v>251</v>
      </c>
      <c r="D57" t="s">
        <v>252</v>
      </c>
      <c r="E57" t="s">
        <v>253</v>
      </c>
      <c r="F57" t="s">
        <v>48</v>
      </c>
      <c r="G57">
        <v>105</v>
      </c>
      <c r="H57" t="s">
        <v>254</v>
      </c>
      <c r="I57" s="13">
        <v>42640.916666666664</v>
      </c>
      <c r="J57">
        <v>4</v>
      </c>
      <c r="K57">
        <v>3.2115296803652833</v>
      </c>
      <c r="L57">
        <v>0.52200000000000002</v>
      </c>
      <c r="M57" t="str">
        <f>IF(SUMIFS(水保局全省災害資料!$X:$X, 水保局全省災害資料!$E:$E, A57, 水保局全省災害資料!$F:$F, B57, 水保局全省災害資料!$N:$N, H57)=0, "", SUMIFS(水保局全省災害資料!$X:$X, 水保局全省災害資料!$E:$E, A57, 水保局全省災害資料!$F:$F, B57, 水保局全省災害資料!$N:$N, H57))</f>
        <v/>
      </c>
      <c r="N57">
        <v>1.2153667054714785</v>
      </c>
      <c r="O57">
        <v>1.2107101280558787</v>
      </c>
      <c r="P57" t="s">
        <v>51</v>
      </c>
      <c r="Q57">
        <v>4</v>
      </c>
      <c r="R57">
        <v>3.2115296803652833</v>
      </c>
      <c r="S57">
        <v>300</v>
      </c>
      <c r="T57" t="s">
        <v>255</v>
      </c>
      <c r="U57" t="s">
        <v>256</v>
      </c>
      <c r="V57">
        <v>649</v>
      </c>
      <c r="W57">
        <v>73.5</v>
      </c>
      <c r="X57">
        <v>254.1</v>
      </c>
      <c r="Y57">
        <v>137</v>
      </c>
      <c r="Z57">
        <v>220.5</v>
      </c>
      <c r="AA57">
        <v>301</v>
      </c>
      <c r="AB57">
        <v>310</v>
      </c>
      <c r="AC57" t="s">
        <v>54</v>
      </c>
      <c r="AD57" t="s">
        <v>54</v>
      </c>
      <c r="AE57" t="s">
        <v>55</v>
      </c>
      <c r="AF57" t="s">
        <v>55</v>
      </c>
      <c r="AG57" t="s">
        <v>63</v>
      </c>
      <c r="AH57">
        <v>73.5</v>
      </c>
      <c r="AI57">
        <v>172.5</v>
      </c>
      <c r="AJ57">
        <v>247</v>
      </c>
      <c r="AK57">
        <v>455.5</v>
      </c>
      <c r="AL57">
        <v>649</v>
      </c>
      <c r="AM57" t="s">
        <v>54</v>
      </c>
      <c r="AN57" t="s">
        <v>56</v>
      </c>
      <c r="AO57" t="s">
        <v>56</v>
      </c>
      <c r="AP57" t="s">
        <v>87</v>
      </c>
      <c r="AQ57" t="s">
        <v>64</v>
      </c>
      <c r="AR57">
        <v>12</v>
      </c>
      <c r="AS57" t="str">
        <f>IFERROR(INDEX(水保局全省災害資料!$X$2:$X$2000, MATCH(1, INDEX((水保局全省災害資料!$T$2:$T$2000=W57)*(水保局全省災害資料!$U$2:$U$2000=X57), 0, 1), 0)), "")</f>
        <v/>
      </c>
      <c r="AT57" t="str">
        <f>IFERROR(INDEX(水保局全省災害資料!$T$2:$T$2000, MATCH(1, INDEX((水保局全省災害資料!$T$2:$T$2000=W57)*(水保局全省災害資料!$U$2:$U$2000=X57), 0, 1), 0)), "")</f>
        <v/>
      </c>
      <c r="AU57" t="str">
        <f>IFERROR(INDEX(水保局全省災害資料!$U$2:$U$2000, MATCH(1, INDEX((水保局全省災害資料!$T$2:$T$2000=W57)*(水保局全省災害資料!$U$2:$U$2000=X57), 0, 1), 0)), "")</f>
        <v/>
      </c>
      <c r="AV57" t="str">
        <f>IFERROR(INDEX(水保局全省災害資料!$B$2:$B$2000, MATCH(1, INDEX((水保局全省災害資料!$T$2:$T$2000=W57)*(水保局全省災害資料!$U$2:$U$2000=X57), 0, 1), 0)), "")</f>
        <v/>
      </c>
    </row>
    <row r="58" spans="1:48">
      <c r="A58" t="s">
        <v>220</v>
      </c>
      <c r="B58" t="s">
        <v>221</v>
      </c>
      <c r="C58" t="s">
        <v>238</v>
      </c>
      <c r="D58" t="s">
        <v>257</v>
      </c>
      <c r="F58" t="s">
        <v>127</v>
      </c>
      <c r="G58">
        <v>110</v>
      </c>
      <c r="H58" t="s">
        <v>258</v>
      </c>
      <c r="I58" s="13">
        <v>44410.375</v>
      </c>
      <c r="J58">
        <v>1</v>
      </c>
      <c r="L58">
        <v>0</v>
      </c>
      <c r="M58">
        <f>IF(SUMIFS(水保局全省災害資料!$X:$X, 水保局全省災害資料!$E:$E, A58, 水保局全省災害資料!$F:$F, B58, 水保局全省災害資料!$N:$N, H58)=0, "", SUMIFS(水保局全省災害資料!$X:$X, 水保局全省災害資料!$E:$E, A58, 水保局全省災害資料!$F:$F, B58, 水保局全省災害資料!$N:$N, H58))</f>
        <v>0.21</v>
      </c>
      <c r="N58">
        <v>0</v>
      </c>
      <c r="O58">
        <v>1.0318142734307822</v>
      </c>
      <c r="P58" t="s">
        <v>51</v>
      </c>
      <c r="Q58">
        <v>1</v>
      </c>
      <c r="S58">
        <v>350</v>
      </c>
      <c r="T58" t="s">
        <v>241</v>
      </c>
      <c r="U58" t="s">
        <v>242</v>
      </c>
      <c r="V58">
        <v>95.5</v>
      </c>
      <c r="W58">
        <v>8.5</v>
      </c>
      <c r="X58">
        <v>484.8</v>
      </c>
      <c r="Y58">
        <v>14.5</v>
      </c>
      <c r="Z58">
        <v>28.5</v>
      </c>
      <c r="AA58">
        <v>54.5</v>
      </c>
      <c r="AB58">
        <v>54.5</v>
      </c>
      <c r="AC58" t="s">
        <v>63</v>
      </c>
      <c r="AD58" t="s">
        <v>63</v>
      </c>
      <c r="AE58" t="s">
        <v>63</v>
      </c>
      <c r="AF58" t="s">
        <v>63</v>
      </c>
      <c r="AG58" t="s">
        <v>63</v>
      </c>
      <c r="AH58">
        <v>19</v>
      </c>
      <c r="AI58">
        <v>25.5</v>
      </c>
      <c r="AJ58">
        <v>44.5</v>
      </c>
      <c r="AK58">
        <v>69.5</v>
      </c>
      <c r="AL58">
        <v>95.5</v>
      </c>
      <c r="AM58" t="s">
        <v>63</v>
      </c>
      <c r="AN58" t="s">
        <v>63</v>
      </c>
      <c r="AO58" t="s">
        <v>63</v>
      </c>
      <c r="AP58" t="s">
        <v>63</v>
      </c>
      <c r="AQ58" t="s">
        <v>63</v>
      </c>
      <c r="AR58">
        <v>10</v>
      </c>
      <c r="AS58" t="str">
        <f>IFERROR(INDEX(水保局全省災害資料!$X$2:$X$2000, MATCH(1, INDEX((水保局全省災害資料!$T$2:$T$2000=W58)*(水保局全省災害資料!$U$2:$U$2000=X58), 0, 1), 0)), "")</f>
        <v/>
      </c>
      <c r="AT58" t="str">
        <f>IFERROR(INDEX(水保局全省災害資料!$T$2:$T$2000, MATCH(1, INDEX((水保局全省災害資料!$T$2:$T$2000=W58)*(水保局全省災害資料!$U$2:$U$2000=X58), 0, 1), 0)), "")</f>
        <v/>
      </c>
      <c r="AU58" t="str">
        <f>IFERROR(INDEX(水保局全省災害資料!$U$2:$U$2000, MATCH(1, INDEX((水保局全省災害資料!$T$2:$T$2000=W58)*(水保局全省災害資料!$U$2:$U$2000=X58), 0, 1), 0)), "")</f>
        <v/>
      </c>
      <c r="AV58" t="str">
        <f>IFERROR(INDEX(水保局全省災害資料!$B$2:$B$2000, MATCH(1, INDEX((水保局全省災害資料!$T$2:$T$2000=W58)*(水保局全省災害資料!$U$2:$U$2000=X58), 0, 1), 0)), "")</f>
        <v/>
      </c>
    </row>
    <row r="59" spans="1:48">
      <c r="A59" t="s">
        <v>220</v>
      </c>
      <c r="B59" t="s">
        <v>221</v>
      </c>
      <c r="C59" t="s">
        <v>238</v>
      </c>
      <c r="D59" t="s">
        <v>257</v>
      </c>
      <c r="F59" t="s">
        <v>127</v>
      </c>
      <c r="G59">
        <v>113</v>
      </c>
      <c r="H59" t="s">
        <v>59</v>
      </c>
      <c r="I59" s="13">
        <v>45498.291666666664</v>
      </c>
      <c r="J59">
        <v>2</v>
      </c>
      <c r="K59">
        <v>2.9805936073059294</v>
      </c>
      <c r="L59">
        <v>0.15</v>
      </c>
      <c r="M59">
        <f>IF(SUMIFS(水保局全省災害資料!$X:$X, 水保局全省災害資料!$E:$E, A59, 水保局全省災害資料!$F:$F, B59, 水保局全省災害資料!$N:$N, H59)=0, "", SUMIFS(水保局全省災害資料!$X:$X, 水保局全省災害資料!$E:$E, A59, 水保局全省災害資料!$F:$F, B59, 水保局全省災害資料!$N:$N, H59))</f>
        <v>0.89</v>
      </c>
      <c r="N59">
        <v>0.64488392089423896</v>
      </c>
      <c r="O59">
        <v>0.64488392089423896</v>
      </c>
      <c r="P59" t="s">
        <v>51</v>
      </c>
      <c r="Q59">
        <v>2</v>
      </c>
      <c r="R59">
        <v>2.9805936073059294</v>
      </c>
      <c r="S59">
        <v>350</v>
      </c>
      <c r="T59" t="s">
        <v>241</v>
      </c>
      <c r="U59" t="s">
        <v>242</v>
      </c>
      <c r="V59">
        <v>1379</v>
      </c>
      <c r="W59">
        <v>53.5</v>
      </c>
      <c r="X59">
        <v>559.5</v>
      </c>
      <c r="Y59">
        <v>179.5</v>
      </c>
      <c r="Z59">
        <v>250</v>
      </c>
      <c r="AA59">
        <v>404.5</v>
      </c>
      <c r="AB59">
        <v>543.5</v>
      </c>
      <c r="AC59" t="s">
        <v>63</v>
      </c>
      <c r="AD59" t="s">
        <v>56</v>
      </c>
      <c r="AE59" t="s">
        <v>55</v>
      </c>
      <c r="AF59" t="s">
        <v>56</v>
      </c>
      <c r="AG59" t="s">
        <v>56</v>
      </c>
      <c r="AH59">
        <v>89.5</v>
      </c>
      <c r="AI59">
        <v>213.5</v>
      </c>
      <c r="AJ59">
        <v>339.5</v>
      </c>
      <c r="AK59">
        <v>604.5</v>
      </c>
      <c r="AL59">
        <v>950</v>
      </c>
      <c r="AM59" t="s">
        <v>55</v>
      </c>
      <c r="AN59" t="s">
        <v>57</v>
      </c>
      <c r="AO59" t="s">
        <v>58</v>
      </c>
      <c r="AP59" t="s">
        <v>64</v>
      </c>
      <c r="AQ59" t="s">
        <v>64</v>
      </c>
      <c r="AR59">
        <v>21</v>
      </c>
      <c r="AS59">
        <f>IFERROR(INDEX(水保局全省災害資料!$X$2:$X$2000, MATCH(1, INDEX((水保局全省災害資料!$T$2:$T$2000=W59)*(水保局全省災害資料!$U$2:$U$2000=X59), 0, 1), 0)), "")</f>
        <v>0</v>
      </c>
      <c r="AT59">
        <f>IFERROR(INDEX(水保局全省災害資料!$T$2:$T$2000, MATCH(1, INDEX((水保局全省災害資料!$T$2:$T$2000=W59)*(水保局全省災害資料!$U$2:$U$2000=X59), 0, 1), 0)), "")</f>
        <v>53.5</v>
      </c>
      <c r="AU59">
        <f>IFERROR(INDEX(水保局全省災害資料!$U$2:$U$2000, MATCH(1, INDEX((水保局全省災害資料!$T$2:$T$2000=W59)*(水保局全省災害資料!$U$2:$U$2000=X59), 0, 1), 0)), "")</f>
        <v>559.5</v>
      </c>
      <c r="AV59" t="str">
        <f>IFERROR(INDEX(水保局全省災害資料!$B$2:$B$2000, MATCH(1, INDEX((水保局全省災害資料!$T$2:$T$2000=W59)*(水保局全省災害資料!$U$2:$U$2000=X59), 0, 1), 0)), "")</f>
        <v xml:space="preserve">土石流 </v>
      </c>
    </row>
    <row r="60" spans="1:48">
      <c r="A60" t="s">
        <v>220</v>
      </c>
      <c r="B60" t="s">
        <v>259</v>
      </c>
      <c r="C60" t="s">
        <v>260</v>
      </c>
      <c r="D60" t="s">
        <v>261</v>
      </c>
      <c r="E60" t="s">
        <v>262</v>
      </c>
      <c r="F60" t="s">
        <v>48</v>
      </c>
      <c r="G60">
        <v>97</v>
      </c>
      <c r="H60" t="s">
        <v>124</v>
      </c>
      <c r="I60" s="13">
        <v>39646.958333333336</v>
      </c>
      <c r="J60">
        <v>1</v>
      </c>
      <c r="L60">
        <v>0.67370699999999994</v>
      </c>
      <c r="M60" t="str">
        <f>IF(SUMIFS(水保局全省災害資料!$X:$X, 水保局全省災害資料!$E:$E, A60, 水保局全省災害資料!$F:$F, B60, 水保局全省災害資料!$N:$N, H60)=0, "", SUMIFS(水保局全省災害資料!$X:$X, 水保局全省災害資料!$E:$E, A60, 水保局全省災害資料!$F:$F, B60, 水保局全省災害資料!$N:$N, H60))</f>
        <v/>
      </c>
      <c r="N60">
        <v>0.54291804335562899</v>
      </c>
      <c r="O60">
        <v>3.1181465065678138</v>
      </c>
      <c r="P60" t="s">
        <v>51</v>
      </c>
      <c r="Q60">
        <v>1</v>
      </c>
      <c r="S60">
        <v>500</v>
      </c>
      <c r="T60" t="s">
        <v>263</v>
      </c>
      <c r="U60" t="s">
        <v>264</v>
      </c>
      <c r="V60">
        <v>543</v>
      </c>
      <c r="W60">
        <v>66</v>
      </c>
      <c r="X60">
        <v>413.9</v>
      </c>
      <c r="Y60">
        <v>155</v>
      </c>
      <c r="Z60">
        <v>313</v>
      </c>
      <c r="AA60">
        <v>369.5</v>
      </c>
      <c r="AB60">
        <v>369.5</v>
      </c>
      <c r="AC60" t="s">
        <v>54</v>
      </c>
      <c r="AD60" t="s">
        <v>55</v>
      </c>
      <c r="AE60" t="s">
        <v>58</v>
      </c>
      <c r="AF60" t="s">
        <v>56</v>
      </c>
      <c r="AG60" t="s">
        <v>54</v>
      </c>
      <c r="AH60">
        <v>68</v>
      </c>
      <c r="AI60">
        <v>158</v>
      </c>
      <c r="AJ60">
        <v>313</v>
      </c>
      <c r="AK60">
        <v>415</v>
      </c>
      <c r="AL60">
        <v>517</v>
      </c>
      <c r="AM60" t="s">
        <v>54</v>
      </c>
      <c r="AN60" t="s">
        <v>55</v>
      </c>
      <c r="AO60" t="s">
        <v>58</v>
      </c>
      <c r="AP60" t="s">
        <v>57</v>
      </c>
      <c r="AQ60" t="s">
        <v>56</v>
      </c>
      <c r="AR60">
        <v>9</v>
      </c>
      <c r="AS60">
        <f>IFERROR(INDEX(水保局全省災害資料!$X$2:$X$2000, MATCH(1, INDEX((水保局全省災害資料!$T$2:$T$2000=W60)*(水保局全省災害資料!$U$2:$U$2000=X60), 0, 1), 0)), "")</f>
        <v>0</v>
      </c>
      <c r="AT60">
        <f>IFERROR(INDEX(水保局全省災害資料!$T$2:$T$2000, MATCH(1, INDEX((水保局全省災害資料!$T$2:$T$2000=W60)*(水保局全省災害資料!$U$2:$U$2000=X60), 0, 1), 0)), "")</f>
        <v>66</v>
      </c>
      <c r="AU60">
        <f>IFERROR(INDEX(水保局全省災害資料!$U$2:$U$2000, MATCH(1, INDEX((水保局全省災害資料!$T$2:$T$2000=W60)*(水保局全省災害資料!$U$2:$U$2000=X60), 0, 1), 0)), "")</f>
        <v>413.9</v>
      </c>
      <c r="AV60" t="str">
        <f>IFERROR(INDEX(水保局全省災害資料!$B$2:$B$2000, MATCH(1, INDEX((水保局全省災害資料!$T$2:$T$2000=W60)*(水保局全省災害資料!$U$2:$U$2000=X60), 0, 1), 0)), "")</f>
        <v>土石流</v>
      </c>
    </row>
    <row r="61" spans="1:48">
      <c r="A61" t="s">
        <v>220</v>
      </c>
      <c r="B61" t="s">
        <v>259</v>
      </c>
      <c r="C61" t="s">
        <v>260</v>
      </c>
      <c r="D61" t="s">
        <v>261</v>
      </c>
      <c r="E61" t="s">
        <v>262</v>
      </c>
      <c r="F61" t="s">
        <v>48</v>
      </c>
      <c r="G61">
        <v>98</v>
      </c>
      <c r="H61" t="s">
        <v>153</v>
      </c>
      <c r="I61" s="13">
        <v>40033.666666666664</v>
      </c>
      <c r="J61">
        <v>2</v>
      </c>
      <c r="K61">
        <v>1.0594748858447356</v>
      </c>
      <c r="L61">
        <v>4</v>
      </c>
      <c r="M61" t="str">
        <f>IF(SUMIFS(水保局全省災害資料!$X:$X, 水保局全省災害資料!$E:$E, A61, 水保局全省災害資料!$F:$F, B61, 水保局全省災害資料!$N:$N, H61)=0, "", SUMIFS(水保局全省災害資料!$X:$X, 水保局全省災害資料!$E:$E, A61, 水保局全省災害資料!$F:$F, B61, 水保局全省災害資料!$N:$N, H61))</f>
        <v/>
      </c>
      <c r="N61">
        <v>3.2234668385848977</v>
      </c>
      <c r="O61">
        <v>4.1634869852526384</v>
      </c>
      <c r="P61" t="s">
        <v>51</v>
      </c>
      <c r="Q61">
        <v>2</v>
      </c>
      <c r="R61">
        <v>1.0594748858447356</v>
      </c>
      <c r="S61">
        <v>450</v>
      </c>
      <c r="T61" t="s">
        <v>263</v>
      </c>
      <c r="U61" t="s">
        <v>264</v>
      </c>
      <c r="V61">
        <v>1195.5</v>
      </c>
      <c r="W61">
        <v>15.5</v>
      </c>
      <c r="X61">
        <v>751.5</v>
      </c>
      <c r="Y61">
        <v>122</v>
      </c>
      <c r="Z61">
        <v>169</v>
      </c>
      <c r="AA61">
        <v>328.5</v>
      </c>
      <c r="AB61">
        <v>554.5</v>
      </c>
      <c r="AC61" t="s">
        <v>63</v>
      </c>
      <c r="AD61" t="s">
        <v>63</v>
      </c>
      <c r="AE61" t="s">
        <v>63</v>
      </c>
      <c r="AF61" t="s">
        <v>55</v>
      </c>
      <c r="AG61" t="s">
        <v>57</v>
      </c>
      <c r="AH61">
        <v>79.5</v>
      </c>
      <c r="AI61">
        <v>166.5</v>
      </c>
      <c r="AJ61">
        <v>290.5</v>
      </c>
      <c r="AK61">
        <v>446</v>
      </c>
      <c r="AL61">
        <v>743.5</v>
      </c>
      <c r="AM61" t="s">
        <v>55</v>
      </c>
      <c r="AN61" t="s">
        <v>55</v>
      </c>
      <c r="AO61" t="s">
        <v>57</v>
      </c>
      <c r="AP61" t="s">
        <v>58</v>
      </c>
      <c r="AQ61" t="s">
        <v>64</v>
      </c>
      <c r="AR61">
        <v>43</v>
      </c>
      <c r="AS61">
        <f>IFERROR(INDEX(水保局全省災害資料!$X$2:$X$2000, MATCH(1, INDEX((水保局全省災害資料!$T$2:$T$2000=W61)*(水保局全省災害資料!$U$2:$U$2000=X61), 0, 1), 0)), "")</f>
        <v>0</v>
      </c>
      <c r="AT61">
        <f>IFERROR(INDEX(水保局全省災害資料!$T$2:$T$2000, MATCH(1, INDEX((水保局全省災害資料!$T$2:$T$2000=W61)*(水保局全省災害資料!$U$2:$U$2000=X61), 0, 1), 0)), "")</f>
        <v>15.5</v>
      </c>
      <c r="AU61">
        <f>IFERROR(INDEX(水保局全省災害資料!$U$2:$U$2000, MATCH(1, INDEX((水保局全省災害資料!$T$2:$T$2000=W61)*(水保局全省災害資料!$U$2:$U$2000=X61), 0, 1), 0)), "")</f>
        <v>751.5</v>
      </c>
      <c r="AV61" t="str">
        <f>IFERROR(INDEX(水保局全省災害資料!$B$2:$B$2000, MATCH(1, INDEX((水保局全省災害資料!$T$2:$T$2000=W61)*(水保局全省災害資料!$U$2:$U$2000=X61), 0, 1), 0)), "")</f>
        <v>洪水</v>
      </c>
    </row>
    <row r="62" spans="1:48">
      <c r="A62" t="s">
        <v>265</v>
      </c>
      <c r="B62" t="s">
        <v>266</v>
      </c>
      <c r="C62" t="s">
        <v>267</v>
      </c>
      <c r="D62" t="s">
        <v>268</v>
      </c>
      <c r="F62" t="s">
        <v>127</v>
      </c>
      <c r="G62">
        <v>101</v>
      </c>
      <c r="H62" t="s">
        <v>271</v>
      </c>
      <c r="I62" s="13">
        <v>41145.291666666664</v>
      </c>
      <c r="J62">
        <v>2</v>
      </c>
      <c r="K62">
        <v>7.102625570776242</v>
      </c>
      <c r="L62">
        <v>0</v>
      </c>
      <c r="M62" t="str">
        <f>IF(SUMIFS(水保局全省災害資料!$X:$X, 水保局全省災害資料!$E:$E, A62, 水保局全省災害資料!$F:$F, B62, 水保局全省災害資料!$N:$N, H62)=0, "", SUMIFS(水保局全省災害資料!$X:$X, 水保局全省災害資料!$E:$E, A62, 水保局全省災害資料!$F:$F, B62, 水保局全省災害資料!$N:$N, H62))</f>
        <v/>
      </c>
      <c r="N62">
        <v>0</v>
      </c>
      <c r="O62">
        <v>0.81676136363636365</v>
      </c>
      <c r="P62" t="s">
        <v>51</v>
      </c>
      <c r="Q62">
        <v>2</v>
      </c>
      <c r="R62">
        <v>7.102625570776242</v>
      </c>
      <c r="S62">
        <v>600</v>
      </c>
      <c r="T62" t="s">
        <v>269</v>
      </c>
      <c r="U62" t="s">
        <v>270</v>
      </c>
      <c r="V62">
        <v>447.5</v>
      </c>
      <c r="W62">
        <v>78.5</v>
      </c>
      <c r="X62">
        <v>220.5</v>
      </c>
      <c r="Y62">
        <v>161</v>
      </c>
      <c r="Z62">
        <v>207.5</v>
      </c>
      <c r="AA62">
        <v>207.5</v>
      </c>
      <c r="AB62">
        <v>207.5</v>
      </c>
      <c r="AC62" t="s">
        <v>55</v>
      </c>
      <c r="AD62" t="s">
        <v>55</v>
      </c>
      <c r="AE62" t="s">
        <v>54</v>
      </c>
      <c r="AF62" t="s">
        <v>63</v>
      </c>
      <c r="AG62" t="s">
        <v>63</v>
      </c>
      <c r="AH62">
        <v>78.5</v>
      </c>
      <c r="AI62">
        <v>186</v>
      </c>
      <c r="AJ62">
        <v>274.5</v>
      </c>
      <c r="AK62">
        <v>385.5</v>
      </c>
      <c r="AL62">
        <v>447.5</v>
      </c>
      <c r="AM62" t="s">
        <v>55</v>
      </c>
      <c r="AN62" t="s">
        <v>56</v>
      </c>
      <c r="AO62" t="s">
        <v>56</v>
      </c>
      <c r="AP62" t="s">
        <v>56</v>
      </c>
      <c r="AQ62" t="s">
        <v>55</v>
      </c>
      <c r="AR62">
        <v>6</v>
      </c>
      <c r="AS62">
        <f>IFERROR(INDEX(水保局全省災害資料!$X$2:$X$2000, MATCH(1, INDEX((水保局全省災害資料!$T$2:$T$2000=W62)*(水保局全省災害資料!$U$2:$U$2000=X62), 0, 1), 0)), "")</f>
        <v>0</v>
      </c>
      <c r="AT62">
        <f>IFERROR(INDEX(水保局全省災害資料!$T$2:$T$2000, MATCH(1, INDEX((水保局全省災害資料!$T$2:$T$2000=W62)*(水保局全省災害資料!$U$2:$U$2000=X62), 0, 1), 0)), "")</f>
        <v>78.5</v>
      </c>
      <c r="AU62">
        <f>IFERROR(INDEX(水保局全省災害資料!$U$2:$U$2000, MATCH(1, INDEX((水保局全省災害資料!$T$2:$T$2000=W62)*(水保局全省災害資料!$U$2:$U$2000=X62), 0, 1), 0)), "")</f>
        <v>220.5</v>
      </c>
      <c r="AV62" t="str">
        <f>IFERROR(INDEX(水保局全省災害資料!$B$2:$B$2000, MATCH(1, INDEX((水保局全省災害資料!$T$2:$T$2000=W62)*(水保局全省災害資料!$U$2:$U$2000=X62), 0, 1), 0)), "")</f>
        <v>土石流、洪水</v>
      </c>
    </row>
    <row r="63" spans="1:48">
      <c r="A63" t="s">
        <v>272</v>
      </c>
      <c r="B63" t="s">
        <v>273</v>
      </c>
      <c r="C63" t="s">
        <v>274</v>
      </c>
      <c r="D63" t="s">
        <v>275</v>
      </c>
      <c r="F63" t="s">
        <v>127</v>
      </c>
      <c r="G63">
        <v>113</v>
      </c>
      <c r="H63" t="s">
        <v>165</v>
      </c>
      <c r="I63" s="13">
        <v>45404.618055555555</v>
      </c>
      <c r="J63">
        <v>1</v>
      </c>
      <c r="L63">
        <v>3.89</v>
      </c>
      <c r="M63" t="str">
        <f>IF(SUMIFS(水保局全省災害資料!$X:$X, 水保局全省災害資料!$E:$E, A63, 水保局全省災害資料!$F:$F, B63, 水保局全省災害資料!$N:$N, H63)=0, "", SUMIFS(水保局全省災害資料!$X:$X, 水保局全省災害資料!$E:$E, A63, 水保局全省災害資料!$F:$F, B63, 水保局全省災害資料!$N:$N, H63))</f>
        <v/>
      </c>
      <c r="N63">
        <v>12.770847012475379</v>
      </c>
      <c r="O63">
        <v>12.770847012475379</v>
      </c>
      <c r="P63" t="s">
        <v>60</v>
      </c>
      <c r="S63">
        <v>300</v>
      </c>
      <c r="T63" t="s">
        <v>276</v>
      </c>
      <c r="U63" t="s">
        <v>277</v>
      </c>
      <c r="V63">
        <v>108.5</v>
      </c>
      <c r="W63">
        <v>75</v>
      </c>
      <c r="X63">
        <v>90</v>
      </c>
      <c r="Y63">
        <v>99.5</v>
      </c>
      <c r="Z63">
        <v>99.5</v>
      </c>
      <c r="AA63">
        <v>99.5</v>
      </c>
      <c r="AB63">
        <v>99.5</v>
      </c>
      <c r="AC63" t="s">
        <v>54</v>
      </c>
      <c r="AD63" t="s">
        <v>63</v>
      </c>
      <c r="AE63" t="s">
        <v>63</v>
      </c>
      <c r="AF63" t="s">
        <v>63</v>
      </c>
      <c r="AG63" t="s">
        <v>63</v>
      </c>
      <c r="AH63">
        <v>75</v>
      </c>
      <c r="AI63">
        <v>108.5</v>
      </c>
      <c r="AJ63">
        <v>108.5</v>
      </c>
      <c r="AK63">
        <v>108.5</v>
      </c>
      <c r="AL63">
        <v>108.5</v>
      </c>
      <c r="AM63" t="s">
        <v>54</v>
      </c>
      <c r="AN63" t="s">
        <v>63</v>
      </c>
      <c r="AO63" t="s">
        <v>63</v>
      </c>
      <c r="AP63" t="s">
        <v>63</v>
      </c>
      <c r="AQ63" t="s">
        <v>63</v>
      </c>
      <c r="AR63">
        <v>2</v>
      </c>
      <c r="AS63">
        <f>IFERROR(INDEX(水保局全省災害資料!$X$2:$X$2000, MATCH(1, INDEX((水保局全省災害資料!$T$2:$T$2000=W63)*(水保局全省災害資料!$U$2:$U$2000=X63), 0, 1), 0)), "")</f>
        <v>2</v>
      </c>
      <c r="AT63">
        <f>IFERROR(INDEX(水保局全省災害資料!$T$2:$T$2000, MATCH(1, INDEX((水保局全省災害資料!$T$2:$T$2000=W63)*(水保局全省災害資料!$U$2:$U$2000=X63), 0, 1), 0)), "")</f>
        <v>75</v>
      </c>
      <c r="AU63">
        <f>IFERROR(INDEX(水保局全省災害資料!$U$2:$U$2000, MATCH(1, INDEX((水保局全省災害資料!$T$2:$T$2000=W63)*(水保局全省災害資料!$U$2:$U$2000=X63), 0, 1), 0)), "")</f>
        <v>90</v>
      </c>
      <c r="AV63" t="str">
        <f>IFERROR(INDEX(水保局全省災害資料!$B$2:$B$2000, MATCH(1, INDEX((水保局全省災害資料!$T$2:$T$2000=W63)*(水保局全省災害資料!$U$2:$U$2000=X63), 0, 1), 0)), "")</f>
        <v>土石流</v>
      </c>
    </row>
    <row r="64" spans="1:48">
      <c r="A64" t="s">
        <v>272</v>
      </c>
      <c r="B64" t="s">
        <v>273</v>
      </c>
      <c r="C64" t="s">
        <v>274</v>
      </c>
      <c r="D64" t="s">
        <v>275</v>
      </c>
      <c r="F64" t="s">
        <v>127</v>
      </c>
      <c r="G64">
        <v>113</v>
      </c>
      <c r="H64" t="s">
        <v>59</v>
      </c>
      <c r="I64" s="13">
        <v>45498.208333333336</v>
      </c>
      <c r="J64">
        <v>2</v>
      </c>
      <c r="K64">
        <v>0.25641171993912604</v>
      </c>
      <c r="L64">
        <v>3.89</v>
      </c>
      <c r="M64" t="str">
        <f>IF(SUMIFS(水保局全省災害資料!$X:$X, 水保局全省災害資料!$E:$E, A64, 水保局全省災害資料!$F:$F, B64, 水保局全省災害資料!$N:$N, H64)=0, "", SUMIFS(水保局全省災害資料!$X:$X, 水保局全省災害資料!$E:$E, A64, 水保局全省災害資料!$F:$F, B64, 水保局全省災害資料!$N:$N, H64))</f>
        <v/>
      </c>
      <c r="N64">
        <v>12.770847012475379</v>
      </c>
      <c r="O64">
        <v>12.770847012475379</v>
      </c>
      <c r="P64" t="s">
        <v>60</v>
      </c>
      <c r="S64">
        <v>200</v>
      </c>
      <c r="T64" t="s">
        <v>278</v>
      </c>
      <c r="U64" t="s">
        <v>279</v>
      </c>
      <c r="V64">
        <v>575.5</v>
      </c>
      <c r="W64">
        <v>23</v>
      </c>
      <c r="X64">
        <v>504</v>
      </c>
      <c r="Y64">
        <v>41.5</v>
      </c>
      <c r="Z64">
        <v>57</v>
      </c>
      <c r="AA64">
        <v>191.5</v>
      </c>
      <c r="AB64">
        <v>453</v>
      </c>
      <c r="AC64" t="s">
        <v>63</v>
      </c>
      <c r="AD64" t="s">
        <v>63</v>
      </c>
      <c r="AE64" t="s">
        <v>63</v>
      </c>
      <c r="AF64" t="s">
        <v>63</v>
      </c>
      <c r="AG64" t="s">
        <v>55</v>
      </c>
      <c r="AH64">
        <v>85</v>
      </c>
      <c r="AI64">
        <v>193</v>
      </c>
      <c r="AJ64">
        <v>273.5</v>
      </c>
      <c r="AK64">
        <v>357</v>
      </c>
      <c r="AL64">
        <v>479.5</v>
      </c>
      <c r="AM64" t="s">
        <v>55</v>
      </c>
      <c r="AN64" t="s">
        <v>56</v>
      </c>
      <c r="AO64" t="s">
        <v>56</v>
      </c>
      <c r="AP64" t="s">
        <v>56</v>
      </c>
      <c r="AQ64" t="s">
        <v>56</v>
      </c>
      <c r="AR64">
        <v>41</v>
      </c>
      <c r="AS64">
        <f>IFERROR(INDEX(水保局全省災害資料!$X$2:$X$2000, MATCH(1, INDEX((水保局全省災害資料!$T$2:$T$2000=W64)*(水保局全省災害資料!$U$2:$U$2000=X64), 0, 1), 0)), "")</f>
        <v>0</v>
      </c>
      <c r="AT64">
        <f>IFERROR(INDEX(水保局全省災害資料!$T$2:$T$2000, MATCH(1, INDEX((水保局全省災害資料!$T$2:$T$2000=W64)*(水保局全省災害資料!$U$2:$U$2000=X64), 0, 1), 0)), "")</f>
        <v>23</v>
      </c>
      <c r="AU64">
        <f>IFERROR(INDEX(水保局全省災害資料!$U$2:$U$2000, MATCH(1, INDEX((水保局全省災害資料!$T$2:$T$2000=W64)*(水保局全省災害資料!$U$2:$U$2000=X64), 0, 1), 0)), "")</f>
        <v>504</v>
      </c>
      <c r="AV64" t="str">
        <f>IFERROR(INDEX(水保局全省災害資料!$B$2:$B$2000, MATCH(1, INDEX((水保局全省災害資料!$T$2:$T$2000=W64)*(水保局全省災害資料!$U$2:$U$2000=X64), 0, 1), 0)), "")</f>
        <v xml:space="preserve">土石流 </v>
      </c>
    </row>
    <row r="65" spans="1:48">
      <c r="A65" t="s">
        <v>272</v>
      </c>
      <c r="B65" t="s">
        <v>273</v>
      </c>
      <c r="C65" t="s">
        <v>280</v>
      </c>
      <c r="D65" t="s">
        <v>281</v>
      </c>
      <c r="F65" t="s">
        <v>48</v>
      </c>
      <c r="G65">
        <v>113</v>
      </c>
      <c r="H65" t="s">
        <v>165</v>
      </c>
      <c r="I65" s="13">
        <v>45463.809027777781</v>
      </c>
      <c r="J65">
        <v>1</v>
      </c>
      <c r="L65">
        <v>17.940000000000001</v>
      </c>
      <c r="M65" t="str">
        <f>IF(SUMIFS(水保局全省災害資料!$X:$X, 水保局全省災害資料!$E:$E, A65, 水保局全省災害資料!$F:$F, B65, 水保局全省災害資料!$N:$N, H65)=0, "", SUMIFS(水保局全省災害資料!$X:$X, 水保局全省災害資料!$E:$E, A65, 水保局全省災害資料!$F:$F, B65, 水保局全省災害資料!$N:$N, H65))</f>
        <v/>
      </c>
      <c r="N65">
        <v>6.1287236949986337</v>
      </c>
      <c r="O65">
        <v>6.1287236949986337</v>
      </c>
      <c r="P65" t="s">
        <v>60</v>
      </c>
      <c r="S65">
        <v>300</v>
      </c>
      <c r="T65" t="s">
        <v>282</v>
      </c>
      <c r="U65" t="s">
        <v>283</v>
      </c>
      <c r="V65">
        <v>25.5</v>
      </c>
      <c r="W65">
        <v>16.5</v>
      </c>
      <c r="X65">
        <v>45.3</v>
      </c>
      <c r="Y65">
        <v>24</v>
      </c>
      <c r="Z65">
        <v>24</v>
      </c>
      <c r="AA65">
        <v>24</v>
      </c>
      <c r="AB65">
        <v>30.5</v>
      </c>
      <c r="AC65" t="s">
        <v>63</v>
      </c>
      <c r="AD65" t="s">
        <v>63</v>
      </c>
      <c r="AE65" t="s">
        <v>63</v>
      </c>
      <c r="AF65" t="s">
        <v>63</v>
      </c>
      <c r="AG65" t="s">
        <v>63</v>
      </c>
      <c r="AH65">
        <v>16.5</v>
      </c>
      <c r="AI65">
        <v>25.5</v>
      </c>
      <c r="AJ65">
        <v>25.5</v>
      </c>
      <c r="AK65">
        <v>25.5</v>
      </c>
      <c r="AL65">
        <v>25.5</v>
      </c>
      <c r="AM65" t="s">
        <v>63</v>
      </c>
      <c r="AN65" t="s">
        <v>63</v>
      </c>
      <c r="AO65" t="s">
        <v>63</v>
      </c>
      <c r="AP65" t="s">
        <v>63</v>
      </c>
      <c r="AQ65" t="s">
        <v>63</v>
      </c>
      <c r="AR65">
        <v>2</v>
      </c>
      <c r="AS65" t="str">
        <f>IFERROR(INDEX(水保局全省災害資料!$X$2:$X$2000, MATCH(1, INDEX((水保局全省災害資料!$T$2:$T$2000=W65)*(水保局全省災害資料!$U$2:$U$2000=X65), 0, 1), 0)), "")</f>
        <v/>
      </c>
      <c r="AT65" t="str">
        <f>IFERROR(INDEX(水保局全省災害資料!$T$2:$T$2000, MATCH(1, INDEX((水保局全省災害資料!$T$2:$T$2000=W65)*(水保局全省災害資料!$U$2:$U$2000=X65), 0, 1), 0)), "")</f>
        <v/>
      </c>
      <c r="AU65" t="str">
        <f>IFERROR(INDEX(水保局全省災害資料!$U$2:$U$2000, MATCH(1, INDEX((水保局全省災害資料!$T$2:$T$2000=W65)*(水保局全省災害資料!$U$2:$U$2000=X65), 0, 1), 0)), "")</f>
        <v/>
      </c>
      <c r="AV65" t="str">
        <f>IFERROR(INDEX(水保局全省災害資料!$B$2:$B$2000, MATCH(1, INDEX((水保局全省災害資料!$T$2:$T$2000=W65)*(水保局全省災害資料!$U$2:$U$2000=X65), 0, 1), 0)), "")</f>
        <v/>
      </c>
    </row>
    <row r="66" spans="1:48">
      <c r="A66" t="s">
        <v>272</v>
      </c>
      <c r="B66" t="s">
        <v>273</v>
      </c>
      <c r="C66" t="s">
        <v>280</v>
      </c>
      <c r="D66" t="s">
        <v>281</v>
      </c>
      <c r="F66" t="s">
        <v>48</v>
      </c>
      <c r="G66">
        <v>113</v>
      </c>
      <c r="H66" t="s">
        <v>59</v>
      </c>
      <c r="I66" s="13">
        <v>45497.708333333336</v>
      </c>
      <c r="J66">
        <v>2</v>
      </c>
      <c r="K66">
        <v>9.2874809741245887E-2</v>
      </c>
      <c r="L66">
        <v>17.940000000000001</v>
      </c>
      <c r="M66" t="str">
        <f>IF(SUMIFS(水保局全省災害資料!$X:$X, 水保局全省災害資料!$E:$E, A66, 水保局全省災害資料!$F:$F, B66, 水保局全省災害資料!$N:$N, H66)=0, "", SUMIFS(水保局全省災害資料!$X:$X, 水保局全省災害資料!$E:$E, A66, 水保局全省災害資料!$F:$F, B66, 水保局全省災害資料!$N:$N, H66))</f>
        <v/>
      </c>
      <c r="N66">
        <v>6.1287236949986337</v>
      </c>
      <c r="O66">
        <v>6.1287236949986337</v>
      </c>
      <c r="P66" t="s">
        <v>60</v>
      </c>
      <c r="S66">
        <v>300</v>
      </c>
      <c r="T66" t="s">
        <v>282</v>
      </c>
      <c r="U66" t="s">
        <v>283</v>
      </c>
      <c r="V66">
        <v>444.5</v>
      </c>
      <c r="W66">
        <v>31</v>
      </c>
      <c r="X66">
        <v>170.7</v>
      </c>
      <c r="Y66">
        <v>59.5</v>
      </c>
      <c r="Z66">
        <v>92</v>
      </c>
      <c r="AA66">
        <v>132</v>
      </c>
      <c r="AB66">
        <v>171</v>
      </c>
      <c r="AC66" t="s">
        <v>63</v>
      </c>
      <c r="AD66" t="s">
        <v>63</v>
      </c>
      <c r="AE66" t="s">
        <v>63</v>
      </c>
      <c r="AF66" t="s">
        <v>63</v>
      </c>
      <c r="AG66" t="s">
        <v>63</v>
      </c>
      <c r="AH66">
        <v>74</v>
      </c>
      <c r="AI66">
        <v>126.5</v>
      </c>
      <c r="AJ66">
        <v>181</v>
      </c>
      <c r="AK66">
        <v>249.5</v>
      </c>
      <c r="AL66">
        <v>353</v>
      </c>
      <c r="AM66" t="s">
        <v>54</v>
      </c>
      <c r="AN66" t="s">
        <v>63</v>
      </c>
      <c r="AO66" t="s">
        <v>63</v>
      </c>
      <c r="AP66" t="s">
        <v>63</v>
      </c>
      <c r="AQ66" t="s">
        <v>63</v>
      </c>
      <c r="AR66">
        <v>27</v>
      </c>
      <c r="AS66">
        <f>IFERROR(INDEX(水保局全省災害資料!$X$2:$X$2000, MATCH(1, INDEX((水保局全省災害資料!$T$2:$T$2000=W66)*(水保局全省災害資料!$U$2:$U$2000=X66), 0, 1), 0)), "")</f>
        <v>0</v>
      </c>
      <c r="AT66">
        <f>IFERROR(INDEX(水保局全省災害資料!$T$2:$T$2000, MATCH(1, INDEX((水保局全省災害資料!$T$2:$T$2000=W66)*(水保局全省災害資料!$U$2:$U$2000=X66), 0, 1), 0)), "")</f>
        <v>31</v>
      </c>
      <c r="AU66">
        <f>IFERROR(INDEX(水保局全省災害資料!$U$2:$U$2000, MATCH(1, INDEX((水保局全省災害資料!$T$2:$T$2000=W66)*(水保局全省災害資料!$U$2:$U$2000=X66), 0, 1), 0)), "")</f>
        <v>170.7</v>
      </c>
      <c r="AV66" t="str">
        <f>IFERROR(INDEX(水保局全省災害資料!$B$2:$B$2000, MATCH(1, INDEX((水保局全省災害資料!$T$2:$T$2000=W66)*(水保局全省災害資料!$U$2:$U$2000=X66), 0, 1), 0)), "")</f>
        <v>土石流</v>
      </c>
    </row>
    <row r="67" spans="1:48">
      <c r="A67" t="s">
        <v>220</v>
      </c>
      <c r="B67" t="s">
        <v>221</v>
      </c>
      <c r="C67" t="s">
        <v>238</v>
      </c>
      <c r="D67" t="s">
        <v>290</v>
      </c>
      <c r="E67" t="s">
        <v>291</v>
      </c>
      <c r="F67" t="s">
        <v>48</v>
      </c>
      <c r="G67">
        <v>97</v>
      </c>
      <c r="H67" t="s">
        <v>124</v>
      </c>
      <c r="I67" s="13">
        <v>39646.958333333336</v>
      </c>
      <c r="J67">
        <v>2</v>
      </c>
      <c r="K67">
        <v>2.9982876712328768</v>
      </c>
      <c r="L67">
        <v>0</v>
      </c>
      <c r="M67" t="str">
        <f>IF(SUMIFS(水保局全省災害資料!$X:$X, 水保局全省災害資料!$E:$E, A67, 水保局全省災害資料!$F:$F, B67, 水保局全省災害資料!$N:$N, H67)=0, "", SUMIFS(水保局全省災害資料!$X:$X, 水保局全省災害資料!$E:$E, A67, 水保局全省災害資料!$F:$F, B67, 水保局全省災害資料!$N:$N, H67))</f>
        <v/>
      </c>
      <c r="N67">
        <v>0</v>
      </c>
      <c r="O67">
        <v>0.71797817346352677</v>
      </c>
      <c r="P67" t="s">
        <v>51</v>
      </c>
      <c r="Q67">
        <v>2</v>
      </c>
      <c r="R67">
        <v>2.9982876712328768</v>
      </c>
      <c r="S67">
        <v>450</v>
      </c>
      <c r="T67" t="s">
        <v>233</v>
      </c>
      <c r="U67" t="s">
        <v>234</v>
      </c>
      <c r="V67">
        <v>705</v>
      </c>
      <c r="W67">
        <v>47.5</v>
      </c>
      <c r="X67">
        <v>371</v>
      </c>
      <c r="Y67">
        <v>139</v>
      </c>
      <c r="Z67">
        <v>275</v>
      </c>
      <c r="AA67">
        <v>290.5</v>
      </c>
      <c r="AB67">
        <v>290.5</v>
      </c>
      <c r="AH67">
        <v>58.5</v>
      </c>
      <c r="AI67">
        <v>153</v>
      </c>
      <c r="AJ67">
        <v>275</v>
      </c>
      <c r="AK67">
        <v>400</v>
      </c>
      <c r="AL67">
        <v>560</v>
      </c>
      <c r="AR67">
        <v>9</v>
      </c>
      <c r="AS67">
        <f>IFERROR(INDEX(水保局全省災害資料!$X$2:$X$2000, MATCH(1, INDEX((水保局全省災害資料!$T$2:$T$2000=W67)*(水保局全省災害資料!$U$2:$U$2000=X67), 0, 1), 0)), "")</f>
        <v>0</v>
      </c>
      <c r="AT67">
        <f>IFERROR(INDEX(水保局全省災害資料!$T$2:$T$2000, MATCH(1, INDEX((水保局全省災害資料!$T$2:$T$2000=W67)*(水保局全省災害資料!$U$2:$U$2000=X67), 0, 1), 0)), "")</f>
        <v>47.5</v>
      </c>
      <c r="AU67">
        <f>IFERROR(INDEX(水保局全省災害資料!$U$2:$U$2000, MATCH(1, INDEX((水保局全省災害資料!$T$2:$T$2000=W67)*(水保局全省災害資料!$U$2:$U$2000=X67), 0, 1), 0)), "")</f>
        <v>371</v>
      </c>
      <c r="AV67" t="str">
        <f>IFERROR(INDEX(水保局全省災害資料!$B$2:$B$2000, MATCH(1, INDEX((水保局全省災害資料!$T$2:$T$2000=W67)*(水保局全省災害資料!$U$2:$U$2000=X67), 0, 1), 0)), "")</f>
        <v>土石流</v>
      </c>
    </row>
    <row r="68" spans="1:48">
      <c r="A68" t="s">
        <v>44</v>
      </c>
      <c r="B68" t="s">
        <v>292</v>
      </c>
      <c r="C68" t="s">
        <v>293</v>
      </c>
      <c r="D68" t="s">
        <v>294</v>
      </c>
      <c r="F68" t="s">
        <v>48</v>
      </c>
      <c r="G68">
        <v>104</v>
      </c>
      <c r="H68" t="s">
        <v>295</v>
      </c>
      <c r="I68" s="13">
        <v>42224.416666666664</v>
      </c>
      <c r="M68" t="str">
        <f>IF(SUMIFS(水保局全省災害資料!$X:$X, 水保局全省災害資料!$E:$E, A68, 水保局全省災害資料!$F:$F, B68, 水保局全省災害資料!$N:$N, H68)=0, "", SUMIFS(水保局全省災害資料!$X:$X, 水保局全省災害資料!$E:$E, A68, 水保局全省災害資料!$F:$F, B68, 水保局全省災害資料!$N:$N, H68))</f>
        <v/>
      </c>
      <c r="P68" t="s">
        <v>51</v>
      </c>
      <c r="S68">
        <v>450</v>
      </c>
      <c r="T68" t="s">
        <v>296</v>
      </c>
      <c r="U68" t="s">
        <v>297</v>
      </c>
      <c r="V68">
        <v>532</v>
      </c>
      <c r="W68">
        <v>4</v>
      </c>
      <c r="X68">
        <v>525</v>
      </c>
      <c r="Y68">
        <v>76</v>
      </c>
      <c r="Z68">
        <v>199</v>
      </c>
      <c r="AA68">
        <v>404</v>
      </c>
      <c r="AB68">
        <v>536</v>
      </c>
      <c r="AC68" t="s">
        <v>63</v>
      </c>
      <c r="AD68" t="s">
        <v>63</v>
      </c>
      <c r="AE68" t="s">
        <v>55</v>
      </c>
      <c r="AF68" t="s">
        <v>64</v>
      </c>
      <c r="AG68" t="s">
        <v>64</v>
      </c>
      <c r="AH68">
        <v>59</v>
      </c>
      <c r="AI68">
        <v>145</v>
      </c>
      <c r="AJ68">
        <v>268</v>
      </c>
      <c r="AK68">
        <v>419</v>
      </c>
      <c r="AL68">
        <v>532</v>
      </c>
      <c r="AM68" t="s">
        <v>54</v>
      </c>
      <c r="AN68" t="s">
        <v>55</v>
      </c>
      <c r="AO68" t="s">
        <v>58</v>
      </c>
      <c r="AP68" t="s">
        <v>64</v>
      </c>
      <c r="AQ68" t="s">
        <v>64</v>
      </c>
      <c r="AR68">
        <v>23</v>
      </c>
      <c r="AS68">
        <f>IFERROR(INDEX(水保局全省災害資料!$X$2:$X$2000, MATCH(1, INDEX((水保局全省災害資料!$T$2:$T$2000=W68)*(水保局全省災害資料!$U$2:$U$2000=X68), 0, 1), 0)), "")</f>
        <v>0</v>
      </c>
      <c r="AT68">
        <f>IFERROR(INDEX(水保局全省災害資料!$T$2:$T$2000, MATCH(1, INDEX((水保局全省災害資料!$T$2:$T$2000=W68)*(水保局全省災害資料!$U$2:$U$2000=X68), 0, 1), 0)), "")</f>
        <v>4</v>
      </c>
      <c r="AU68">
        <f>IFERROR(INDEX(水保局全省災害資料!$U$2:$U$2000, MATCH(1, INDEX((水保局全省災害資料!$T$2:$T$2000=W68)*(水保局全省災害資料!$U$2:$U$2000=X68), 0, 1), 0)), "")</f>
        <v>525</v>
      </c>
      <c r="AV68" t="str">
        <f>IFERROR(INDEX(水保局全省災害資料!$B$2:$B$2000, MATCH(1, INDEX((水保局全省災害資料!$T$2:$T$2000=W68)*(水保局全省災害資料!$U$2:$U$2000=X68), 0, 1), 0)), "")</f>
        <v>土石流</v>
      </c>
    </row>
    <row r="69" spans="1:48">
      <c r="A69" t="s">
        <v>44</v>
      </c>
      <c r="B69" t="s">
        <v>292</v>
      </c>
      <c r="C69" t="s">
        <v>298</v>
      </c>
      <c r="D69" t="s">
        <v>299</v>
      </c>
      <c r="F69" t="s">
        <v>48</v>
      </c>
      <c r="G69">
        <v>100</v>
      </c>
      <c r="H69" t="s">
        <v>300</v>
      </c>
      <c r="I69" s="13">
        <v>40819.125</v>
      </c>
      <c r="M69" t="str">
        <f>IF(SUMIFS(水保局全省災害資料!$X:$X, 水保局全省災害資料!$E:$E, A69, 水保局全省災害資料!$F:$F, B69, 水保局全省災害資料!$N:$N, H69)=0, "", SUMIFS(水保局全省災害資料!$X:$X, 水保局全省災害資料!$E:$E, A69, 水保局全省災害資料!$F:$F, B69, 水保局全省災害資料!$N:$N, H69))</f>
        <v/>
      </c>
      <c r="P69" t="s">
        <v>51</v>
      </c>
      <c r="S69">
        <v>550</v>
      </c>
      <c r="T69" t="s">
        <v>301</v>
      </c>
      <c r="U69" t="s">
        <v>302</v>
      </c>
      <c r="V69">
        <v>1652.5</v>
      </c>
      <c r="W69">
        <v>96.5</v>
      </c>
      <c r="X69">
        <v>1105</v>
      </c>
      <c r="Y69">
        <v>178.5</v>
      </c>
      <c r="Z69">
        <v>368</v>
      </c>
      <c r="AA69">
        <v>600.5</v>
      </c>
      <c r="AB69">
        <v>770</v>
      </c>
      <c r="AC69" t="s">
        <v>56</v>
      </c>
      <c r="AD69" t="s">
        <v>55</v>
      </c>
      <c r="AE69" t="s">
        <v>58</v>
      </c>
      <c r="AF69" t="s">
        <v>87</v>
      </c>
      <c r="AG69" t="s">
        <v>58</v>
      </c>
      <c r="AH69">
        <v>96.5</v>
      </c>
      <c r="AI69">
        <v>239.5</v>
      </c>
      <c r="AJ69">
        <v>403.5</v>
      </c>
      <c r="AK69">
        <v>715</v>
      </c>
      <c r="AL69">
        <v>994.5</v>
      </c>
      <c r="AM69" t="s">
        <v>56</v>
      </c>
      <c r="AN69" t="s">
        <v>57</v>
      </c>
      <c r="AO69" t="s">
        <v>87</v>
      </c>
      <c r="AP69" t="s">
        <v>64</v>
      </c>
      <c r="AQ69" t="s">
        <v>64</v>
      </c>
      <c r="AR69">
        <v>56</v>
      </c>
      <c r="AS69">
        <f>IFERROR(INDEX(水保局全省災害資料!$X$2:$X$2000, MATCH(1, INDEX((水保局全省災害資料!$T$2:$T$2000=W69)*(水保局全省災害資料!$U$2:$U$2000=X69), 0, 1), 0)), "")</f>
        <v>0</v>
      </c>
      <c r="AT69">
        <f>IFERROR(INDEX(水保局全省災害資料!$T$2:$T$2000, MATCH(1, INDEX((水保局全省災害資料!$T$2:$T$2000=W69)*(水保局全省災害資料!$U$2:$U$2000=X69), 0, 1), 0)), "")</f>
        <v>96.5</v>
      </c>
      <c r="AU69">
        <f>IFERROR(INDEX(水保局全省災害資料!$U$2:$U$2000, MATCH(1, INDEX((水保局全省災害資料!$T$2:$T$2000=W69)*(水保局全省災害資料!$U$2:$U$2000=X69), 0, 1), 0)), "")</f>
        <v>1105</v>
      </c>
      <c r="AV69" t="str">
        <f>IFERROR(INDEX(水保局全省災害資料!$B$2:$B$2000, MATCH(1, INDEX((水保局全省災害資料!$T$2:$T$2000=W69)*(水保局全省災害資料!$U$2:$U$2000=X69), 0, 1), 0)), "")</f>
        <v>土石流、洪水</v>
      </c>
    </row>
    <row r="70" spans="1:48">
      <c r="A70" t="s">
        <v>44</v>
      </c>
      <c r="B70" t="s">
        <v>292</v>
      </c>
      <c r="C70" t="s">
        <v>303</v>
      </c>
      <c r="D70" t="s">
        <v>304</v>
      </c>
      <c r="F70" t="s">
        <v>127</v>
      </c>
      <c r="G70">
        <v>100</v>
      </c>
      <c r="H70" t="s">
        <v>300</v>
      </c>
      <c r="I70" s="13">
        <v>40818.208333333336</v>
      </c>
      <c r="M70" t="str">
        <f>IF(SUMIFS(水保局全省災害資料!$X:$X, 水保局全省災害資料!$E:$E, A70, 水保局全省災害資料!$F:$F, B70, 水保局全省災害資料!$N:$N, H70)=0, "", SUMIFS(水保局全省災害資料!$X:$X, 水保局全省災害資料!$E:$E, A70, 水保局全省災害資料!$F:$F, B70, 水保局全省災害資料!$N:$N, H70))</f>
        <v/>
      </c>
      <c r="P70" t="s">
        <v>51</v>
      </c>
      <c r="S70">
        <v>550</v>
      </c>
      <c r="T70" t="s">
        <v>305</v>
      </c>
      <c r="U70" t="s">
        <v>306</v>
      </c>
      <c r="V70">
        <v>1633.5</v>
      </c>
      <c r="W70">
        <v>14.5</v>
      </c>
      <c r="X70">
        <v>422.8</v>
      </c>
      <c r="Y70">
        <v>37.5</v>
      </c>
      <c r="Z70">
        <v>59.5</v>
      </c>
      <c r="AA70">
        <v>178.5</v>
      </c>
      <c r="AB70">
        <v>278</v>
      </c>
      <c r="AC70" t="s">
        <v>63</v>
      </c>
      <c r="AD70" t="s">
        <v>63</v>
      </c>
      <c r="AE70" t="s">
        <v>63</v>
      </c>
      <c r="AF70" t="s">
        <v>63</v>
      </c>
      <c r="AG70" t="s">
        <v>63</v>
      </c>
      <c r="AH70">
        <v>110.5</v>
      </c>
      <c r="AI70">
        <v>240</v>
      </c>
      <c r="AJ70">
        <v>449.5</v>
      </c>
      <c r="AK70">
        <v>719.5</v>
      </c>
      <c r="AL70">
        <v>1092.5</v>
      </c>
      <c r="AM70" t="s">
        <v>57</v>
      </c>
      <c r="AN70" t="s">
        <v>58</v>
      </c>
      <c r="AO70" t="s">
        <v>64</v>
      </c>
      <c r="AP70" t="s">
        <v>64</v>
      </c>
      <c r="AQ70" t="s">
        <v>64</v>
      </c>
      <c r="AR70">
        <v>32</v>
      </c>
      <c r="AS70">
        <f>IFERROR(INDEX(水保局全省災害資料!$X$2:$X$2000, MATCH(1, INDEX((水保局全省災害資料!$T$2:$T$2000=W70)*(水保局全省災害資料!$U$2:$U$2000=X70), 0, 1), 0)), "")</f>
        <v>0</v>
      </c>
      <c r="AT70">
        <f>IFERROR(INDEX(水保局全省災害資料!$T$2:$T$2000, MATCH(1, INDEX((水保局全省災害資料!$T$2:$T$2000=W70)*(水保局全省災害資料!$U$2:$U$2000=X70), 0, 1), 0)), "")</f>
        <v>14.5</v>
      </c>
      <c r="AU70">
        <f>IFERROR(INDEX(水保局全省災害資料!$U$2:$U$2000, MATCH(1, INDEX((水保局全省災害資料!$T$2:$T$2000=W70)*(水保局全省災害資料!$U$2:$U$2000=X70), 0, 1), 0)), "")</f>
        <v>422.8</v>
      </c>
      <c r="AV70" t="str">
        <f>IFERROR(INDEX(水保局全省災害資料!$B$2:$B$2000, MATCH(1, INDEX((水保局全省災害資料!$T$2:$T$2000=W70)*(水保局全省災害資料!$U$2:$U$2000=X70), 0, 1), 0)), "")</f>
        <v>土石流</v>
      </c>
    </row>
    <row r="71" spans="1:48">
      <c r="A71" t="s">
        <v>44</v>
      </c>
      <c r="B71" t="s">
        <v>45</v>
      </c>
      <c r="C71" t="s">
        <v>46</v>
      </c>
      <c r="D71" t="s">
        <v>307</v>
      </c>
      <c r="F71" t="s">
        <v>127</v>
      </c>
      <c r="G71">
        <v>101</v>
      </c>
      <c r="H71" t="s">
        <v>49</v>
      </c>
      <c r="I71" s="13">
        <v>41123.083333333336</v>
      </c>
      <c r="M71" t="str">
        <f>IF(SUMIFS(水保局全省災害資料!$X:$X, 水保局全省災害資料!$E:$E, A71, 水保局全省災害資料!$F:$F, B71, 水保局全省災害資料!$N:$N, H71)=0, "", SUMIFS(水保局全省災害資料!$X:$X, 水保局全省災害資料!$E:$E, A71, 水保局全省災害資料!$F:$F, B71, 水保局全省災害資料!$N:$N, H71))</f>
        <v/>
      </c>
      <c r="P71" t="s">
        <v>51</v>
      </c>
      <c r="S71">
        <v>450</v>
      </c>
      <c r="T71" t="s">
        <v>52</v>
      </c>
      <c r="U71" t="s">
        <v>53</v>
      </c>
      <c r="V71">
        <v>878.5</v>
      </c>
      <c r="W71">
        <v>74.5</v>
      </c>
      <c r="X71">
        <v>668.9</v>
      </c>
      <c r="Y71">
        <v>158</v>
      </c>
      <c r="Z71">
        <v>259</v>
      </c>
      <c r="AA71">
        <v>333</v>
      </c>
      <c r="AB71">
        <v>442.5</v>
      </c>
      <c r="AC71" t="s">
        <v>54</v>
      </c>
      <c r="AD71" t="s">
        <v>55</v>
      </c>
      <c r="AE71" t="s">
        <v>56</v>
      </c>
      <c r="AF71" t="s">
        <v>55</v>
      </c>
      <c r="AG71" t="s">
        <v>55</v>
      </c>
      <c r="AH71">
        <v>74.5</v>
      </c>
      <c r="AI71">
        <v>178</v>
      </c>
      <c r="AJ71">
        <v>300</v>
      </c>
      <c r="AK71">
        <v>433</v>
      </c>
      <c r="AL71">
        <v>582.5</v>
      </c>
      <c r="AM71" t="s">
        <v>54</v>
      </c>
      <c r="AN71" t="s">
        <v>56</v>
      </c>
      <c r="AO71" t="s">
        <v>57</v>
      </c>
      <c r="AP71" t="s">
        <v>58</v>
      </c>
      <c r="AQ71" t="s">
        <v>58</v>
      </c>
      <c r="AR71">
        <v>59</v>
      </c>
      <c r="AS71">
        <f>IFERROR(INDEX(水保局全省災害資料!$X$2:$X$2000, MATCH(1, INDEX((水保局全省災害資料!$T$2:$T$2000=W71)*(水保局全省災害資料!$U$2:$U$2000=X71), 0, 1), 0)), "")</f>
        <v>0</v>
      </c>
      <c r="AT71">
        <f>IFERROR(INDEX(水保局全省災害資料!$T$2:$T$2000, MATCH(1, INDEX((水保局全省災害資料!$T$2:$T$2000=W71)*(水保局全省災害資料!$U$2:$U$2000=X71), 0, 1), 0)), "")</f>
        <v>74.5</v>
      </c>
      <c r="AU71">
        <f>IFERROR(INDEX(水保局全省災害資料!$U$2:$U$2000, MATCH(1, INDEX((水保局全省災害資料!$T$2:$T$2000=W71)*(水保局全省災害資料!$U$2:$U$2000=X71), 0, 1), 0)), "")</f>
        <v>668.9</v>
      </c>
      <c r="AV71" t="str">
        <f>IFERROR(INDEX(水保局全省災害資料!$B$2:$B$2000, MATCH(1, INDEX((水保局全省災害資料!$T$2:$T$2000=W71)*(水保局全省災害資料!$U$2:$U$2000=X71), 0, 1), 0)), "")</f>
        <v>土石流</v>
      </c>
    </row>
    <row r="72" spans="1:48">
      <c r="A72" t="s">
        <v>44</v>
      </c>
      <c r="B72" t="s">
        <v>308</v>
      </c>
      <c r="C72" t="s">
        <v>309</v>
      </c>
      <c r="D72" t="s">
        <v>310</v>
      </c>
      <c r="F72" t="s">
        <v>127</v>
      </c>
      <c r="G72">
        <v>99</v>
      </c>
      <c r="H72" t="s">
        <v>254</v>
      </c>
      <c r="I72" s="13">
        <v>40472.458333333336</v>
      </c>
      <c r="M72" t="str">
        <f>IF(SUMIFS(水保局全省災害資料!$X:$X, 水保局全省災害資料!$E:$E, A72, 水保局全省災害資料!$F:$F, B72, 水保局全省災害資料!$N:$N, H72)=0, "", SUMIFS(水保局全省災害資料!$X:$X, 水保局全省災害資料!$E:$E, A72, 水保局全省災害資料!$F:$F, B72, 水保局全省災害資料!$N:$N, H72))</f>
        <v/>
      </c>
      <c r="P72" t="s">
        <v>51</v>
      </c>
      <c r="S72">
        <v>600</v>
      </c>
      <c r="T72">
        <v>467060</v>
      </c>
      <c r="U72" t="s">
        <v>311</v>
      </c>
      <c r="V72">
        <v>1360.3</v>
      </c>
      <c r="W72">
        <v>114.5</v>
      </c>
      <c r="X72">
        <v>750.5</v>
      </c>
      <c r="Y72">
        <v>160</v>
      </c>
      <c r="Z72">
        <v>199</v>
      </c>
      <c r="AA72">
        <v>234</v>
      </c>
      <c r="AB72">
        <v>407.5</v>
      </c>
      <c r="AC72" t="s">
        <v>57</v>
      </c>
      <c r="AD72" t="s">
        <v>54</v>
      </c>
      <c r="AE72" t="s">
        <v>63</v>
      </c>
      <c r="AF72" t="s">
        <v>63</v>
      </c>
      <c r="AG72" t="s">
        <v>63</v>
      </c>
      <c r="AH72">
        <v>181.5</v>
      </c>
      <c r="AI72">
        <v>444</v>
      </c>
      <c r="AJ72">
        <v>645</v>
      </c>
      <c r="AK72">
        <v>861</v>
      </c>
      <c r="AL72">
        <v>1077.5</v>
      </c>
      <c r="AM72" t="s">
        <v>64</v>
      </c>
      <c r="AN72" t="s">
        <v>64</v>
      </c>
      <c r="AO72" t="s">
        <v>64</v>
      </c>
      <c r="AP72" t="s">
        <v>64</v>
      </c>
      <c r="AQ72" t="s">
        <v>64</v>
      </c>
      <c r="AR72">
        <v>21</v>
      </c>
      <c r="AS72" t="str">
        <f>IFERROR(INDEX(水保局全省災害資料!$X$2:$X$2000, MATCH(1, INDEX((水保局全省災害資料!$T$2:$T$2000=W72)*(水保局全省災害資料!$U$2:$U$2000=X72), 0, 1), 0)), "")</f>
        <v/>
      </c>
      <c r="AT72" t="str">
        <f>IFERROR(INDEX(水保局全省災害資料!$T$2:$T$2000, MATCH(1, INDEX((水保局全省災害資料!$T$2:$T$2000=W72)*(水保局全省災害資料!$U$2:$U$2000=X72), 0, 1), 0)), "")</f>
        <v/>
      </c>
      <c r="AU72" t="str">
        <f>IFERROR(INDEX(水保局全省災害資料!$U$2:$U$2000, MATCH(1, INDEX((水保局全省災害資料!$T$2:$T$2000=W72)*(水保局全省災害資料!$U$2:$U$2000=X72), 0, 1), 0)), "")</f>
        <v/>
      </c>
      <c r="AV72" t="str">
        <f>IFERROR(INDEX(水保局全省災害資料!$B$2:$B$2000, MATCH(1, INDEX((水保局全省災害資料!$T$2:$T$2000=W72)*(水保局全省災害資料!$U$2:$U$2000=X72), 0, 1), 0)), "")</f>
        <v/>
      </c>
    </row>
    <row r="73" spans="1:48">
      <c r="A73" t="s">
        <v>44</v>
      </c>
      <c r="B73" t="s">
        <v>308</v>
      </c>
      <c r="C73" t="s">
        <v>312</v>
      </c>
      <c r="D73" t="s">
        <v>313</v>
      </c>
      <c r="F73" t="s">
        <v>127</v>
      </c>
      <c r="G73">
        <v>99</v>
      </c>
      <c r="H73" t="s">
        <v>254</v>
      </c>
      <c r="I73" s="13">
        <v>40472.604166666664</v>
      </c>
      <c r="M73" t="str">
        <f>IF(SUMIFS(水保局全省災害資料!$X:$X, 水保局全省災害資料!$E:$E, A73, 水保局全省災害資料!$F:$F, B73, 水保局全省災害資料!$N:$N, H73)=0, "", SUMIFS(水保局全省災害資料!$X:$X, 水保局全省災害資料!$E:$E, A73, 水保局全省災害資料!$F:$F, B73, 水保局全省災害資料!$N:$N, H73))</f>
        <v/>
      </c>
      <c r="P73" t="s">
        <v>51</v>
      </c>
      <c r="S73">
        <v>600</v>
      </c>
      <c r="T73">
        <v>467060</v>
      </c>
      <c r="U73" t="s">
        <v>311</v>
      </c>
      <c r="V73">
        <v>1360.3</v>
      </c>
      <c r="W73">
        <v>181.5</v>
      </c>
      <c r="X73">
        <v>1066</v>
      </c>
      <c r="Y73">
        <v>430</v>
      </c>
      <c r="Z73">
        <v>486.5</v>
      </c>
      <c r="AA73">
        <v>522.5</v>
      </c>
      <c r="AB73">
        <v>723</v>
      </c>
      <c r="AC73" t="s">
        <v>64</v>
      </c>
      <c r="AD73" t="s">
        <v>64</v>
      </c>
      <c r="AE73" t="s">
        <v>64</v>
      </c>
      <c r="AF73" t="s">
        <v>58</v>
      </c>
      <c r="AG73" t="s">
        <v>58</v>
      </c>
      <c r="AH73">
        <v>181.5</v>
      </c>
      <c r="AI73">
        <v>444</v>
      </c>
      <c r="AJ73">
        <v>645</v>
      </c>
      <c r="AK73">
        <v>861</v>
      </c>
      <c r="AL73">
        <v>1077.5</v>
      </c>
      <c r="AM73" t="s">
        <v>64</v>
      </c>
      <c r="AN73" t="s">
        <v>64</v>
      </c>
      <c r="AO73" t="s">
        <v>64</v>
      </c>
      <c r="AP73" t="s">
        <v>64</v>
      </c>
      <c r="AQ73" t="s">
        <v>64</v>
      </c>
      <c r="AR73">
        <v>23</v>
      </c>
      <c r="AS73" t="str">
        <f>IFERROR(INDEX(水保局全省災害資料!$X$2:$X$2000, MATCH(1, INDEX((水保局全省災害資料!$T$2:$T$2000=W73)*(水保局全省災害資料!$U$2:$U$2000=X73), 0, 1), 0)), "")</f>
        <v/>
      </c>
      <c r="AT73" t="str">
        <f>IFERROR(INDEX(水保局全省災害資料!$T$2:$T$2000, MATCH(1, INDEX((水保局全省災害資料!$T$2:$T$2000=W73)*(水保局全省災害資料!$U$2:$U$2000=X73), 0, 1), 0)), "")</f>
        <v/>
      </c>
      <c r="AU73" t="str">
        <f>IFERROR(INDEX(水保局全省災害資料!$U$2:$U$2000, MATCH(1, INDEX((水保局全省災害資料!$T$2:$T$2000=W73)*(水保局全省災害資料!$U$2:$U$2000=X73), 0, 1), 0)), "")</f>
        <v/>
      </c>
      <c r="AV73" t="str">
        <f>IFERROR(INDEX(水保局全省災害資料!$B$2:$B$2000, MATCH(1, INDEX((水保局全省災害資料!$T$2:$T$2000=W73)*(水保局全省災害資料!$U$2:$U$2000=X73), 0, 1), 0)), "")</f>
        <v/>
      </c>
    </row>
    <row r="74" spans="1:48">
      <c r="A74" t="s">
        <v>44</v>
      </c>
      <c r="B74" t="s">
        <v>308</v>
      </c>
      <c r="C74" t="s">
        <v>314</v>
      </c>
      <c r="D74" t="s">
        <v>315</v>
      </c>
      <c r="F74" t="s">
        <v>48</v>
      </c>
      <c r="G74">
        <v>113</v>
      </c>
      <c r="H74" t="s">
        <v>59</v>
      </c>
      <c r="I74" s="13">
        <v>45498.435416666667</v>
      </c>
      <c r="M74" t="str">
        <f>IF(SUMIFS(水保局全省災害資料!$X:$X, 水保局全省災害資料!$E:$E, A74, 水保局全省災害資料!$F:$F, B74, 水保局全省災害資料!$N:$N, H74)=0, "", SUMIFS(水保局全省災害資料!$X:$X, 水保局全省災害資料!$E:$E, A74, 水保局全省災害資料!$F:$F, B74, 水保局全省災害資料!$N:$N, H74))</f>
        <v/>
      </c>
      <c r="P74" t="s">
        <v>60</v>
      </c>
      <c r="S74">
        <v>400</v>
      </c>
      <c r="T74" t="s">
        <v>316</v>
      </c>
      <c r="U74" t="s">
        <v>317</v>
      </c>
      <c r="V74">
        <v>433</v>
      </c>
      <c r="W74">
        <v>5</v>
      </c>
      <c r="X74">
        <v>446</v>
      </c>
      <c r="Y74">
        <v>25</v>
      </c>
      <c r="Z74">
        <v>61</v>
      </c>
      <c r="AA74">
        <v>161.5</v>
      </c>
      <c r="AB74">
        <v>372</v>
      </c>
      <c r="AC74" t="s">
        <v>63</v>
      </c>
      <c r="AD74" t="s">
        <v>63</v>
      </c>
      <c r="AE74" t="s">
        <v>63</v>
      </c>
      <c r="AF74" t="s">
        <v>63</v>
      </c>
      <c r="AG74" t="s">
        <v>63</v>
      </c>
      <c r="AH74">
        <v>44</v>
      </c>
      <c r="AI74">
        <v>91.5</v>
      </c>
      <c r="AJ74">
        <v>163</v>
      </c>
      <c r="AK74">
        <v>269.5</v>
      </c>
      <c r="AL74">
        <v>394</v>
      </c>
      <c r="AM74" t="s">
        <v>63</v>
      </c>
      <c r="AN74" t="s">
        <v>63</v>
      </c>
      <c r="AO74" t="s">
        <v>63</v>
      </c>
      <c r="AP74" t="s">
        <v>63</v>
      </c>
      <c r="AQ74" t="s">
        <v>63</v>
      </c>
      <c r="AR74">
        <v>30</v>
      </c>
      <c r="AS74">
        <f>IFERROR(INDEX(水保局全省災害資料!$X$2:$X$2000, MATCH(1, INDEX((水保局全省災害資料!$T$2:$T$2000=W74)*(水保局全省災害資料!$U$2:$U$2000=X74), 0, 1), 0)), "")</f>
        <v>0</v>
      </c>
      <c r="AT74">
        <f>IFERROR(INDEX(水保局全省災害資料!$T$2:$T$2000, MATCH(1, INDEX((水保局全省災害資料!$T$2:$T$2000=W74)*(水保局全省災害資料!$U$2:$U$2000=X74), 0, 1), 0)), "")</f>
        <v>5</v>
      </c>
      <c r="AU74">
        <f>IFERROR(INDEX(水保局全省災害資料!$U$2:$U$2000, MATCH(1, INDEX((水保局全省災害資料!$T$2:$T$2000=W74)*(水保局全省災害資料!$U$2:$U$2000=X74), 0, 1), 0)), "")</f>
        <v>446</v>
      </c>
      <c r="AV74" t="str">
        <f>IFERROR(INDEX(水保局全省災害資料!$B$2:$B$2000, MATCH(1, INDEX((水保局全省災害資料!$T$2:$T$2000=W74)*(水保局全省災害資料!$U$2:$U$2000=X74), 0, 1), 0)), "")</f>
        <v>土石流 、崩塌 (沖蝕 )</v>
      </c>
    </row>
    <row r="75" spans="1:48">
      <c r="A75" t="s">
        <v>318</v>
      </c>
      <c r="B75" t="s">
        <v>319</v>
      </c>
      <c r="C75" t="s">
        <v>320</v>
      </c>
      <c r="D75" t="s">
        <v>321</v>
      </c>
      <c r="F75" t="s">
        <v>127</v>
      </c>
      <c r="G75">
        <v>104</v>
      </c>
      <c r="H75" t="s">
        <v>295</v>
      </c>
      <c r="I75" s="13">
        <v>42224.25</v>
      </c>
      <c r="M75" t="str">
        <f>IF(SUMIFS(水保局全省災害資料!$X:$X, 水保局全省災害資料!$E:$E, A75, 水保局全省災害資料!$F:$F, B75, 水保局全省災害資料!$N:$N, H75)=0, "", SUMIFS(水保局全省災害資料!$X:$X, 水保局全省災害資料!$E:$E, A75, 水保局全省災害資料!$F:$F, B75, 水保局全省災害資料!$N:$N, H75))</f>
        <v/>
      </c>
      <c r="P75" t="s">
        <v>51</v>
      </c>
      <c r="S75">
        <v>350</v>
      </c>
      <c r="T75" t="s">
        <v>322</v>
      </c>
      <c r="U75" t="s">
        <v>323</v>
      </c>
      <c r="V75">
        <v>849</v>
      </c>
      <c r="W75">
        <v>100</v>
      </c>
      <c r="X75">
        <v>617</v>
      </c>
      <c r="Y75">
        <v>190</v>
      </c>
      <c r="Z75">
        <v>253</v>
      </c>
      <c r="AA75">
        <v>372</v>
      </c>
      <c r="AB75">
        <v>584</v>
      </c>
      <c r="AC75" t="s">
        <v>56</v>
      </c>
      <c r="AD75" t="s">
        <v>56</v>
      </c>
      <c r="AE75" t="s">
        <v>55</v>
      </c>
      <c r="AF75" t="s">
        <v>55</v>
      </c>
      <c r="AG75" t="s">
        <v>56</v>
      </c>
      <c r="AH75">
        <v>100</v>
      </c>
      <c r="AI75">
        <v>266</v>
      </c>
      <c r="AJ75">
        <v>416</v>
      </c>
      <c r="AK75">
        <v>529</v>
      </c>
      <c r="AL75">
        <v>836</v>
      </c>
      <c r="AM75" t="s">
        <v>56</v>
      </c>
      <c r="AN75" t="s">
        <v>87</v>
      </c>
      <c r="AO75" t="s">
        <v>64</v>
      </c>
      <c r="AP75" t="s">
        <v>58</v>
      </c>
      <c r="AQ75" t="s">
        <v>64</v>
      </c>
      <c r="AR75">
        <v>21</v>
      </c>
      <c r="AS75">
        <f>IFERROR(INDEX(水保局全省災害資料!$X$2:$X$2000, MATCH(1, INDEX((水保局全省災害資料!$T$2:$T$2000=W75)*(水保局全省災害資料!$U$2:$U$2000=X75), 0, 1), 0)), "")</f>
        <v>0</v>
      </c>
      <c r="AT75">
        <f>IFERROR(INDEX(水保局全省災害資料!$T$2:$T$2000, MATCH(1, INDEX((水保局全省災害資料!$T$2:$T$2000=W75)*(水保局全省災害資料!$U$2:$U$2000=X75), 0, 1), 0)), "")</f>
        <v>100</v>
      </c>
      <c r="AU75">
        <f>IFERROR(INDEX(水保局全省災害資料!$U$2:$U$2000, MATCH(1, INDEX((水保局全省災害資料!$T$2:$T$2000=W75)*(水保局全省災害資料!$U$2:$U$2000=X75), 0, 1), 0)), "")</f>
        <v>617</v>
      </c>
      <c r="AV75" t="str">
        <f>IFERROR(INDEX(水保局全省災害資料!$B$2:$B$2000, MATCH(1, INDEX((水保局全省災害資料!$T$2:$T$2000=W75)*(水保局全省災害資料!$U$2:$U$2000=X75), 0, 1), 0)), "")</f>
        <v>土石流</v>
      </c>
    </row>
    <row r="76" spans="1:48">
      <c r="A76" t="s">
        <v>318</v>
      </c>
      <c r="B76" t="s">
        <v>324</v>
      </c>
      <c r="C76" t="s">
        <v>325</v>
      </c>
      <c r="D76" t="s">
        <v>326</v>
      </c>
      <c r="F76" t="s">
        <v>127</v>
      </c>
      <c r="G76">
        <v>104</v>
      </c>
      <c r="H76" t="s">
        <v>327</v>
      </c>
      <c r="I76" s="13">
        <v>42275.916666666664</v>
      </c>
      <c r="M76" t="str">
        <f>IF(SUMIFS(水保局全省災害資料!$X:$X, 水保局全省災害資料!$E:$E, A76, 水保局全省災害資料!$F:$F, B76, 水保局全省災害資料!$N:$N, H76)=0, "", SUMIFS(水保局全省災害資料!$X:$X, 水保局全省災害資料!$E:$E, A76, 水保局全省災害資料!$F:$F, B76, 水保局全省災害資料!$N:$N, H76))</f>
        <v/>
      </c>
      <c r="P76" t="s">
        <v>51</v>
      </c>
      <c r="S76">
        <v>550</v>
      </c>
      <c r="T76" t="s">
        <v>328</v>
      </c>
      <c r="U76" t="s">
        <v>329</v>
      </c>
      <c r="V76">
        <v>481</v>
      </c>
      <c r="W76">
        <v>25</v>
      </c>
      <c r="X76">
        <v>357</v>
      </c>
      <c r="Y76">
        <v>94</v>
      </c>
      <c r="Z76">
        <v>225</v>
      </c>
      <c r="AA76">
        <v>325</v>
      </c>
      <c r="AB76">
        <v>418.5</v>
      </c>
      <c r="AC76" t="s">
        <v>63</v>
      </c>
      <c r="AD76" t="s">
        <v>63</v>
      </c>
      <c r="AE76" t="s">
        <v>54</v>
      </c>
      <c r="AF76" t="s">
        <v>54</v>
      </c>
      <c r="AG76" t="s">
        <v>54</v>
      </c>
      <c r="AH76">
        <v>54.5</v>
      </c>
      <c r="AI76">
        <v>131</v>
      </c>
      <c r="AJ76">
        <v>225</v>
      </c>
      <c r="AK76">
        <v>344.5</v>
      </c>
      <c r="AL76">
        <v>438</v>
      </c>
      <c r="AM76" t="s">
        <v>63</v>
      </c>
      <c r="AN76" t="s">
        <v>63</v>
      </c>
      <c r="AO76" t="s">
        <v>54</v>
      </c>
      <c r="AP76" t="s">
        <v>55</v>
      </c>
      <c r="AQ76" t="s">
        <v>54</v>
      </c>
      <c r="AR76">
        <v>27</v>
      </c>
      <c r="AS76">
        <f>IFERROR(INDEX(水保局全省災害資料!$X$2:$X$2000, MATCH(1, INDEX((水保局全省災害資料!$T$2:$T$2000=W76)*(水保局全省災害資料!$U$2:$U$2000=X76), 0, 1), 0)), "")</f>
        <v>0</v>
      </c>
      <c r="AT76">
        <f>IFERROR(INDEX(水保局全省災害資料!$T$2:$T$2000, MATCH(1, INDEX((水保局全省災害資料!$T$2:$T$2000=W76)*(水保局全省災害資料!$U$2:$U$2000=X76), 0, 1), 0)), "")</f>
        <v>25</v>
      </c>
      <c r="AU76">
        <f>IFERROR(INDEX(水保局全省災害資料!$U$2:$U$2000, MATCH(1, INDEX((水保局全省災害資料!$T$2:$T$2000=W76)*(水保局全省災害資料!$U$2:$U$2000=X76), 0, 1), 0)), "")</f>
        <v>357</v>
      </c>
      <c r="AV76" t="str">
        <f>IFERROR(INDEX(水保局全省災害資料!$B$2:$B$2000, MATCH(1, INDEX((水保局全省災害資料!$T$2:$T$2000=W76)*(水保局全省災害資料!$U$2:$U$2000=X76), 0, 1), 0)), "")</f>
        <v>土石流</v>
      </c>
    </row>
    <row r="77" spans="1:48">
      <c r="A77" t="s">
        <v>318</v>
      </c>
      <c r="B77" t="s">
        <v>330</v>
      </c>
      <c r="C77" t="s">
        <v>331</v>
      </c>
      <c r="D77" t="s">
        <v>332</v>
      </c>
      <c r="F77" t="s">
        <v>48</v>
      </c>
      <c r="G77">
        <v>104</v>
      </c>
      <c r="H77" t="s">
        <v>295</v>
      </c>
      <c r="I77" s="13">
        <v>42224.25</v>
      </c>
      <c r="M77" t="str">
        <f>IF(SUMIFS(水保局全省災害資料!$X:$X, 水保局全省災害資料!$E:$E, A77, 水保局全省災害資料!$F:$F, B77, 水保局全省災害資料!$N:$N, H77)=0, "", SUMIFS(水保局全省災害資料!$X:$X, 水保局全省災害資料!$E:$E, A77, 水保局全省災害資料!$F:$F, B77, 水保局全省災害資料!$N:$N, H77))</f>
        <v/>
      </c>
      <c r="P77" t="s">
        <v>51</v>
      </c>
      <c r="S77">
        <v>400</v>
      </c>
      <c r="T77" t="s">
        <v>333</v>
      </c>
      <c r="U77" t="s">
        <v>334</v>
      </c>
      <c r="V77">
        <v>712</v>
      </c>
      <c r="W77">
        <v>95</v>
      </c>
      <c r="X77">
        <v>350</v>
      </c>
      <c r="Y77">
        <v>227.5</v>
      </c>
      <c r="Z77">
        <v>361.5</v>
      </c>
      <c r="AA77">
        <v>510.5</v>
      </c>
      <c r="AB77">
        <v>566.5</v>
      </c>
      <c r="AC77" t="s">
        <v>56</v>
      </c>
      <c r="AD77" t="s">
        <v>58</v>
      </c>
      <c r="AE77" t="s">
        <v>87</v>
      </c>
      <c r="AF77" t="s">
        <v>87</v>
      </c>
      <c r="AG77" t="s">
        <v>56</v>
      </c>
      <c r="AH77">
        <v>82</v>
      </c>
      <c r="AI77">
        <v>224</v>
      </c>
      <c r="AJ77">
        <v>412</v>
      </c>
      <c r="AK77">
        <v>616</v>
      </c>
      <c r="AL77">
        <v>706</v>
      </c>
      <c r="AM77" t="s">
        <v>55</v>
      </c>
      <c r="AN77" t="s">
        <v>57</v>
      </c>
      <c r="AO77" t="s">
        <v>64</v>
      </c>
      <c r="AP77" t="s">
        <v>64</v>
      </c>
      <c r="AQ77" t="s">
        <v>87</v>
      </c>
      <c r="AR77">
        <v>20</v>
      </c>
      <c r="AS77">
        <f>IFERROR(INDEX(水保局全省災害資料!$X$2:$X$2000, MATCH(1, INDEX((水保局全省災害資料!$T$2:$T$2000=W77)*(水保局全省災害資料!$U$2:$U$2000=X77), 0, 1), 0)), "")</f>
        <v>0</v>
      </c>
      <c r="AT77">
        <f>IFERROR(INDEX(水保局全省災害資料!$T$2:$T$2000, MATCH(1, INDEX((水保局全省災害資料!$T$2:$T$2000=W77)*(水保局全省災害資料!$U$2:$U$2000=X77), 0, 1), 0)), "")</f>
        <v>95</v>
      </c>
      <c r="AU77">
        <f>IFERROR(INDEX(水保局全省災害資料!$U$2:$U$2000, MATCH(1, INDEX((水保局全省災害資料!$T$2:$T$2000=W77)*(水保局全省災害資料!$U$2:$U$2000=X77), 0, 1), 0)), "")</f>
        <v>350</v>
      </c>
      <c r="AV77" t="str">
        <f>IFERROR(INDEX(水保局全省災害資料!$B$2:$B$2000, MATCH(1, INDEX((水保局全省災害資料!$T$2:$T$2000=W77)*(水保局全省災害資料!$U$2:$U$2000=X77), 0, 1), 0)), "")</f>
        <v>土石流</v>
      </c>
    </row>
    <row r="78" spans="1:48">
      <c r="A78" t="s">
        <v>318</v>
      </c>
      <c r="B78" t="s">
        <v>330</v>
      </c>
      <c r="C78" t="s">
        <v>335</v>
      </c>
      <c r="D78" t="s">
        <v>336</v>
      </c>
      <c r="F78" t="s">
        <v>127</v>
      </c>
      <c r="G78">
        <v>104</v>
      </c>
      <c r="H78" t="s">
        <v>295</v>
      </c>
      <c r="I78" s="13">
        <v>42224.166666666664</v>
      </c>
      <c r="M78" t="str">
        <f>IF(SUMIFS(水保局全省災害資料!$X:$X, 水保局全省災害資料!$E:$E, A78, 水保局全省災害資料!$F:$F, B78, 水保局全省災害資料!$N:$N, H78)=0, "", SUMIFS(水保局全省災害資料!$X:$X, 水保局全省災害資料!$E:$E, A78, 水保局全省災害資料!$F:$F, B78, 水保局全省災害資料!$N:$N, H78))</f>
        <v/>
      </c>
      <c r="P78" t="s">
        <v>51</v>
      </c>
      <c r="S78">
        <v>400</v>
      </c>
      <c r="T78" t="s">
        <v>337</v>
      </c>
      <c r="U78" t="s">
        <v>338</v>
      </c>
      <c r="V78">
        <v>501</v>
      </c>
      <c r="W78">
        <v>38</v>
      </c>
      <c r="X78">
        <v>240</v>
      </c>
      <c r="Y78">
        <v>96</v>
      </c>
      <c r="Z78">
        <v>115</v>
      </c>
      <c r="AA78">
        <v>180</v>
      </c>
      <c r="AB78">
        <v>203</v>
      </c>
      <c r="AC78" t="s">
        <v>63</v>
      </c>
      <c r="AD78" t="s">
        <v>63</v>
      </c>
      <c r="AE78" t="s">
        <v>63</v>
      </c>
      <c r="AF78" t="s">
        <v>63</v>
      </c>
      <c r="AG78" t="s">
        <v>63</v>
      </c>
      <c r="AH78">
        <v>70</v>
      </c>
      <c r="AI78">
        <v>175</v>
      </c>
      <c r="AJ78">
        <v>296</v>
      </c>
      <c r="AK78">
        <v>407</v>
      </c>
      <c r="AL78">
        <v>501</v>
      </c>
      <c r="AM78" t="s">
        <v>54</v>
      </c>
      <c r="AN78" t="s">
        <v>55</v>
      </c>
      <c r="AO78" t="s">
        <v>56</v>
      </c>
      <c r="AP78" t="s">
        <v>56</v>
      </c>
      <c r="AQ78" t="s">
        <v>55</v>
      </c>
      <c r="AR78">
        <v>17</v>
      </c>
      <c r="AS78">
        <f>IFERROR(INDEX(水保局全省災害資料!$X$2:$X$2000, MATCH(1, INDEX((水保局全省災害資料!$T$2:$T$2000=W78)*(水保局全省災害資料!$U$2:$U$2000=X78), 0, 1), 0)), "")</f>
        <v>0</v>
      </c>
      <c r="AT78">
        <f>IFERROR(INDEX(水保局全省災害資料!$T$2:$T$2000, MATCH(1, INDEX((水保局全省災害資料!$T$2:$T$2000=W78)*(水保局全省災害資料!$U$2:$U$2000=X78), 0, 1), 0)), "")</f>
        <v>38</v>
      </c>
      <c r="AU78">
        <f>IFERROR(INDEX(水保局全省災害資料!$U$2:$U$2000, MATCH(1, INDEX((水保局全省災害資料!$T$2:$T$2000=W78)*(水保局全省災害資料!$U$2:$U$2000=X78), 0, 1), 0)), "")</f>
        <v>240</v>
      </c>
      <c r="AV78" t="str">
        <f>IFERROR(INDEX(水保局全省災害資料!$B$2:$B$2000, MATCH(1, INDEX((水保局全省災害資料!$T$2:$T$2000=W78)*(水保局全省災害資料!$U$2:$U$2000=X78), 0, 1), 0)), "")</f>
        <v>土石流</v>
      </c>
    </row>
    <row r="79" spans="1:48">
      <c r="A79" t="s">
        <v>318</v>
      </c>
      <c r="B79" t="s">
        <v>330</v>
      </c>
      <c r="C79" t="s">
        <v>335</v>
      </c>
      <c r="D79" t="s">
        <v>339</v>
      </c>
      <c r="F79" t="s">
        <v>127</v>
      </c>
      <c r="G79">
        <v>104</v>
      </c>
      <c r="H79" t="s">
        <v>295</v>
      </c>
      <c r="I79" s="13">
        <v>42224.25</v>
      </c>
      <c r="M79" t="str">
        <f>IF(SUMIFS(水保局全省災害資料!$X:$X, 水保局全省災害資料!$E:$E, A79, 水保局全省災害資料!$F:$F, B79, 水保局全省災害資料!$N:$N, H79)=0, "", SUMIFS(水保局全省災害資料!$X:$X, 水保局全省災害資料!$E:$E, A79, 水保局全省災害資料!$F:$F, B79, 水保局全省災害資料!$N:$N, H79))</f>
        <v/>
      </c>
      <c r="P79" t="s">
        <v>51</v>
      </c>
      <c r="S79">
        <v>400</v>
      </c>
      <c r="T79" t="s">
        <v>337</v>
      </c>
      <c r="U79" t="s">
        <v>338</v>
      </c>
      <c r="V79">
        <v>501</v>
      </c>
      <c r="W79">
        <v>70</v>
      </c>
      <c r="X79">
        <v>350</v>
      </c>
      <c r="Y79">
        <v>156</v>
      </c>
      <c r="Z79">
        <v>214</v>
      </c>
      <c r="AA79">
        <v>280</v>
      </c>
      <c r="AB79">
        <v>321</v>
      </c>
      <c r="AC79" t="s">
        <v>54</v>
      </c>
      <c r="AD79" t="s">
        <v>54</v>
      </c>
      <c r="AE79" t="s">
        <v>54</v>
      </c>
      <c r="AF79" t="s">
        <v>63</v>
      </c>
      <c r="AG79" t="s">
        <v>63</v>
      </c>
      <c r="AH79">
        <v>70</v>
      </c>
      <c r="AI79">
        <v>175</v>
      </c>
      <c r="AJ79">
        <v>296</v>
      </c>
      <c r="AK79">
        <v>407</v>
      </c>
      <c r="AL79">
        <v>501</v>
      </c>
      <c r="AM79" t="s">
        <v>54</v>
      </c>
      <c r="AN79" t="s">
        <v>55</v>
      </c>
      <c r="AO79" t="s">
        <v>56</v>
      </c>
      <c r="AP79" t="s">
        <v>56</v>
      </c>
      <c r="AQ79" t="s">
        <v>55</v>
      </c>
      <c r="AR79">
        <v>19</v>
      </c>
      <c r="AS79">
        <f>IFERROR(INDEX(水保局全省災害資料!$X$2:$X$2000, MATCH(1, INDEX((水保局全省災害資料!$T$2:$T$2000=W79)*(水保局全省災害資料!$U$2:$U$2000=X79), 0, 1), 0)), "")</f>
        <v>0</v>
      </c>
      <c r="AT79">
        <f>IFERROR(INDEX(水保局全省災害資料!$T$2:$T$2000, MATCH(1, INDEX((水保局全省災害資料!$T$2:$T$2000=W79)*(水保局全省災害資料!$U$2:$U$2000=X79), 0, 1), 0)), "")</f>
        <v>70</v>
      </c>
      <c r="AU79">
        <f>IFERROR(INDEX(水保局全省災害資料!$U$2:$U$2000, MATCH(1, INDEX((水保局全省災害資料!$T$2:$T$2000=W79)*(水保局全省災害資料!$U$2:$U$2000=X79), 0, 1), 0)), "")</f>
        <v>350</v>
      </c>
      <c r="AV79" t="str">
        <f>IFERROR(INDEX(水保局全省災害資料!$B$2:$B$2000, MATCH(1, INDEX((水保局全省災害資料!$T$2:$T$2000=W79)*(水保局全省災害資料!$U$2:$U$2000=X79), 0, 1), 0)), "")</f>
        <v>土石流</v>
      </c>
    </row>
    <row r="80" spans="1:48">
      <c r="A80" t="s">
        <v>318</v>
      </c>
      <c r="B80" t="s">
        <v>330</v>
      </c>
      <c r="C80" t="s">
        <v>331</v>
      </c>
      <c r="D80" t="s">
        <v>340</v>
      </c>
      <c r="F80" t="s">
        <v>48</v>
      </c>
      <c r="G80">
        <v>104</v>
      </c>
      <c r="H80" t="s">
        <v>295</v>
      </c>
      <c r="I80" s="13">
        <v>42224.25</v>
      </c>
      <c r="M80" t="str">
        <f>IF(SUMIFS(水保局全省災害資料!$X:$X, 水保局全省災害資料!$E:$E, A80, 水保局全省災害資料!$F:$F, B80, 水保局全省災害資料!$N:$N, H80)=0, "", SUMIFS(水保局全省災害資料!$X:$X, 水保局全省災害資料!$E:$E, A80, 水保局全省災害資料!$F:$F, B80, 水保局全省災害資料!$N:$N, H80))</f>
        <v/>
      </c>
      <c r="P80" t="s">
        <v>51</v>
      </c>
      <c r="S80">
        <v>400</v>
      </c>
      <c r="T80" t="s">
        <v>337</v>
      </c>
      <c r="U80" t="s">
        <v>338</v>
      </c>
      <c r="V80">
        <v>501</v>
      </c>
      <c r="W80">
        <v>70</v>
      </c>
      <c r="X80">
        <v>350</v>
      </c>
      <c r="Y80">
        <v>156</v>
      </c>
      <c r="Z80">
        <v>214</v>
      </c>
      <c r="AA80">
        <v>280</v>
      </c>
      <c r="AB80">
        <v>321</v>
      </c>
      <c r="AC80" t="s">
        <v>54</v>
      </c>
      <c r="AD80" t="s">
        <v>54</v>
      </c>
      <c r="AE80" t="s">
        <v>54</v>
      </c>
      <c r="AF80" t="s">
        <v>63</v>
      </c>
      <c r="AG80" t="s">
        <v>63</v>
      </c>
      <c r="AH80">
        <v>70</v>
      </c>
      <c r="AI80">
        <v>175</v>
      </c>
      <c r="AJ80">
        <v>296</v>
      </c>
      <c r="AK80">
        <v>407</v>
      </c>
      <c r="AL80">
        <v>501</v>
      </c>
      <c r="AM80" t="s">
        <v>54</v>
      </c>
      <c r="AN80" t="s">
        <v>55</v>
      </c>
      <c r="AO80" t="s">
        <v>56</v>
      </c>
      <c r="AP80" t="s">
        <v>56</v>
      </c>
      <c r="AQ80" t="s">
        <v>55</v>
      </c>
      <c r="AR80">
        <v>19</v>
      </c>
      <c r="AS80">
        <f>IFERROR(INDEX(水保局全省災害資料!$X$2:$X$2000, MATCH(1, INDEX((水保局全省災害資料!$T$2:$T$2000=W80)*(水保局全省災害資料!$U$2:$U$2000=X80), 0, 1), 0)), "")</f>
        <v>0</v>
      </c>
      <c r="AT80">
        <f>IFERROR(INDEX(水保局全省災害資料!$T$2:$T$2000, MATCH(1, INDEX((水保局全省災害資料!$T$2:$T$2000=W80)*(水保局全省災害資料!$U$2:$U$2000=X80), 0, 1), 0)), "")</f>
        <v>70</v>
      </c>
      <c r="AU80">
        <f>IFERROR(INDEX(水保局全省災害資料!$U$2:$U$2000, MATCH(1, INDEX((水保局全省災害資料!$T$2:$T$2000=W80)*(水保局全省災害資料!$U$2:$U$2000=X80), 0, 1), 0)), "")</f>
        <v>350</v>
      </c>
      <c r="AV80" t="str">
        <f>IFERROR(INDEX(水保局全省災害資料!$B$2:$B$2000, MATCH(1, INDEX((水保局全省災害資料!$T$2:$T$2000=W80)*(水保局全省災害資料!$U$2:$U$2000=X80), 0, 1), 0)), "")</f>
        <v>土石流</v>
      </c>
    </row>
    <row r="81" spans="1:48">
      <c r="A81" t="s">
        <v>318</v>
      </c>
      <c r="B81" t="s">
        <v>341</v>
      </c>
      <c r="C81" t="s">
        <v>342</v>
      </c>
      <c r="D81" t="s">
        <v>343</v>
      </c>
      <c r="F81" t="s">
        <v>127</v>
      </c>
      <c r="G81">
        <v>105</v>
      </c>
      <c r="H81" t="s">
        <v>254</v>
      </c>
      <c r="I81" s="13">
        <v>42640.583333333336</v>
      </c>
      <c r="M81" t="str">
        <f>IF(SUMIFS(水保局全省災害資料!$X:$X, 水保局全省災害資料!$E:$E, A81, 水保局全省災害資料!$F:$F, B81, 水保局全省災害資料!$N:$N, H81)=0, "", SUMIFS(水保局全省災害資料!$X:$X, 水保局全省災害資料!$E:$E, A81, 水保局全省災害資料!$F:$F, B81, 水保局全省災害資料!$N:$N, H81))</f>
        <v/>
      </c>
      <c r="P81" t="s">
        <v>51</v>
      </c>
      <c r="S81">
        <v>450</v>
      </c>
      <c r="T81" t="s">
        <v>344</v>
      </c>
      <c r="U81" t="s">
        <v>345</v>
      </c>
      <c r="V81">
        <v>404</v>
      </c>
      <c r="W81">
        <v>37</v>
      </c>
      <c r="X81">
        <v>293</v>
      </c>
      <c r="Y81">
        <v>88</v>
      </c>
      <c r="Z81">
        <v>170.5</v>
      </c>
      <c r="AA81">
        <v>238.5</v>
      </c>
      <c r="AB81">
        <v>301</v>
      </c>
      <c r="AC81" t="s">
        <v>63</v>
      </c>
      <c r="AD81" t="s">
        <v>63</v>
      </c>
      <c r="AE81" t="s">
        <v>63</v>
      </c>
      <c r="AF81" t="s">
        <v>63</v>
      </c>
      <c r="AG81" t="s">
        <v>63</v>
      </c>
      <c r="AH81">
        <v>37</v>
      </c>
      <c r="AI81">
        <v>101</v>
      </c>
      <c r="AJ81">
        <v>173.5</v>
      </c>
      <c r="AK81">
        <v>285</v>
      </c>
      <c r="AL81">
        <v>399</v>
      </c>
      <c r="AM81" t="s">
        <v>63</v>
      </c>
      <c r="AN81" t="s">
        <v>63</v>
      </c>
      <c r="AO81" t="s">
        <v>63</v>
      </c>
      <c r="AP81" t="s">
        <v>63</v>
      </c>
      <c r="AQ81" t="s">
        <v>63</v>
      </c>
      <c r="AR81">
        <v>20</v>
      </c>
      <c r="AS81">
        <f>IFERROR(INDEX(水保局全省災害資料!$X$2:$X$2000, MATCH(1, INDEX((水保局全省災害資料!$T$2:$T$2000=W81)*(水保局全省災害資料!$U$2:$U$2000=X81), 0, 1), 0)), "")</f>
        <v>0</v>
      </c>
      <c r="AT81">
        <f>IFERROR(INDEX(水保局全省災害資料!$T$2:$T$2000, MATCH(1, INDEX((水保局全省災害資料!$T$2:$T$2000=W81)*(水保局全省災害資料!$U$2:$U$2000=X81), 0, 1), 0)), "")</f>
        <v>37</v>
      </c>
      <c r="AU81">
        <f>IFERROR(INDEX(水保局全省災害資料!$U$2:$U$2000, MATCH(1, INDEX((水保局全省災害資料!$T$2:$T$2000=W81)*(水保局全省災害資料!$U$2:$U$2000=X81), 0, 1), 0)), "")</f>
        <v>293</v>
      </c>
      <c r="AV81" t="str">
        <f>IFERROR(INDEX(水保局全省災害資料!$B$2:$B$2000, MATCH(1, INDEX((水保局全省災害資料!$T$2:$T$2000=W81)*(水保局全省災害資料!$U$2:$U$2000=X81), 0, 1), 0)), "")</f>
        <v>土石流</v>
      </c>
    </row>
    <row r="82" spans="1:48">
      <c r="A82" t="s">
        <v>346</v>
      </c>
      <c r="B82" t="s">
        <v>347</v>
      </c>
      <c r="C82" t="s">
        <v>348</v>
      </c>
      <c r="D82" t="s">
        <v>349</v>
      </c>
      <c r="F82" t="s">
        <v>127</v>
      </c>
      <c r="G82">
        <v>104</v>
      </c>
      <c r="H82" t="s">
        <v>295</v>
      </c>
      <c r="I82" s="13">
        <v>42224.322916666664</v>
      </c>
      <c r="M82" t="str">
        <f>IF(SUMIFS(水保局全省災害資料!$X:$X, 水保局全省災害資料!$E:$E, A82, 水保局全省災害資料!$F:$F, B82, 水保局全省災害資料!$N:$N, H82)=0, "", SUMIFS(水保局全省災害資料!$X:$X, 水保局全省災害資料!$E:$E, A82, 水保局全省災害資料!$F:$F, B82, 水保局全省災害資料!$N:$N, H82))</f>
        <v/>
      </c>
      <c r="P82" t="s">
        <v>51</v>
      </c>
      <c r="S82">
        <v>250</v>
      </c>
      <c r="T82" t="s">
        <v>350</v>
      </c>
      <c r="U82" t="s">
        <v>351</v>
      </c>
      <c r="V82">
        <v>438</v>
      </c>
      <c r="W82">
        <v>22</v>
      </c>
      <c r="X82">
        <v>400</v>
      </c>
      <c r="Y82">
        <v>131</v>
      </c>
      <c r="Z82">
        <v>231</v>
      </c>
      <c r="AA82">
        <v>296</v>
      </c>
      <c r="AB82">
        <v>387</v>
      </c>
      <c r="AC82" t="s">
        <v>63</v>
      </c>
      <c r="AD82" t="s">
        <v>63</v>
      </c>
      <c r="AE82" t="s">
        <v>55</v>
      </c>
      <c r="AF82" t="s">
        <v>54</v>
      </c>
      <c r="AG82" t="s">
        <v>54</v>
      </c>
      <c r="AH82">
        <v>63</v>
      </c>
      <c r="AI82">
        <v>153</v>
      </c>
      <c r="AJ82">
        <v>231</v>
      </c>
      <c r="AK82">
        <v>296</v>
      </c>
      <c r="AL82">
        <v>407</v>
      </c>
      <c r="AM82" t="s">
        <v>63</v>
      </c>
      <c r="AN82" t="s">
        <v>54</v>
      </c>
      <c r="AO82" t="s">
        <v>55</v>
      </c>
      <c r="AP82" t="s">
        <v>54</v>
      </c>
      <c r="AQ82" t="s">
        <v>54</v>
      </c>
      <c r="AR82">
        <v>20</v>
      </c>
      <c r="AS82">
        <f>IFERROR(INDEX(水保局全省災害資料!$X$2:$X$2000, MATCH(1, INDEX((水保局全省災害資料!$T$2:$T$2000=W82)*(水保局全省災害資料!$U$2:$U$2000=X82), 0, 1), 0)), "")</f>
        <v>0</v>
      </c>
      <c r="AT82">
        <f>IFERROR(INDEX(水保局全省災害資料!$T$2:$T$2000, MATCH(1, INDEX((水保局全省災害資料!$T$2:$T$2000=W82)*(水保局全省災害資料!$U$2:$U$2000=X82), 0, 1), 0)), "")</f>
        <v>22</v>
      </c>
      <c r="AU82">
        <f>IFERROR(INDEX(水保局全省災害資料!$U$2:$U$2000, MATCH(1, INDEX((水保局全省災害資料!$T$2:$T$2000=W82)*(水保局全省災害資料!$U$2:$U$2000=X82), 0, 1), 0)), "")</f>
        <v>400</v>
      </c>
      <c r="AV82" t="str">
        <f>IFERROR(INDEX(水保局全省災害資料!$B$2:$B$2000, MATCH(1, INDEX((水保局全省災害資料!$T$2:$T$2000=W82)*(水保局全省災害資料!$U$2:$U$2000=X82), 0, 1), 0)), "")</f>
        <v>土石流</v>
      </c>
    </row>
    <row r="83" spans="1:48">
      <c r="A83" t="s">
        <v>76</v>
      </c>
      <c r="B83" t="s">
        <v>77</v>
      </c>
      <c r="C83" t="s">
        <v>78</v>
      </c>
      <c r="D83" t="s">
        <v>382</v>
      </c>
      <c r="F83" t="s">
        <v>127</v>
      </c>
      <c r="G83">
        <v>112</v>
      </c>
      <c r="H83" t="s">
        <v>88</v>
      </c>
      <c r="I83" s="13">
        <v>45142.625</v>
      </c>
      <c r="M83">
        <f>IF(SUMIFS(水保局全省災害資料!$X:$X, 水保局全省災害資料!$E:$E, A83, 水保局全省災害資料!$F:$F, B83, 水保局全省災害資料!$N:$N, H83)=0, "", SUMIFS(水保局全省災害資料!$X:$X, 水保局全省災害資料!$E:$E, A83, 水保局全省災害資料!$F:$F, B83, 水保局全省災害資料!$N:$N, H83))</f>
        <v>7.0374999999999996</v>
      </c>
      <c r="P83" t="s">
        <v>51</v>
      </c>
      <c r="S83">
        <v>300</v>
      </c>
      <c r="T83" t="s">
        <v>89</v>
      </c>
      <c r="U83" t="s">
        <v>90</v>
      </c>
      <c r="V83">
        <v>864</v>
      </c>
      <c r="W83">
        <v>49</v>
      </c>
      <c r="X83">
        <v>648</v>
      </c>
      <c r="Y83">
        <v>115</v>
      </c>
      <c r="Z83">
        <v>260.5</v>
      </c>
      <c r="AA83">
        <v>425.5</v>
      </c>
      <c r="AB83">
        <v>628</v>
      </c>
      <c r="AC83" t="s">
        <v>63</v>
      </c>
      <c r="AD83" t="s">
        <v>63</v>
      </c>
      <c r="AE83" t="s">
        <v>57</v>
      </c>
      <c r="AF83" t="s">
        <v>87</v>
      </c>
      <c r="AG83" t="s">
        <v>64</v>
      </c>
      <c r="AH83">
        <v>112.5</v>
      </c>
      <c r="AI83">
        <v>225</v>
      </c>
      <c r="AJ83">
        <v>384</v>
      </c>
      <c r="AK83">
        <v>542</v>
      </c>
      <c r="AL83">
        <v>783.5</v>
      </c>
      <c r="AM83" t="s">
        <v>87</v>
      </c>
      <c r="AN83" t="s">
        <v>87</v>
      </c>
      <c r="AO83" t="s">
        <v>64</v>
      </c>
      <c r="AP83" t="s">
        <v>64</v>
      </c>
      <c r="AQ83" t="s">
        <v>64</v>
      </c>
      <c r="AR83">
        <v>37</v>
      </c>
      <c r="AS83" t="str">
        <f>IFERROR(INDEX(水保局全省災害資料!$X$2:$X$2000, MATCH(1, INDEX((水保局全省災害資料!$T$2:$T$2000=W83)*(水保局全省災害資料!$U$2:$U$2000=X83), 0, 1), 0)), "")</f>
        <v>-</v>
      </c>
      <c r="AT83">
        <f>IFERROR(INDEX(水保局全省災害資料!$T$2:$T$2000, MATCH(1, INDEX((水保局全省災害資料!$T$2:$T$2000=W83)*(水保局全省災害資料!$U$2:$U$2000=X83), 0, 1), 0)), "")</f>
        <v>49</v>
      </c>
      <c r="AU83">
        <f>IFERROR(INDEX(水保局全省災害資料!$U$2:$U$2000, MATCH(1, INDEX((水保局全省災害資料!$T$2:$T$2000=W83)*(水保局全省災害資料!$U$2:$U$2000=X83), 0, 1), 0)), "")</f>
        <v>648</v>
      </c>
      <c r="AV83" t="str">
        <f>IFERROR(INDEX(水保局全省災害資料!$B$2:$B$2000, MATCH(1, INDEX((水保局全省災害資料!$T$2:$T$2000=W83)*(水保局全省災害資料!$U$2:$U$2000=X83), 0, 1), 0)), "")</f>
        <v>土石流</v>
      </c>
    </row>
    <row r="84" spans="1:48">
      <c r="A84" t="s">
        <v>76</v>
      </c>
      <c r="B84" t="s">
        <v>77</v>
      </c>
      <c r="C84" t="s">
        <v>78</v>
      </c>
      <c r="D84" t="s">
        <v>383</v>
      </c>
      <c r="F84" t="s">
        <v>127</v>
      </c>
      <c r="G84">
        <v>112</v>
      </c>
      <c r="H84" t="s">
        <v>88</v>
      </c>
      <c r="I84" s="13">
        <v>45142.416666666664</v>
      </c>
      <c r="M84">
        <f>IF(SUMIFS(水保局全省災害資料!$X:$X, 水保局全省災害資料!$E:$E, A84, 水保局全省災害資料!$F:$F, B84, 水保局全省災害資料!$N:$N, H84)=0, "", SUMIFS(水保局全省災害資料!$X:$X, 水保局全省災害資料!$E:$E, A84, 水保局全省災害資料!$F:$F, B84, 水保局全省災害資料!$N:$N, H84))</f>
        <v>7.0374999999999996</v>
      </c>
      <c r="P84" t="s">
        <v>51</v>
      </c>
      <c r="S84">
        <v>300</v>
      </c>
      <c r="T84" t="s">
        <v>89</v>
      </c>
      <c r="U84" t="s">
        <v>90</v>
      </c>
      <c r="V84">
        <v>864</v>
      </c>
      <c r="W84">
        <v>19</v>
      </c>
      <c r="X84">
        <v>431</v>
      </c>
      <c r="Y84">
        <v>41.5</v>
      </c>
      <c r="Z84">
        <v>165</v>
      </c>
      <c r="AA84">
        <v>277.5</v>
      </c>
      <c r="AB84">
        <v>390</v>
      </c>
      <c r="AC84" t="s">
        <v>63</v>
      </c>
      <c r="AD84" t="s">
        <v>63</v>
      </c>
      <c r="AE84" t="s">
        <v>63</v>
      </c>
      <c r="AF84" t="s">
        <v>55</v>
      </c>
      <c r="AG84" t="s">
        <v>55</v>
      </c>
      <c r="AH84">
        <v>112.5</v>
      </c>
      <c r="AI84">
        <v>225</v>
      </c>
      <c r="AJ84">
        <v>384</v>
      </c>
      <c r="AK84">
        <v>542</v>
      </c>
      <c r="AL84">
        <v>783.5</v>
      </c>
      <c r="AM84" t="s">
        <v>87</v>
      </c>
      <c r="AN84" t="s">
        <v>87</v>
      </c>
      <c r="AO84" t="s">
        <v>64</v>
      </c>
      <c r="AP84" t="s">
        <v>64</v>
      </c>
      <c r="AQ84" t="s">
        <v>64</v>
      </c>
      <c r="AR84">
        <v>32</v>
      </c>
      <c r="AS84" t="str">
        <f>IFERROR(INDEX(水保局全省災害資料!$X$2:$X$2000, MATCH(1, INDEX((水保局全省災害資料!$T$2:$T$2000=W84)*(水保局全省災害資料!$U$2:$U$2000=X84), 0, 1), 0)), "")</f>
        <v/>
      </c>
      <c r="AT84" t="str">
        <f>IFERROR(INDEX(水保局全省災害資料!$T$2:$T$2000, MATCH(1, INDEX((水保局全省災害資料!$T$2:$T$2000=W84)*(水保局全省災害資料!$U$2:$U$2000=X84), 0, 1), 0)), "")</f>
        <v/>
      </c>
      <c r="AU84" t="str">
        <f>IFERROR(INDEX(水保局全省災害資料!$U$2:$U$2000, MATCH(1, INDEX((水保局全省災害資料!$T$2:$T$2000=W84)*(水保局全省災害資料!$U$2:$U$2000=X84), 0, 1), 0)), "")</f>
        <v/>
      </c>
      <c r="AV84" t="str">
        <f>IFERROR(INDEX(水保局全省災害資料!$B$2:$B$2000, MATCH(1, INDEX((水保局全省災害資料!$T$2:$T$2000=W84)*(水保局全省災害資料!$U$2:$U$2000=X84), 0, 1), 0)), "")</f>
        <v/>
      </c>
    </row>
    <row r="85" spans="1:48">
      <c r="A85" t="s">
        <v>76</v>
      </c>
      <c r="B85" t="s">
        <v>77</v>
      </c>
      <c r="C85" t="s">
        <v>385</v>
      </c>
      <c r="D85" t="s">
        <v>386</v>
      </c>
      <c r="F85" t="s">
        <v>127</v>
      </c>
      <c r="G85">
        <v>112</v>
      </c>
      <c r="H85" t="s">
        <v>88</v>
      </c>
      <c r="I85" s="13">
        <v>45142.625</v>
      </c>
      <c r="M85">
        <f>IF(SUMIFS(水保局全省災害資料!$X:$X, 水保局全省災害資料!$E:$E, A85, 水保局全省災害資料!$F:$F, B85, 水保局全省災害資料!$N:$N, H85)=0, "", SUMIFS(水保局全省災害資料!$X:$X, 水保局全省災害資料!$E:$E, A85, 水保局全省災害資料!$F:$F, B85, 水保局全省災害資料!$N:$N, H85))</f>
        <v>7.0374999999999996</v>
      </c>
      <c r="P85" t="s">
        <v>51</v>
      </c>
      <c r="S85">
        <v>300</v>
      </c>
      <c r="T85" t="s">
        <v>387</v>
      </c>
      <c r="U85" t="s">
        <v>388</v>
      </c>
      <c r="V85">
        <v>755</v>
      </c>
      <c r="W85">
        <v>89</v>
      </c>
      <c r="X85">
        <v>540</v>
      </c>
      <c r="Y85">
        <v>223.5</v>
      </c>
      <c r="Z85">
        <v>307</v>
      </c>
      <c r="AA85">
        <v>460.5</v>
      </c>
      <c r="AB85">
        <v>566.5</v>
      </c>
      <c r="AC85" t="s">
        <v>56</v>
      </c>
      <c r="AD85" t="s">
        <v>58</v>
      </c>
      <c r="AE85" t="s">
        <v>58</v>
      </c>
      <c r="AF85" t="s">
        <v>87</v>
      </c>
      <c r="AG85" t="s">
        <v>57</v>
      </c>
      <c r="AH85">
        <v>114</v>
      </c>
      <c r="AI85">
        <v>265</v>
      </c>
      <c r="AJ85">
        <v>454</v>
      </c>
      <c r="AK85">
        <v>576.5</v>
      </c>
      <c r="AL85">
        <v>712.5</v>
      </c>
      <c r="AM85" t="s">
        <v>58</v>
      </c>
      <c r="AN85" t="s">
        <v>64</v>
      </c>
      <c r="AO85" t="s">
        <v>64</v>
      </c>
      <c r="AP85" t="s">
        <v>64</v>
      </c>
      <c r="AQ85" t="s">
        <v>64</v>
      </c>
      <c r="AR85">
        <v>37</v>
      </c>
      <c r="AS85">
        <f>IFERROR(INDEX(水保局全省災害資料!$X$2:$X$2000, MATCH(1, INDEX((水保局全省災害資料!$T$2:$T$2000=W85)*(水保局全省災害資料!$U$2:$U$2000=X85), 0, 1), 0)), "")</f>
        <v>0.18</v>
      </c>
      <c r="AT85">
        <f>IFERROR(INDEX(水保局全省災害資料!$T$2:$T$2000, MATCH(1, INDEX((水保局全省災害資料!$T$2:$T$2000=W85)*(水保局全省災害資料!$U$2:$U$2000=X85), 0, 1), 0)), "")</f>
        <v>89</v>
      </c>
      <c r="AU85">
        <f>IFERROR(INDEX(水保局全省災害資料!$U$2:$U$2000, MATCH(1, INDEX((水保局全省災害資料!$T$2:$T$2000=W85)*(水保局全省災害資料!$U$2:$U$2000=X85), 0, 1), 0)), "")</f>
        <v>540</v>
      </c>
      <c r="AV85" t="str">
        <f>IFERROR(INDEX(水保局全省災害資料!$B$2:$B$2000, MATCH(1, INDEX((水保局全省災害資料!$T$2:$T$2000=W85)*(水保局全省災害資料!$U$2:$U$2000=X85), 0, 1), 0)), "")</f>
        <v>崩塌(山崩)、土石流</v>
      </c>
    </row>
    <row r="86" spans="1:48">
      <c r="A86" t="s">
        <v>76</v>
      </c>
      <c r="B86" t="s">
        <v>77</v>
      </c>
      <c r="C86" t="s">
        <v>389</v>
      </c>
      <c r="D86" t="s">
        <v>390</v>
      </c>
      <c r="F86" t="s">
        <v>48</v>
      </c>
      <c r="G86">
        <v>97</v>
      </c>
      <c r="H86" t="s">
        <v>124</v>
      </c>
      <c r="I86" s="13">
        <v>39647.083333333336</v>
      </c>
      <c r="M86" t="str">
        <f>IF(SUMIFS(水保局全省災害資料!$X:$X, 水保局全省災害資料!$E:$E, A86, 水保局全省災害資料!$F:$F, B86, 水保局全省災害資料!$N:$N, H86)=0, "", SUMIFS(水保局全省災害資料!$X:$X, 水保局全省災害資料!$E:$E, A86, 水保局全省災害資料!$F:$F, B86, 水保局全省災害資料!$N:$N, H86))</f>
        <v/>
      </c>
      <c r="P86" t="s">
        <v>51</v>
      </c>
      <c r="S86">
        <v>250</v>
      </c>
      <c r="T86" t="s">
        <v>391</v>
      </c>
      <c r="U86" t="s">
        <v>392</v>
      </c>
      <c r="V86">
        <v>391.5</v>
      </c>
      <c r="W86">
        <v>40.5</v>
      </c>
      <c r="X86">
        <v>198.4</v>
      </c>
      <c r="Y86">
        <v>159</v>
      </c>
      <c r="Z86">
        <v>177</v>
      </c>
      <c r="AA86">
        <v>187</v>
      </c>
      <c r="AB86">
        <v>187</v>
      </c>
      <c r="AC86" t="s">
        <v>63</v>
      </c>
      <c r="AD86" t="s">
        <v>55</v>
      </c>
      <c r="AE86" t="s">
        <v>63</v>
      </c>
      <c r="AF86" t="s">
        <v>63</v>
      </c>
      <c r="AG86" t="s">
        <v>63</v>
      </c>
      <c r="AH86">
        <v>85.5</v>
      </c>
      <c r="AI86">
        <v>162</v>
      </c>
      <c r="AJ86">
        <v>312</v>
      </c>
      <c r="AK86">
        <v>368.5</v>
      </c>
      <c r="AL86">
        <v>391.5</v>
      </c>
      <c r="AM86" t="s">
        <v>55</v>
      </c>
      <c r="AN86" t="s">
        <v>55</v>
      </c>
      <c r="AO86" t="s">
        <v>58</v>
      </c>
      <c r="AP86" t="s">
        <v>56</v>
      </c>
      <c r="AQ86" t="s">
        <v>54</v>
      </c>
      <c r="AR86">
        <v>11</v>
      </c>
      <c r="AS86">
        <f>IFERROR(INDEX(水保局全省災害資料!$X$2:$X$2000, MATCH(1, INDEX((水保局全省災害資料!$T$2:$T$2000=W86)*(水保局全省災害資料!$U$2:$U$2000=X86), 0, 1), 0)), "")</f>
        <v>0</v>
      </c>
      <c r="AT86">
        <f>IFERROR(INDEX(水保局全省災害資料!$T$2:$T$2000, MATCH(1, INDEX((水保局全省災害資料!$T$2:$T$2000=W86)*(水保局全省災害資料!$U$2:$U$2000=X86), 0, 1), 0)), "")</f>
        <v>40.5</v>
      </c>
      <c r="AU86">
        <f>IFERROR(INDEX(水保局全省災害資料!$U$2:$U$2000, MATCH(1, INDEX((水保局全省災害資料!$T$2:$T$2000=W86)*(水保局全省災害資料!$U$2:$U$2000=X86), 0, 1), 0)), "")</f>
        <v>198.4</v>
      </c>
      <c r="AV86" t="str">
        <f>IFERROR(INDEX(水保局全省災害資料!$B$2:$B$2000, MATCH(1, INDEX((水保局全省災害資料!$T$2:$T$2000=W86)*(水保局全省災害資料!$U$2:$U$2000=X86), 0, 1), 0)), "")</f>
        <v>土石流</v>
      </c>
    </row>
    <row r="87" spans="1:48">
      <c r="A87" t="s">
        <v>76</v>
      </c>
      <c r="B87" t="s">
        <v>77</v>
      </c>
      <c r="C87" t="s">
        <v>397</v>
      </c>
      <c r="D87" t="s">
        <v>398</v>
      </c>
      <c r="E87" t="s">
        <v>399</v>
      </c>
      <c r="F87" t="s">
        <v>127</v>
      </c>
      <c r="G87">
        <v>101</v>
      </c>
      <c r="H87" t="s">
        <v>159</v>
      </c>
      <c r="I87" s="13">
        <v>41070.75</v>
      </c>
      <c r="M87" t="str">
        <f>IF(SUMIFS(水保局全省災害資料!$X:$X, 水保局全省災害資料!$E:$E, A87, 水保局全省災害資料!$F:$F, B87, 水保局全省災害資料!$N:$N, H87)=0, "", SUMIFS(水保局全省災害資料!$X:$X, 水保局全省災害資料!$E:$E, A87, 水保局全省災害資料!$F:$F, B87, 水保局全省災害資料!$N:$N, H87))</f>
        <v/>
      </c>
      <c r="P87" t="s">
        <v>51</v>
      </c>
      <c r="S87">
        <v>250</v>
      </c>
      <c r="T87" t="s">
        <v>391</v>
      </c>
      <c r="U87" t="s">
        <v>392</v>
      </c>
      <c r="V87">
        <v>221</v>
      </c>
      <c r="W87">
        <v>44.5</v>
      </c>
      <c r="X87">
        <v>247.1</v>
      </c>
      <c r="Y87">
        <v>89</v>
      </c>
      <c r="Z87">
        <v>159</v>
      </c>
      <c r="AA87">
        <v>204</v>
      </c>
      <c r="AB87">
        <v>204</v>
      </c>
      <c r="AC87" t="s">
        <v>63</v>
      </c>
      <c r="AD87" t="s">
        <v>63</v>
      </c>
      <c r="AE87" t="s">
        <v>63</v>
      </c>
      <c r="AF87" t="s">
        <v>63</v>
      </c>
      <c r="AG87" t="s">
        <v>63</v>
      </c>
      <c r="AH87">
        <v>45</v>
      </c>
      <c r="AI87">
        <v>89</v>
      </c>
      <c r="AJ87">
        <v>159</v>
      </c>
      <c r="AK87">
        <v>205</v>
      </c>
      <c r="AL87">
        <v>221</v>
      </c>
      <c r="AM87" t="s">
        <v>63</v>
      </c>
      <c r="AN87" t="s">
        <v>63</v>
      </c>
      <c r="AO87" t="s">
        <v>63</v>
      </c>
      <c r="AP87" t="s">
        <v>63</v>
      </c>
      <c r="AQ87" t="s">
        <v>63</v>
      </c>
      <c r="AR87">
        <v>11</v>
      </c>
      <c r="AS87">
        <f>IFERROR(INDEX(水保局全省災害資料!$X$2:$X$2000, MATCH(1, INDEX((水保局全省災害資料!$T$2:$T$2000=W87)*(水保局全省災害資料!$U$2:$U$2000=X87), 0, 1), 0)), "")</f>
        <v>0</v>
      </c>
      <c r="AT87">
        <f>IFERROR(INDEX(水保局全省災害資料!$T$2:$T$2000, MATCH(1, INDEX((水保局全省災害資料!$T$2:$T$2000=W87)*(水保局全省災害資料!$U$2:$U$2000=X87), 0, 1), 0)), "")</f>
        <v>44.5</v>
      </c>
      <c r="AU87">
        <f>IFERROR(INDEX(水保局全省災害資料!$U$2:$U$2000, MATCH(1, INDEX((水保局全省災害資料!$T$2:$T$2000=W87)*(水保局全省災害資料!$U$2:$U$2000=X87), 0, 1), 0)), "")</f>
        <v>247.1</v>
      </c>
      <c r="AV87" t="str">
        <f>IFERROR(INDEX(水保局全省災害資料!$B$2:$B$2000, MATCH(1, INDEX((水保局全省災害資料!$T$2:$T$2000=W87)*(水保局全省災害資料!$U$2:$U$2000=X87), 0, 1), 0)), "")</f>
        <v>土石流</v>
      </c>
    </row>
    <row r="88" spans="1:48">
      <c r="A88" t="s">
        <v>76</v>
      </c>
      <c r="B88" t="s">
        <v>77</v>
      </c>
      <c r="C88" t="s">
        <v>93</v>
      </c>
      <c r="D88" t="s">
        <v>400</v>
      </c>
      <c r="F88" t="s">
        <v>48</v>
      </c>
      <c r="G88">
        <v>112</v>
      </c>
      <c r="H88" t="s">
        <v>88</v>
      </c>
      <c r="I88" s="13">
        <v>45142.708333333336</v>
      </c>
      <c r="M88">
        <f>IF(SUMIFS(水保局全省災害資料!$X:$X, 水保局全省災害資料!$E:$E, A88, 水保局全省災害資料!$F:$F, B88, 水保局全省災害資料!$N:$N, H88)=0, "", SUMIFS(水保局全省災害資料!$X:$X, 水保局全省災害資料!$E:$E, A88, 水保局全省災害資料!$F:$F, B88, 水保局全省災害資料!$N:$N, H88))</f>
        <v>7.0374999999999996</v>
      </c>
      <c r="P88" t="s">
        <v>51</v>
      </c>
      <c r="S88">
        <v>300</v>
      </c>
      <c r="T88" t="s">
        <v>401</v>
      </c>
      <c r="U88" t="s">
        <v>83</v>
      </c>
      <c r="V88">
        <v>952.5</v>
      </c>
      <c r="W88">
        <v>9.5</v>
      </c>
      <c r="X88">
        <v>933</v>
      </c>
      <c r="Y88">
        <v>228.5</v>
      </c>
      <c r="Z88">
        <v>312</v>
      </c>
      <c r="AA88">
        <v>572</v>
      </c>
      <c r="AB88">
        <v>883.5</v>
      </c>
      <c r="AC88" t="s">
        <v>63</v>
      </c>
      <c r="AD88" t="s">
        <v>87</v>
      </c>
      <c r="AE88" t="s">
        <v>58</v>
      </c>
      <c r="AF88" t="s">
        <v>64</v>
      </c>
      <c r="AG88" t="s">
        <v>64</v>
      </c>
      <c r="AH88">
        <v>114</v>
      </c>
      <c r="AI88">
        <v>249</v>
      </c>
      <c r="AJ88">
        <v>381.5</v>
      </c>
      <c r="AK88">
        <v>611</v>
      </c>
      <c r="AL88">
        <v>885.5</v>
      </c>
      <c r="AM88" t="s">
        <v>58</v>
      </c>
      <c r="AN88" t="s">
        <v>64</v>
      </c>
      <c r="AO88" t="s">
        <v>64</v>
      </c>
      <c r="AP88" t="s">
        <v>64</v>
      </c>
      <c r="AQ88" t="s">
        <v>64</v>
      </c>
      <c r="AR88">
        <v>26</v>
      </c>
      <c r="AS88" t="str">
        <f>IFERROR(INDEX(水保局全省災害資料!$X$2:$X$2000, MATCH(1, INDEX((水保局全省災害資料!$T$2:$T$2000=W88)*(水保局全省災害資料!$U$2:$U$2000=X88), 0, 1), 0)), "")</f>
        <v/>
      </c>
      <c r="AT88" t="str">
        <f>IFERROR(INDEX(水保局全省災害資料!$T$2:$T$2000, MATCH(1, INDEX((水保局全省災害資料!$T$2:$T$2000=W88)*(水保局全省災害資料!$U$2:$U$2000=X88), 0, 1), 0)), "")</f>
        <v/>
      </c>
      <c r="AU88" t="str">
        <f>IFERROR(INDEX(水保局全省災害資料!$U$2:$U$2000, MATCH(1, INDEX((水保局全省災害資料!$T$2:$T$2000=W88)*(水保局全省災害資料!$U$2:$U$2000=X88), 0, 1), 0)), "")</f>
        <v/>
      </c>
      <c r="AV88" t="str">
        <f>IFERROR(INDEX(水保局全省災害資料!$B$2:$B$2000, MATCH(1, INDEX((水保局全省災害資料!$T$2:$T$2000=W88)*(水保局全省災害資料!$U$2:$U$2000=X88), 0, 1), 0)), "")</f>
        <v/>
      </c>
    </row>
    <row r="89" spans="1:48">
      <c r="A89" t="s">
        <v>76</v>
      </c>
      <c r="B89" t="s">
        <v>419</v>
      </c>
      <c r="C89" t="s">
        <v>420</v>
      </c>
      <c r="D89" t="s">
        <v>421</v>
      </c>
      <c r="E89" t="s">
        <v>422</v>
      </c>
      <c r="F89" t="s">
        <v>127</v>
      </c>
      <c r="G89">
        <v>108</v>
      </c>
      <c r="H89" t="s">
        <v>188</v>
      </c>
      <c r="I89" s="13">
        <v>43693.236111111109</v>
      </c>
      <c r="M89" t="str">
        <f>IF(SUMIFS(水保局全省災害資料!$X:$X, 水保局全省災害資料!$E:$E, A89, 水保局全省災害資料!$F:$F, B89, 水保局全省災害資料!$N:$N, H89)=0, "", SUMIFS(水保局全省災害資料!$X:$X, 水保局全省災害資料!$E:$E, A89, 水保局全省災害資料!$F:$F, B89, 水保局全省災害資料!$N:$N, H89))</f>
        <v/>
      </c>
      <c r="P89" t="s">
        <v>51</v>
      </c>
      <c r="S89">
        <v>500</v>
      </c>
      <c r="T89" t="s">
        <v>423</v>
      </c>
      <c r="U89" t="s">
        <v>424</v>
      </c>
      <c r="V89">
        <v>141.5</v>
      </c>
      <c r="W89">
        <v>33.5</v>
      </c>
      <c r="X89">
        <v>225</v>
      </c>
      <c r="Y89">
        <v>71</v>
      </c>
      <c r="Z89">
        <v>115</v>
      </c>
      <c r="AA89">
        <v>129</v>
      </c>
      <c r="AB89">
        <v>129</v>
      </c>
      <c r="AC89" t="s">
        <v>63</v>
      </c>
      <c r="AD89" t="s">
        <v>63</v>
      </c>
      <c r="AE89" t="s">
        <v>63</v>
      </c>
      <c r="AF89" t="s">
        <v>63</v>
      </c>
      <c r="AG89" t="s">
        <v>63</v>
      </c>
      <c r="AH89">
        <v>33.5</v>
      </c>
      <c r="AI89">
        <v>71</v>
      </c>
      <c r="AJ89">
        <v>115</v>
      </c>
      <c r="AK89">
        <v>141.5</v>
      </c>
      <c r="AL89">
        <v>141.5</v>
      </c>
      <c r="AM89" t="s">
        <v>63</v>
      </c>
      <c r="AN89" t="s">
        <v>63</v>
      </c>
      <c r="AO89" t="s">
        <v>63</v>
      </c>
      <c r="AP89" t="s">
        <v>63</v>
      </c>
      <c r="AQ89" t="s">
        <v>63</v>
      </c>
      <c r="AR89">
        <v>8</v>
      </c>
      <c r="AS89" t="str">
        <f>IFERROR(INDEX(水保局全省災害資料!$X$2:$X$2000, MATCH(1, INDEX((水保局全省災害資料!$T$2:$T$2000=W89)*(水保局全省災害資料!$U$2:$U$2000=X89), 0, 1), 0)), "")</f>
        <v/>
      </c>
      <c r="AT89" t="str">
        <f>IFERROR(INDEX(水保局全省災害資料!$T$2:$T$2000, MATCH(1, INDEX((水保局全省災害資料!$T$2:$T$2000=W89)*(水保局全省災害資料!$U$2:$U$2000=X89), 0, 1), 0)), "")</f>
        <v/>
      </c>
      <c r="AU89" t="str">
        <f>IFERROR(INDEX(水保局全省災害資料!$U$2:$U$2000, MATCH(1, INDEX((水保局全省災害資料!$T$2:$T$2000=W89)*(水保局全省災害資料!$U$2:$U$2000=X89), 0, 1), 0)), "")</f>
        <v/>
      </c>
      <c r="AV89" t="str">
        <f>IFERROR(INDEX(水保局全省災害資料!$B$2:$B$2000, MATCH(1, INDEX((水保局全省災害資料!$T$2:$T$2000=W89)*(水保局全省災害資料!$U$2:$U$2000=X89), 0, 1), 0)), "")</f>
        <v/>
      </c>
    </row>
    <row r="90" spans="1:48">
      <c r="A90" t="s">
        <v>76</v>
      </c>
      <c r="B90" t="s">
        <v>118</v>
      </c>
      <c r="C90" t="s">
        <v>445</v>
      </c>
      <c r="D90" t="s">
        <v>446</v>
      </c>
      <c r="E90" t="s">
        <v>447</v>
      </c>
      <c r="F90" t="s">
        <v>48</v>
      </c>
      <c r="G90">
        <v>98</v>
      </c>
      <c r="H90" t="s">
        <v>153</v>
      </c>
      <c r="I90" s="13">
        <v>40034.083333333336</v>
      </c>
      <c r="M90" t="str">
        <f>IF(SUMIFS(水保局全省災害資料!$X:$X, 水保局全省災害資料!$E:$E, A90, 水保局全省災害資料!$F:$F, B90, 水保局全省災害資料!$N:$N, H90)=0, "", SUMIFS(水保局全省災害資料!$X:$X, 水保局全省災害資料!$E:$E, A90, 水保局全省災害資料!$F:$F, B90, 水保局全省災害資料!$N:$N, H90))</f>
        <v/>
      </c>
      <c r="P90" t="s">
        <v>51</v>
      </c>
      <c r="S90">
        <v>250</v>
      </c>
      <c r="T90" t="s">
        <v>135</v>
      </c>
      <c r="U90" t="s">
        <v>133</v>
      </c>
      <c r="V90">
        <v>1037</v>
      </c>
      <c r="W90">
        <v>51.5</v>
      </c>
      <c r="X90">
        <v>695.1</v>
      </c>
      <c r="Y90">
        <v>141.5</v>
      </c>
      <c r="Z90">
        <v>195.5</v>
      </c>
      <c r="AA90">
        <v>300.5</v>
      </c>
      <c r="AB90">
        <v>409.5</v>
      </c>
      <c r="AC90" t="s">
        <v>63</v>
      </c>
      <c r="AD90" t="s">
        <v>54</v>
      </c>
      <c r="AE90" t="s">
        <v>54</v>
      </c>
      <c r="AF90" t="s">
        <v>55</v>
      </c>
      <c r="AG90" t="s">
        <v>56</v>
      </c>
      <c r="AH90">
        <v>63.5</v>
      </c>
      <c r="AI90">
        <v>152.5</v>
      </c>
      <c r="AJ90">
        <v>217</v>
      </c>
      <c r="AK90">
        <v>343</v>
      </c>
      <c r="AL90">
        <v>565.5</v>
      </c>
      <c r="AM90" t="s">
        <v>54</v>
      </c>
      <c r="AN90" t="s">
        <v>55</v>
      </c>
      <c r="AO90" t="s">
        <v>55</v>
      </c>
      <c r="AP90" t="s">
        <v>56</v>
      </c>
      <c r="AQ90" t="s">
        <v>87</v>
      </c>
      <c r="AR90">
        <v>58</v>
      </c>
      <c r="AS90">
        <f>IFERROR(INDEX(水保局全省災害資料!$X$2:$X$2000, MATCH(1, INDEX((水保局全省災害資料!$T$2:$T$2000=W90)*(水保局全省災害資料!$U$2:$U$2000=X90), 0, 1), 0)), "")</f>
        <v>0</v>
      </c>
      <c r="AT90">
        <f>IFERROR(INDEX(水保局全省災害資料!$T$2:$T$2000, MATCH(1, INDEX((水保局全省災害資料!$T$2:$T$2000=W90)*(水保局全省災害資料!$U$2:$U$2000=X90), 0, 1), 0)), "")</f>
        <v>51.5</v>
      </c>
      <c r="AU90">
        <f>IFERROR(INDEX(水保局全省災害資料!$U$2:$U$2000, MATCH(1, INDEX((水保局全省災害資料!$T$2:$T$2000=W90)*(水保局全省災害資料!$U$2:$U$2000=X90), 0, 1), 0)), "")</f>
        <v>695.1</v>
      </c>
      <c r="AV90" t="str">
        <f>IFERROR(INDEX(水保局全省災害資料!$B$2:$B$2000, MATCH(1, INDEX((水保局全省災害資料!$T$2:$T$2000=W90)*(水保局全省災害資料!$U$2:$U$2000=X90), 0, 1), 0)), "")</f>
        <v>土石流</v>
      </c>
    </row>
    <row r="91" spans="1:48">
      <c r="A91" t="s">
        <v>76</v>
      </c>
      <c r="B91" t="s">
        <v>448</v>
      </c>
      <c r="C91" t="s">
        <v>461</v>
      </c>
      <c r="D91" t="s">
        <v>462</v>
      </c>
      <c r="F91" t="s">
        <v>127</v>
      </c>
      <c r="G91">
        <v>97</v>
      </c>
      <c r="H91" t="s">
        <v>124</v>
      </c>
      <c r="I91" s="13">
        <v>39647.166666666664</v>
      </c>
      <c r="M91" t="str">
        <f>IF(SUMIFS(水保局全省災害資料!$X:$X, 水保局全省災害資料!$E:$E, A91, 水保局全省災害資料!$F:$F, B91, 水保局全省災害資料!$N:$N, H91)=0, "", SUMIFS(水保局全省災害資料!$X:$X, 水保局全省災害資料!$E:$E, A91, 水保局全省災害資料!$F:$F, B91, 水保局全省災害資料!$N:$N, H91))</f>
        <v/>
      </c>
      <c r="P91" t="s">
        <v>51</v>
      </c>
      <c r="S91">
        <v>350</v>
      </c>
      <c r="T91" t="s">
        <v>463</v>
      </c>
      <c r="U91" t="s">
        <v>464</v>
      </c>
      <c r="V91">
        <v>431.5</v>
      </c>
      <c r="W91">
        <v>97</v>
      </c>
      <c r="X91">
        <v>415.8</v>
      </c>
      <c r="Y91">
        <v>162</v>
      </c>
      <c r="Z91">
        <v>303.5</v>
      </c>
      <c r="AA91">
        <v>313</v>
      </c>
      <c r="AB91">
        <v>324</v>
      </c>
      <c r="AC91" t="s">
        <v>56</v>
      </c>
      <c r="AD91" t="s">
        <v>55</v>
      </c>
      <c r="AE91" t="s">
        <v>57</v>
      </c>
      <c r="AF91" t="s">
        <v>54</v>
      </c>
      <c r="AG91" t="s">
        <v>63</v>
      </c>
      <c r="AH91">
        <v>93.5</v>
      </c>
      <c r="AI91">
        <v>166.5</v>
      </c>
      <c r="AJ91">
        <v>326</v>
      </c>
      <c r="AK91">
        <v>403.5</v>
      </c>
      <c r="AL91">
        <v>431.5</v>
      </c>
      <c r="AM91" t="s">
        <v>56</v>
      </c>
      <c r="AN91" t="s">
        <v>55</v>
      </c>
      <c r="AO91" t="s">
        <v>58</v>
      </c>
      <c r="AP91" t="s">
        <v>57</v>
      </c>
      <c r="AQ91" t="s">
        <v>55</v>
      </c>
      <c r="AR91">
        <v>13</v>
      </c>
      <c r="AS91">
        <f>IFERROR(INDEX(水保局全省災害資料!$X$2:$X$2000, MATCH(1, INDEX((水保局全省災害資料!$T$2:$T$2000=W91)*(水保局全省災害資料!$U$2:$U$2000=X91), 0, 1), 0)), "")</f>
        <v>0</v>
      </c>
      <c r="AT91">
        <f>IFERROR(INDEX(水保局全省災害資料!$T$2:$T$2000, MATCH(1, INDEX((水保局全省災害資料!$T$2:$T$2000=W91)*(水保局全省災害資料!$U$2:$U$2000=X91), 0, 1), 0)), "")</f>
        <v>97</v>
      </c>
      <c r="AU91">
        <f>IFERROR(INDEX(水保局全省災害資料!$U$2:$U$2000, MATCH(1, INDEX((水保局全省災害資料!$T$2:$T$2000=W91)*(水保局全省災害資料!$U$2:$U$2000=X91), 0, 1), 0)), "")</f>
        <v>415.8</v>
      </c>
      <c r="AV91" t="str">
        <f>IFERROR(INDEX(水保局全省災害資料!$B$2:$B$2000, MATCH(1, INDEX((水保局全省災害資料!$T$2:$T$2000=W91)*(水保局全省災害資料!$U$2:$U$2000=X91), 0, 1), 0)), "")</f>
        <v>土石流</v>
      </c>
    </row>
    <row r="92" spans="1:48">
      <c r="A92" t="s">
        <v>76</v>
      </c>
      <c r="B92" t="s">
        <v>448</v>
      </c>
      <c r="C92" t="s">
        <v>461</v>
      </c>
      <c r="D92" t="s">
        <v>465</v>
      </c>
      <c r="F92" t="s">
        <v>48</v>
      </c>
      <c r="G92">
        <v>97</v>
      </c>
      <c r="H92" t="s">
        <v>124</v>
      </c>
      <c r="I92" s="13">
        <v>39647.166666666664</v>
      </c>
      <c r="M92" t="str">
        <f>IF(SUMIFS(水保局全省災害資料!$X:$X, 水保局全省災害資料!$E:$E, A92, 水保局全省災害資料!$F:$F, B92, 水保局全省災害資料!$N:$N, H92)=0, "", SUMIFS(水保局全省災害資料!$X:$X, 水保局全省災害資料!$E:$E, A92, 水保局全省災害資料!$F:$F, B92, 水保局全省災害資料!$N:$N, H92))</f>
        <v/>
      </c>
      <c r="P92" t="s">
        <v>51</v>
      </c>
      <c r="S92">
        <v>350</v>
      </c>
      <c r="T92" t="s">
        <v>463</v>
      </c>
      <c r="U92" t="s">
        <v>464</v>
      </c>
      <c r="V92">
        <v>431.5</v>
      </c>
      <c r="W92">
        <v>97</v>
      </c>
      <c r="X92">
        <v>415.8</v>
      </c>
      <c r="Y92">
        <v>162</v>
      </c>
      <c r="Z92">
        <v>303.5</v>
      </c>
      <c r="AA92">
        <v>313</v>
      </c>
      <c r="AB92">
        <v>324</v>
      </c>
      <c r="AC92" t="s">
        <v>56</v>
      </c>
      <c r="AD92" t="s">
        <v>55</v>
      </c>
      <c r="AE92" t="s">
        <v>57</v>
      </c>
      <c r="AF92" t="s">
        <v>54</v>
      </c>
      <c r="AG92" t="s">
        <v>63</v>
      </c>
      <c r="AH92">
        <v>93.5</v>
      </c>
      <c r="AI92">
        <v>166.5</v>
      </c>
      <c r="AJ92">
        <v>326</v>
      </c>
      <c r="AK92">
        <v>403.5</v>
      </c>
      <c r="AL92">
        <v>431.5</v>
      </c>
      <c r="AM92" t="s">
        <v>56</v>
      </c>
      <c r="AN92" t="s">
        <v>55</v>
      </c>
      <c r="AO92" t="s">
        <v>58</v>
      </c>
      <c r="AP92" t="s">
        <v>57</v>
      </c>
      <c r="AQ92" t="s">
        <v>55</v>
      </c>
      <c r="AR92">
        <v>13</v>
      </c>
      <c r="AS92">
        <f>IFERROR(INDEX(水保局全省災害資料!$X$2:$X$2000, MATCH(1, INDEX((水保局全省災害資料!$T$2:$T$2000=W92)*(水保局全省災害資料!$U$2:$U$2000=X92), 0, 1), 0)), "")</f>
        <v>0</v>
      </c>
      <c r="AT92">
        <f>IFERROR(INDEX(水保局全省災害資料!$T$2:$T$2000, MATCH(1, INDEX((水保局全省災害資料!$T$2:$T$2000=W92)*(水保局全省災害資料!$U$2:$U$2000=X92), 0, 1), 0)), "")</f>
        <v>97</v>
      </c>
      <c r="AU92">
        <f>IFERROR(INDEX(水保局全省災害資料!$U$2:$U$2000, MATCH(1, INDEX((水保局全省災害資料!$T$2:$T$2000=W92)*(水保局全省災害資料!$U$2:$U$2000=X92), 0, 1), 0)), "")</f>
        <v>415.8</v>
      </c>
      <c r="AV92" t="str">
        <f>IFERROR(INDEX(水保局全省災害資料!$B$2:$B$2000, MATCH(1, INDEX((水保局全省災害資料!$T$2:$T$2000=W92)*(水保局全省災害資料!$U$2:$U$2000=X92), 0, 1), 0)), "")</f>
        <v>土石流</v>
      </c>
    </row>
    <row r="93" spans="1:48">
      <c r="A93" t="s">
        <v>76</v>
      </c>
      <c r="B93" t="s">
        <v>448</v>
      </c>
      <c r="C93" t="s">
        <v>468</v>
      </c>
      <c r="D93" t="s">
        <v>472</v>
      </c>
      <c r="F93" t="s">
        <v>48</v>
      </c>
      <c r="G93">
        <v>106</v>
      </c>
      <c r="H93" t="s">
        <v>178</v>
      </c>
      <c r="I93" s="13">
        <v>42889.333333333336</v>
      </c>
      <c r="M93" t="str">
        <f>IF(SUMIFS(水保局全省災害資料!$X:$X, 水保局全省災害資料!$E:$E, A93, 水保局全省災害資料!$F:$F, B93, 水保局全省災害資料!$N:$N, H93)=0, "", SUMIFS(水保局全省災害資料!$X:$X, 水保局全省災害資料!$E:$E, A93, 水保局全省災害資料!$F:$F, B93, 水保局全省災害資料!$N:$N, H93))</f>
        <v/>
      </c>
      <c r="P93" t="s">
        <v>51</v>
      </c>
      <c r="S93">
        <v>300</v>
      </c>
      <c r="T93" t="s">
        <v>473</v>
      </c>
      <c r="U93" t="s">
        <v>474</v>
      </c>
      <c r="V93">
        <v>659.5</v>
      </c>
      <c r="W93">
        <v>23</v>
      </c>
      <c r="X93">
        <v>318</v>
      </c>
      <c r="Y93">
        <v>60</v>
      </c>
      <c r="Z93">
        <v>100.5</v>
      </c>
      <c r="AA93">
        <v>128.5</v>
      </c>
      <c r="AB93">
        <v>263.5</v>
      </c>
      <c r="AC93" t="s">
        <v>63</v>
      </c>
      <c r="AD93" t="s">
        <v>63</v>
      </c>
      <c r="AE93" t="s">
        <v>63</v>
      </c>
      <c r="AF93" t="s">
        <v>63</v>
      </c>
      <c r="AG93" t="s">
        <v>63</v>
      </c>
      <c r="AH93">
        <v>60</v>
      </c>
      <c r="AI93">
        <v>116.5</v>
      </c>
      <c r="AJ93">
        <v>153</v>
      </c>
      <c r="AK93">
        <v>236.5</v>
      </c>
      <c r="AL93">
        <v>410.5</v>
      </c>
      <c r="AM93" t="s">
        <v>63</v>
      </c>
      <c r="AN93" t="s">
        <v>63</v>
      </c>
      <c r="AO93" t="s">
        <v>63</v>
      </c>
      <c r="AP93" t="s">
        <v>63</v>
      </c>
      <c r="AQ93" t="s">
        <v>55</v>
      </c>
      <c r="AR93">
        <v>29</v>
      </c>
      <c r="AS93">
        <f>IFERROR(INDEX(水保局全省災害資料!$X$2:$X$2000, MATCH(1, INDEX((水保局全省災害資料!$T$2:$T$2000=W93)*(水保局全省災害資料!$U$2:$U$2000=X93), 0, 1), 0)), "")</f>
        <v>0</v>
      </c>
      <c r="AT93">
        <f>IFERROR(INDEX(水保局全省災害資料!$T$2:$T$2000, MATCH(1, INDEX((水保局全省災害資料!$T$2:$T$2000=W93)*(水保局全省災害資料!$U$2:$U$2000=X93), 0, 1), 0)), "")</f>
        <v>23</v>
      </c>
      <c r="AU93">
        <f>IFERROR(INDEX(水保局全省災害資料!$U$2:$U$2000, MATCH(1, INDEX((水保局全省災害資料!$T$2:$T$2000=W93)*(水保局全省災害資料!$U$2:$U$2000=X93), 0, 1), 0)), "")</f>
        <v>318</v>
      </c>
      <c r="AV93" t="str">
        <f>IFERROR(INDEX(水保局全省災害資料!$B$2:$B$2000, MATCH(1, INDEX((水保局全省災害資料!$T$2:$T$2000=W93)*(水保局全省災害資料!$U$2:$U$2000=X93), 0, 1), 0)), "")</f>
        <v>崩塌、土石流</v>
      </c>
    </row>
    <row r="94" spans="1:48">
      <c r="A94" t="s">
        <v>174</v>
      </c>
      <c r="B94" t="s">
        <v>175</v>
      </c>
      <c r="C94" t="s">
        <v>497</v>
      </c>
      <c r="D94" t="s">
        <v>498</v>
      </c>
      <c r="F94" t="s">
        <v>48</v>
      </c>
      <c r="G94">
        <v>98</v>
      </c>
      <c r="H94" t="s">
        <v>153</v>
      </c>
      <c r="I94" s="13">
        <v>40033.916666666664</v>
      </c>
      <c r="M94" t="str">
        <f>IF(SUMIFS(水保局全省災害資料!$X:$X, 水保局全省災害資料!$E:$E, A94, 水保局全省災害資料!$F:$F, B94, 水保局全省災害資料!$N:$N, H94)=0, "", SUMIFS(水保局全省災害資料!$X:$X, 水保局全省災害資料!$E:$E, A94, 水保局全省災害資料!$F:$F, B94, 水保局全省災害資料!$N:$N, H94))</f>
        <v/>
      </c>
      <c r="P94" t="s">
        <v>51</v>
      </c>
      <c r="S94">
        <v>400</v>
      </c>
      <c r="T94" t="s">
        <v>198</v>
      </c>
      <c r="U94" t="s">
        <v>199</v>
      </c>
      <c r="V94">
        <v>1975</v>
      </c>
      <c r="W94">
        <v>33</v>
      </c>
      <c r="X94">
        <v>1051.0999999999999</v>
      </c>
      <c r="Y94">
        <v>116.5</v>
      </c>
      <c r="Z94">
        <v>239</v>
      </c>
      <c r="AA94">
        <v>381.5</v>
      </c>
      <c r="AB94">
        <v>555.5</v>
      </c>
      <c r="AC94" t="s">
        <v>63</v>
      </c>
      <c r="AD94" t="s">
        <v>63</v>
      </c>
      <c r="AE94" t="s">
        <v>55</v>
      </c>
      <c r="AF94" t="s">
        <v>56</v>
      </c>
      <c r="AG94" t="s">
        <v>57</v>
      </c>
      <c r="AH94">
        <v>88</v>
      </c>
      <c r="AI94">
        <v>233</v>
      </c>
      <c r="AJ94">
        <v>380.5</v>
      </c>
      <c r="AK94">
        <v>624</v>
      </c>
      <c r="AL94">
        <v>1028.5</v>
      </c>
      <c r="AM94" t="s">
        <v>55</v>
      </c>
      <c r="AN94" t="s">
        <v>58</v>
      </c>
      <c r="AO94" t="s">
        <v>64</v>
      </c>
      <c r="AP94" t="s">
        <v>64</v>
      </c>
      <c r="AQ94" t="s">
        <v>64</v>
      </c>
      <c r="AR94">
        <v>54</v>
      </c>
      <c r="AS94">
        <f>IFERROR(INDEX(水保局全省災害資料!$X$2:$X$2000, MATCH(1, INDEX((水保局全省災害資料!$T$2:$T$2000=W94)*(水保局全省災害資料!$U$2:$U$2000=X94), 0, 1), 0)), "")</f>
        <v>0</v>
      </c>
      <c r="AT94">
        <f>IFERROR(INDEX(水保局全省災害資料!$T$2:$T$2000, MATCH(1, INDEX((水保局全省災害資料!$T$2:$T$2000=W94)*(水保局全省災害資料!$U$2:$U$2000=X94), 0, 1), 0)), "")</f>
        <v>33</v>
      </c>
      <c r="AU94">
        <f>IFERROR(INDEX(水保局全省災害資料!$U$2:$U$2000, MATCH(1, INDEX((水保局全省災害資料!$T$2:$T$2000=W94)*(水保局全省災害資料!$U$2:$U$2000=X94), 0, 1), 0)), "")</f>
        <v>1051.0999999999999</v>
      </c>
      <c r="AV94" t="str">
        <f>IFERROR(INDEX(水保局全省災害資料!$B$2:$B$2000, MATCH(1, INDEX((水保局全省災害資料!$T$2:$T$2000=W94)*(水保局全省災害資料!$U$2:$U$2000=X94), 0, 1), 0)), "")</f>
        <v>土石流</v>
      </c>
    </row>
    <row r="95" spans="1:48">
      <c r="A95" t="s">
        <v>183</v>
      </c>
      <c r="B95" t="s">
        <v>499</v>
      </c>
      <c r="C95" t="s">
        <v>500</v>
      </c>
      <c r="D95" t="s">
        <v>501</v>
      </c>
      <c r="F95" t="s">
        <v>48</v>
      </c>
      <c r="G95">
        <v>98</v>
      </c>
      <c r="H95" t="s">
        <v>153</v>
      </c>
      <c r="I95" s="13">
        <v>40033.125</v>
      </c>
      <c r="M95" t="str">
        <f>IF(SUMIFS(水保局全省災害資料!$X:$X, 水保局全省災害資料!$E:$E, A95, 水保局全省災害資料!$F:$F, B95, 水保局全省災害資料!$N:$N, H95)=0, "", SUMIFS(水保局全省災害資料!$X:$X, 水保局全省災害資料!$E:$E, A95, 水保局全省災害資料!$F:$F, B95, 水保局全省災害資料!$N:$N, H95))</f>
        <v/>
      </c>
      <c r="P95" t="s">
        <v>51</v>
      </c>
      <c r="S95">
        <v>500</v>
      </c>
      <c r="T95" t="s">
        <v>502</v>
      </c>
      <c r="U95" t="s">
        <v>503</v>
      </c>
      <c r="V95">
        <v>2253.5</v>
      </c>
      <c r="W95">
        <v>33</v>
      </c>
      <c r="X95">
        <v>701.3</v>
      </c>
      <c r="Y95">
        <v>115</v>
      </c>
      <c r="Z95">
        <v>193.5</v>
      </c>
      <c r="AA95">
        <v>340</v>
      </c>
      <c r="AB95">
        <v>563.5</v>
      </c>
      <c r="AC95" t="s">
        <v>63</v>
      </c>
      <c r="AD95" t="s">
        <v>63</v>
      </c>
      <c r="AE95" t="s">
        <v>54</v>
      </c>
      <c r="AF95" t="s">
        <v>56</v>
      </c>
      <c r="AG95" t="s">
        <v>57</v>
      </c>
      <c r="AH95">
        <v>103.5</v>
      </c>
      <c r="AI95">
        <v>264</v>
      </c>
      <c r="AJ95">
        <v>473</v>
      </c>
      <c r="AK95">
        <v>874.5</v>
      </c>
      <c r="AL95">
        <v>1380</v>
      </c>
      <c r="AM95" t="s">
        <v>57</v>
      </c>
      <c r="AN95" t="s">
        <v>64</v>
      </c>
      <c r="AO95" t="s">
        <v>64</v>
      </c>
      <c r="AP95" t="s">
        <v>64</v>
      </c>
      <c r="AQ95" t="s">
        <v>64</v>
      </c>
      <c r="AR95">
        <v>34</v>
      </c>
      <c r="AS95">
        <f>IFERROR(INDEX(水保局全省災害資料!$X$2:$X$2000, MATCH(1, INDEX((水保局全省災害資料!$T$2:$T$2000=W95)*(水保局全省災害資料!$U$2:$U$2000=X95), 0, 1), 0)), "")</f>
        <v>0</v>
      </c>
      <c r="AT95">
        <f>IFERROR(INDEX(水保局全省災害資料!$T$2:$T$2000, MATCH(1, INDEX((水保局全省災害資料!$T$2:$T$2000=W95)*(水保局全省災害資料!$U$2:$U$2000=X95), 0, 1), 0)), "")</f>
        <v>33</v>
      </c>
      <c r="AU95">
        <f>IFERROR(INDEX(水保局全省災害資料!$U$2:$U$2000, MATCH(1, INDEX((水保局全省災害資料!$T$2:$T$2000=W95)*(水保局全省災害資料!$U$2:$U$2000=X95), 0, 1), 0)), "")</f>
        <v>701.3</v>
      </c>
      <c r="AV95" t="str">
        <f>IFERROR(INDEX(水保局全省災害資料!$B$2:$B$2000, MATCH(1, INDEX((水保局全省災害資料!$T$2:$T$2000=W95)*(水保局全省災害資料!$U$2:$U$2000=X95), 0, 1), 0)), "")</f>
        <v>土石流</v>
      </c>
    </row>
    <row r="96" spans="1:48">
      <c r="A96" t="s">
        <v>183</v>
      </c>
      <c r="B96" t="s">
        <v>504</v>
      </c>
      <c r="C96" t="s">
        <v>505</v>
      </c>
      <c r="D96" t="s">
        <v>509</v>
      </c>
      <c r="F96" t="s">
        <v>127</v>
      </c>
      <c r="G96">
        <v>105</v>
      </c>
      <c r="H96" t="s">
        <v>254</v>
      </c>
      <c r="I96" s="13">
        <v>42640.958333333336</v>
      </c>
      <c r="M96" t="str">
        <f>IF(SUMIFS(水保局全省災害資料!$X:$X, 水保局全省災害資料!$E:$E, A96, 水保局全省災害資料!$F:$F, B96, 水保局全省災害資料!$N:$N, H96)=0, "", SUMIFS(水保局全省災害資料!$X:$X, 水保局全省災害資料!$E:$E, A96, 水保局全省災害資料!$F:$F, B96, 水保局全省災害資料!$N:$N, H96))</f>
        <v/>
      </c>
      <c r="P96" t="s">
        <v>51</v>
      </c>
      <c r="S96">
        <v>350</v>
      </c>
      <c r="T96" t="s">
        <v>507</v>
      </c>
      <c r="U96" t="s">
        <v>508</v>
      </c>
      <c r="V96">
        <v>397.5</v>
      </c>
      <c r="W96">
        <v>28.5</v>
      </c>
      <c r="X96">
        <v>325.5</v>
      </c>
      <c r="Y96">
        <v>46</v>
      </c>
      <c r="Z96">
        <v>78.5</v>
      </c>
      <c r="AA96">
        <v>286</v>
      </c>
      <c r="AB96">
        <v>325.5</v>
      </c>
      <c r="AC96" t="s">
        <v>63</v>
      </c>
      <c r="AD96" t="s">
        <v>63</v>
      </c>
      <c r="AE96" t="s">
        <v>63</v>
      </c>
      <c r="AF96" t="s">
        <v>54</v>
      </c>
      <c r="AG96" t="s">
        <v>63</v>
      </c>
      <c r="AH96">
        <v>69.5</v>
      </c>
      <c r="AI96">
        <v>157.5</v>
      </c>
      <c r="AJ96">
        <v>207.5</v>
      </c>
      <c r="AK96">
        <v>302</v>
      </c>
      <c r="AL96">
        <v>397.5</v>
      </c>
      <c r="AM96" t="s">
        <v>54</v>
      </c>
      <c r="AN96" t="s">
        <v>54</v>
      </c>
      <c r="AO96" t="s">
        <v>54</v>
      </c>
      <c r="AP96" t="s">
        <v>54</v>
      </c>
      <c r="AQ96" t="s">
        <v>54</v>
      </c>
      <c r="AR96">
        <v>15</v>
      </c>
      <c r="AS96">
        <f>IFERROR(INDEX(水保局全省災害資料!$X$2:$X$2000, MATCH(1, INDEX((水保局全省災害資料!$T$2:$T$2000=W96)*(水保局全省災害資料!$U$2:$U$2000=X96), 0, 1), 0)), "")</f>
        <v>0</v>
      </c>
      <c r="AT96">
        <f>IFERROR(INDEX(水保局全省災害資料!$T$2:$T$2000, MATCH(1, INDEX((水保局全省災害資料!$T$2:$T$2000=W96)*(水保局全省災害資料!$U$2:$U$2000=X96), 0, 1), 0)), "")</f>
        <v>28.5</v>
      </c>
      <c r="AU96">
        <f>IFERROR(INDEX(水保局全省災害資料!$U$2:$U$2000, MATCH(1, INDEX((水保局全省災害資料!$T$2:$T$2000=W96)*(水保局全省災害資料!$U$2:$U$2000=X96), 0, 1), 0)), "")</f>
        <v>325.5</v>
      </c>
      <c r="AV96" t="str">
        <f>IFERROR(INDEX(水保局全省災害資料!$B$2:$B$2000, MATCH(1, INDEX((水保局全省災害資料!$T$2:$T$2000=W96)*(水保局全省災害資料!$U$2:$U$2000=X96), 0, 1), 0)), "")</f>
        <v>土石流</v>
      </c>
    </row>
    <row r="97" spans="1:48">
      <c r="A97" t="s">
        <v>183</v>
      </c>
      <c r="B97" t="s">
        <v>193</v>
      </c>
      <c r="C97" t="s">
        <v>203</v>
      </c>
      <c r="D97" t="s">
        <v>515</v>
      </c>
      <c r="E97" t="s">
        <v>516</v>
      </c>
      <c r="F97" t="s">
        <v>127</v>
      </c>
      <c r="G97">
        <v>98</v>
      </c>
      <c r="H97" t="s">
        <v>153</v>
      </c>
      <c r="I97" s="13">
        <v>40034.25</v>
      </c>
      <c r="M97" t="str">
        <f>IF(SUMIFS(水保局全省災害資料!$X:$X, 水保局全省災害資料!$E:$E, A97, 水保局全省災害資料!$F:$F, B97, 水保局全省災害資料!$N:$N, H97)=0, "", SUMIFS(水保局全省災害資料!$X:$X, 水保局全省災害資料!$E:$E, A97, 水保局全省災害資料!$F:$F, B97, 水保局全省災害資料!$N:$N, H97))</f>
        <v/>
      </c>
      <c r="P97" t="s">
        <v>51</v>
      </c>
      <c r="S97">
        <v>300</v>
      </c>
      <c r="T97" t="s">
        <v>206</v>
      </c>
      <c r="U97" t="s">
        <v>207</v>
      </c>
      <c r="V97">
        <v>1882</v>
      </c>
      <c r="W97">
        <v>24</v>
      </c>
      <c r="X97">
        <v>1347.7</v>
      </c>
      <c r="Y97">
        <v>90</v>
      </c>
      <c r="Z97">
        <v>376.5</v>
      </c>
      <c r="AA97">
        <v>631</v>
      </c>
      <c r="AB97">
        <v>891.5</v>
      </c>
      <c r="AC97" t="s">
        <v>63</v>
      </c>
      <c r="AD97" t="s">
        <v>63</v>
      </c>
      <c r="AE97" t="s">
        <v>87</v>
      </c>
      <c r="AF97" t="s">
        <v>64</v>
      </c>
      <c r="AG97" t="s">
        <v>64</v>
      </c>
      <c r="AH97">
        <v>121.5</v>
      </c>
      <c r="AI97">
        <v>286.5</v>
      </c>
      <c r="AJ97">
        <v>415.5</v>
      </c>
      <c r="AK97">
        <v>654.5</v>
      </c>
      <c r="AL97">
        <v>1065.5</v>
      </c>
      <c r="AM97" t="s">
        <v>58</v>
      </c>
      <c r="AN97" t="s">
        <v>64</v>
      </c>
      <c r="AO97" t="s">
        <v>64</v>
      </c>
      <c r="AP97" t="s">
        <v>64</v>
      </c>
      <c r="AQ97" t="s">
        <v>64</v>
      </c>
      <c r="AR97">
        <v>62</v>
      </c>
      <c r="AS97">
        <f>IFERROR(INDEX(水保局全省災害資料!$X$2:$X$2000, MATCH(1, INDEX((水保局全省災害資料!$T$2:$T$2000=W97)*(水保局全省災害資料!$U$2:$U$2000=X97), 0, 1), 0)), "")</f>
        <v>0</v>
      </c>
      <c r="AT97">
        <f>IFERROR(INDEX(水保局全省災害資料!$T$2:$T$2000, MATCH(1, INDEX((水保局全省災害資料!$T$2:$T$2000=W97)*(水保局全省災害資料!$U$2:$U$2000=X97), 0, 1), 0)), "")</f>
        <v>24</v>
      </c>
      <c r="AU97">
        <f>IFERROR(INDEX(水保局全省災害資料!$U$2:$U$2000, MATCH(1, INDEX((水保局全省災害資料!$T$2:$T$2000=W97)*(水保局全省災害資料!$U$2:$U$2000=X97), 0, 1), 0)), "")</f>
        <v>1347.7</v>
      </c>
      <c r="AV97" t="str">
        <f>IFERROR(INDEX(水保局全省災害資料!$B$2:$B$2000, MATCH(1, INDEX((水保局全省災害資料!$T$2:$T$2000=W97)*(水保局全省災害資料!$U$2:$U$2000=X97), 0, 1), 0)), "")</f>
        <v>土石流</v>
      </c>
    </row>
    <row r="98" spans="1:48">
      <c r="A98" t="s">
        <v>183</v>
      </c>
      <c r="B98" t="s">
        <v>193</v>
      </c>
      <c r="C98" t="s">
        <v>517</v>
      </c>
      <c r="D98" t="s">
        <v>518</v>
      </c>
      <c r="E98" t="s">
        <v>519</v>
      </c>
      <c r="F98" t="s">
        <v>127</v>
      </c>
      <c r="G98">
        <v>98</v>
      </c>
      <c r="H98" t="s">
        <v>153</v>
      </c>
      <c r="I98" s="13">
        <v>40033.083333333336</v>
      </c>
      <c r="M98" t="str">
        <f>IF(SUMIFS(水保局全省災害資料!$X:$X, 水保局全省災害資料!$E:$E, A98, 水保局全省災害資料!$F:$F, B98, 水保局全省災害資料!$N:$N, H98)=0, "", SUMIFS(水保局全省災害資料!$X:$X, 水保局全省災害資料!$E:$E, A98, 水保局全省災害資料!$F:$F, B98, 水保局全省災害資料!$N:$N, H98))</f>
        <v/>
      </c>
      <c r="P98" t="s">
        <v>51</v>
      </c>
      <c r="S98">
        <v>300</v>
      </c>
      <c r="T98" t="s">
        <v>520</v>
      </c>
      <c r="U98" t="s">
        <v>521</v>
      </c>
      <c r="V98">
        <v>2379</v>
      </c>
      <c r="W98">
        <v>36</v>
      </c>
      <c r="X98">
        <v>589.79999999999995</v>
      </c>
      <c r="Y98">
        <v>79</v>
      </c>
      <c r="Z98">
        <v>151.5</v>
      </c>
      <c r="AA98">
        <v>272.5</v>
      </c>
      <c r="AB98">
        <v>491.5</v>
      </c>
      <c r="AC98" t="s">
        <v>63</v>
      </c>
      <c r="AD98" t="s">
        <v>63</v>
      </c>
      <c r="AE98" t="s">
        <v>63</v>
      </c>
      <c r="AF98" t="s">
        <v>54</v>
      </c>
      <c r="AG98" t="s">
        <v>56</v>
      </c>
      <c r="AH98">
        <v>75.5</v>
      </c>
      <c r="AI98">
        <v>209.5</v>
      </c>
      <c r="AJ98">
        <v>392.5</v>
      </c>
      <c r="AK98">
        <v>715</v>
      </c>
      <c r="AL98">
        <v>1214.5</v>
      </c>
      <c r="AM98" t="s">
        <v>54</v>
      </c>
      <c r="AN98" t="s">
        <v>57</v>
      </c>
      <c r="AO98" t="s">
        <v>64</v>
      </c>
      <c r="AP98" t="s">
        <v>64</v>
      </c>
      <c r="AQ98" t="s">
        <v>64</v>
      </c>
      <c r="AR98">
        <v>31</v>
      </c>
      <c r="AS98">
        <f>IFERROR(INDEX(水保局全省災害資料!$X$2:$X$2000, MATCH(1, INDEX((水保局全省災害資料!$T$2:$T$2000=W98)*(水保局全省災害資料!$U$2:$U$2000=X98), 0, 1), 0)), "")</f>
        <v>0</v>
      </c>
      <c r="AT98">
        <f>IFERROR(INDEX(水保局全省災害資料!$T$2:$T$2000, MATCH(1, INDEX((水保局全省災害資料!$T$2:$T$2000=W98)*(水保局全省災害資料!$U$2:$U$2000=X98), 0, 1), 0)), "")</f>
        <v>36</v>
      </c>
      <c r="AU98">
        <f>IFERROR(INDEX(水保局全省災害資料!$U$2:$U$2000, MATCH(1, INDEX((水保局全省災害資料!$T$2:$T$2000=W98)*(水保局全省災害資料!$U$2:$U$2000=X98), 0, 1), 0)), "")</f>
        <v>589.79999999999995</v>
      </c>
      <c r="AV98" t="str">
        <f>IFERROR(INDEX(水保局全省災害資料!$B$2:$B$2000, MATCH(1, INDEX((水保局全省災害資料!$T$2:$T$2000=W98)*(水保局全省災害資料!$U$2:$U$2000=X98), 0, 1), 0)), "")</f>
        <v>土石流</v>
      </c>
    </row>
    <row r="99" spans="1:48">
      <c r="A99" t="s">
        <v>183</v>
      </c>
      <c r="B99" t="s">
        <v>193</v>
      </c>
      <c r="C99" t="s">
        <v>522</v>
      </c>
      <c r="D99" t="s">
        <v>523</v>
      </c>
      <c r="E99" t="s">
        <v>524</v>
      </c>
      <c r="F99" t="s">
        <v>48</v>
      </c>
      <c r="G99">
        <v>98</v>
      </c>
      <c r="H99" t="s">
        <v>153</v>
      </c>
      <c r="I99" s="13">
        <v>40033.708333333336</v>
      </c>
      <c r="M99" t="str">
        <f>IF(SUMIFS(水保局全省災害資料!$X:$X, 水保局全省災害資料!$E:$E, A99, 水保局全省災害資料!$F:$F, B99, 水保局全省災害資料!$N:$N, H99)=0, "", SUMIFS(水保局全省災害資料!$X:$X, 水保局全省災害資料!$E:$E, A99, 水保局全省災害資料!$F:$F, B99, 水保局全省災害資料!$N:$N, H99))</f>
        <v/>
      </c>
      <c r="P99" t="s">
        <v>51</v>
      </c>
      <c r="S99">
        <v>300</v>
      </c>
      <c r="T99" t="s">
        <v>520</v>
      </c>
      <c r="U99" t="s">
        <v>521</v>
      </c>
      <c r="V99">
        <v>2379</v>
      </c>
      <c r="W99">
        <v>59.5</v>
      </c>
      <c r="X99">
        <v>1062.3</v>
      </c>
      <c r="Y99">
        <v>154.5</v>
      </c>
      <c r="Z99">
        <v>280</v>
      </c>
      <c r="AA99">
        <v>439.5</v>
      </c>
      <c r="AB99">
        <v>744.5</v>
      </c>
      <c r="AC99" t="s">
        <v>63</v>
      </c>
      <c r="AD99" t="s">
        <v>54</v>
      </c>
      <c r="AE99" t="s">
        <v>56</v>
      </c>
      <c r="AF99" t="s">
        <v>57</v>
      </c>
      <c r="AG99" t="s">
        <v>64</v>
      </c>
      <c r="AH99">
        <v>75.5</v>
      </c>
      <c r="AI99">
        <v>209.5</v>
      </c>
      <c r="AJ99">
        <v>392.5</v>
      </c>
      <c r="AK99">
        <v>715</v>
      </c>
      <c r="AL99">
        <v>1214.5</v>
      </c>
      <c r="AM99" t="s">
        <v>54</v>
      </c>
      <c r="AN99" t="s">
        <v>57</v>
      </c>
      <c r="AO99" t="s">
        <v>64</v>
      </c>
      <c r="AP99" t="s">
        <v>64</v>
      </c>
      <c r="AQ99" t="s">
        <v>64</v>
      </c>
      <c r="AR99">
        <v>46</v>
      </c>
      <c r="AS99">
        <f>IFERROR(INDEX(水保局全省災害資料!$X$2:$X$2000, MATCH(1, INDEX((水保局全省災害資料!$T$2:$T$2000=W99)*(水保局全省災害資料!$U$2:$U$2000=X99), 0, 1), 0)), "")</f>
        <v>0</v>
      </c>
      <c r="AT99">
        <f>IFERROR(INDEX(水保局全省災害資料!$T$2:$T$2000, MATCH(1, INDEX((水保局全省災害資料!$T$2:$T$2000=W99)*(水保局全省災害資料!$U$2:$U$2000=X99), 0, 1), 0)), "")</f>
        <v>59.5</v>
      </c>
      <c r="AU99">
        <f>IFERROR(INDEX(水保局全省災害資料!$U$2:$U$2000, MATCH(1, INDEX((水保局全省災害資料!$T$2:$T$2000=W99)*(水保局全省災害資料!$U$2:$U$2000=X99), 0, 1), 0)), "")</f>
        <v>1062.3</v>
      </c>
      <c r="AV99" t="str">
        <f>IFERROR(INDEX(水保局全省災害資料!$B$2:$B$2000, MATCH(1, INDEX((水保局全省災害資料!$T$2:$T$2000=W99)*(水保局全省災害資料!$U$2:$U$2000=X99), 0, 1), 0)), "")</f>
        <v>土石流</v>
      </c>
    </row>
    <row r="100" spans="1:48">
      <c r="A100" t="s">
        <v>183</v>
      </c>
      <c r="B100" t="s">
        <v>208</v>
      </c>
      <c r="C100" t="s">
        <v>525</v>
      </c>
      <c r="D100" t="s">
        <v>526</v>
      </c>
      <c r="E100" t="s">
        <v>527</v>
      </c>
      <c r="F100" t="s">
        <v>127</v>
      </c>
      <c r="G100">
        <v>98</v>
      </c>
      <c r="H100" t="s">
        <v>153</v>
      </c>
      <c r="I100" s="13">
        <v>40033.916666666664</v>
      </c>
      <c r="M100" t="str">
        <f>IF(SUMIFS(水保局全省災害資料!$X:$X, 水保局全省災害資料!$E:$E, A100, 水保局全省災害資料!$F:$F, B100, 水保局全省災害資料!$N:$N, H100)=0, "", SUMIFS(水保局全省災害資料!$X:$X, 水保局全省災害資料!$E:$E, A100, 水保局全省災害資料!$F:$F, B100, 水保局全省災害資料!$N:$N, H100))</f>
        <v/>
      </c>
      <c r="P100" t="s">
        <v>51</v>
      </c>
      <c r="S100">
        <v>400</v>
      </c>
      <c r="T100" t="s">
        <v>211</v>
      </c>
      <c r="U100" t="s">
        <v>212</v>
      </c>
      <c r="V100">
        <v>1889.5</v>
      </c>
      <c r="W100">
        <v>38</v>
      </c>
      <c r="X100">
        <v>923.4</v>
      </c>
      <c r="Y100">
        <v>119</v>
      </c>
      <c r="Z100">
        <v>235.5</v>
      </c>
      <c r="AA100">
        <v>405.5</v>
      </c>
      <c r="AB100">
        <v>564.5</v>
      </c>
      <c r="AC100" t="s">
        <v>63</v>
      </c>
      <c r="AD100" t="s">
        <v>63</v>
      </c>
      <c r="AE100" t="s">
        <v>55</v>
      </c>
      <c r="AF100" t="s">
        <v>56</v>
      </c>
      <c r="AG100" t="s">
        <v>57</v>
      </c>
      <c r="AH100">
        <v>105</v>
      </c>
      <c r="AI100">
        <v>257</v>
      </c>
      <c r="AJ100">
        <v>404</v>
      </c>
      <c r="AK100">
        <v>644.5</v>
      </c>
      <c r="AL100">
        <v>1084.5</v>
      </c>
      <c r="AM100" t="s">
        <v>57</v>
      </c>
      <c r="AN100" t="s">
        <v>87</v>
      </c>
      <c r="AO100" t="s">
        <v>64</v>
      </c>
      <c r="AP100" t="s">
        <v>64</v>
      </c>
      <c r="AQ100" t="s">
        <v>64</v>
      </c>
      <c r="AR100">
        <v>64</v>
      </c>
      <c r="AS100">
        <f>IFERROR(INDEX(水保局全省災害資料!$X$2:$X$2000, MATCH(1, INDEX((水保局全省災害資料!$T$2:$T$2000=W100)*(水保局全省災害資料!$U$2:$U$2000=X100), 0, 1), 0)), "")</f>
        <v>0</v>
      </c>
      <c r="AT100">
        <f>IFERROR(INDEX(水保局全省災害資料!$T$2:$T$2000, MATCH(1, INDEX((水保局全省災害資料!$T$2:$T$2000=W100)*(水保局全省災害資料!$U$2:$U$2000=X100), 0, 1), 0)), "")</f>
        <v>38</v>
      </c>
      <c r="AU100">
        <f>IFERROR(INDEX(水保局全省災害資料!$U$2:$U$2000, MATCH(1, INDEX((水保局全省災害資料!$T$2:$T$2000=W100)*(水保局全省災害資料!$U$2:$U$2000=X100), 0, 1), 0)), "")</f>
        <v>923.4</v>
      </c>
      <c r="AV100" t="str">
        <f>IFERROR(INDEX(水保局全省災害資料!$B$2:$B$2000, MATCH(1, INDEX((水保局全省災害資料!$T$2:$T$2000=W100)*(水保局全省災害資料!$U$2:$U$2000=X100), 0, 1), 0)), "")</f>
        <v>土石流</v>
      </c>
    </row>
    <row r="101" spans="1:48">
      <c r="A101" t="s">
        <v>183</v>
      </c>
      <c r="B101" t="s">
        <v>208</v>
      </c>
      <c r="C101" t="s">
        <v>209</v>
      </c>
      <c r="D101" t="s">
        <v>528</v>
      </c>
      <c r="F101" t="s">
        <v>127</v>
      </c>
      <c r="G101">
        <v>98</v>
      </c>
      <c r="H101" t="s">
        <v>153</v>
      </c>
      <c r="I101" s="13">
        <v>40033.875</v>
      </c>
      <c r="M101" t="str">
        <f>IF(SUMIFS(水保局全省災害資料!$X:$X, 水保局全省災害資料!$E:$E, A101, 水保局全省災害資料!$F:$F, B101, 水保局全省災害資料!$N:$N, H101)=0, "", SUMIFS(水保局全省災害資料!$X:$X, 水保局全省災害資料!$E:$E, A101, 水保局全省災害資料!$F:$F, B101, 水保局全省災害資料!$N:$N, H101))</f>
        <v/>
      </c>
      <c r="P101" t="s">
        <v>51</v>
      </c>
      <c r="S101">
        <v>400</v>
      </c>
      <c r="T101" t="s">
        <v>211</v>
      </c>
      <c r="U101" t="s">
        <v>212</v>
      </c>
      <c r="V101">
        <v>1889.5</v>
      </c>
      <c r="W101">
        <v>37</v>
      </c>
      <c r="X101">
        <v>887.9</v>
      </c>
      <c r="Y101">
        <v>126</v>
      </c>
      <c r="Z101">
        <v>237.5</v>
      </c>
      <c r="AA101">
        <v>350</v>
      </c>
      <c r="AB101">
        <v>507</v>
      </c>
      <c r="AC101" t="s">
        <v>63</v>
      </c>
      <c r="AD101" t="s">
        <v>63</v>
      </c>
      <c r="AE101" t="s">
        <v>55</v>
      </c>
      <c r="AF101" t="s">
        <v>55</v>
      </c>
      <c r="AG101" t="s">
        <v>56</v>
      </c>
      <c r="AH101">
        <v>105</v>
      </c>
      <c r="AI101">
        <v>257</v>
      </c>
      <c r="AJ101">
        <v>404</v>
      </c>
      <c r="AK101">
        <v>644.5</v>
      </c>
      <c r="AL101">
        <v>1084.5</v>
      </c>
      <c r="AM101" t="s">
        <v>57</v>
      </c>
      <c r="AN101" t="s">
        <v>87</v>
      </c>
      <c r="AO101" t="s">
        <v>64</v>
      </c>
      <c r="AP101" t="s">
        <v>64</v>
      </c>
      <c r="AQ101" t="s">
        <v>64</v>
      </c>
      <c r="AR101">
        <v>63</v>
      </c>
      <c r="AS101">
        <f>IFERROR(INDEX(水保局全省災害資料!$X$2:$X$2000, MATCH(1, INDEX((水保局全省災害資料!$T$2:$T$2000=W101)*(水保局全省災害資料!$U$2:$U$2000=X101), 0, 1), 0)), "")</f>
        <v>0</v>
      </c>
      <c r="AT101">
        <f>IFERROR(INDEX(水保局全省災害資料!$T$2:$T$2000, MATCH(1, INDEX((水保局全省災害資料!$T$2:$T$2000=W101)*(水保局全省災害資料!$U$2:$U$2000=X101), 0, 1), 0)), "")</f>
        <v>37</v>
      </c>
      <c r="AU101">
        <f>IFERROR(INDEX(水保局全省災害資料!$U$2:$U$2000, MATCH(1, INDEX((水保局全省災害資料!$T$2:$T$2000=W101)*(水保局全省災害資料!$U$2:$U$2000=X101), 0, 1), 0)), "")</f>
        <v>887.9</v>
      </c>
      <c r="AV101" t="str">
        <f>IFERROR(INDEX(水保局全省災害資料!$B$2:$B$2000, MATCH(1, INDEX((水保局全省災害資料!$T$2:$T$2000=W101)*(水保局全省災害資料!$U$2:$U$2000=X101), 0, 1), 0)), "")</f>
        <v>土石流</v>
      </c>
    </row>
    <row r="102" spans="1:48">
      <c r="A102" t="s">
        <v>183</v>
      </c>
      <c r="B102" t="s">
        <v>208</v>
      </c>
      <c r="C102" t="s">
        <v>209</v>
      </c>
      <c r="D102" t="s">
        <v>529</v>
      </c>
      <c r="F102" t="s">
        <v>127</v>
      </c>
      <c r="G102">
        <v>98</v>
      </c>
      <c r="H102" t="s">
        <v>153</v>
      </c>
      <c r="I102" s="13">
        <v>40033.875</v>
      </c>
      <c r="M102" t="str">
        <f>IF(SUMIFS(水保局全省災害資料!$X:$X, 水保局全省災害資料!$E:$E, A102, 水保局全省災害資料!$F:$F, B102, 水保局全省災害資料!$N:$N, H102)=0, "", SUMIFS(水保局全省災害資料!$X:$X, 水保局全省災害資料!$E:$E, A102, 水保局全省災害資料!$F:$F, B102, 水保局全省災害資料!$N:$N, H102))</f>
        <v/>
      </c>
      <c r="P102" t="s">
        <v>51</v>
      </c>
      <c r="S102">
        <v>400</v>
      </c>
      <c r="T102" t="s">
        <v>211</v>
      </c>
      <c r="U102" t="s">
        <v>212</v>
      </c>
      <c r="V102">
        <v>1889.5</v>
      </c>
      <c r="W102">
        <v>37</v>
      </c>
      <c r="X102">
        <v>887.9</v>
      </c>
      <c r="Y102">
        <v>126</v>
      </c>
      <c r="Z102">
        <v>237.5</v>
      </c>
      <c r="AA102">
        <v>350</v>
      </c>
      <c r="AB102">
        <v>507</v>
      </c>
      <c r="AC102" t="s">
        <v>63</v>
      </c>
      <c r="AD102" t="s">
        <v>63</v>
      </c>
      <c r="AE102" t="s">
        <v>55</v>
      </c>
      <c r="AF102" t="s">
        <v>55</v>
      </c>
      <c r="AG102" t="s">
        <v>56</v>
      </c>
      <c r="AH102">
        <v>105</v>
      </c>
      <c r="AI102">
        <v>257</v>
      </c>
      <c r="AJ102">
        <v>404</v>
      </c>
      <c r="AK102">
        <v>644.5</v>
      </c>
      <c r="AL102">
        <v>1084.5</v>
      </c>
      <c r="AM102" t="s">
        <v>57</v>
      </c>
      <c r="AN102" t="s">
        <v>87</v>
      </c>
      <c r="AO102" t="s">
        <v>64</v>
      </c>
      <c r="AP102" t="s">
        <v>64</v>
      </c>
      <c r="AQ102" t="s">
        <v>64</v>
      </c>
      <c r="AR102">
        <v>63</v>
      </c>
      <c r="AS102">
        <f>IFERROR(INDEX(水保局全省災害資料!$X$2:$X$2000, MATCH(1, INDEX((水保局全省災害資料!$T$2:$T$2000=W102)*(水保局全省災害資料!$U$2:$U$2000=X102), 0, 1), 0)), "")</f>
        <v>0</v>
      </c>
      <c r="AT102">
        <f>IFERROR(INDEX(水保局全省災害資料!$T$2:$T$2000, MATCH(1, INDEX((水保局全省災害資料!$T$2:$T$2000=W102)*(水保局全省災害資料!$U$2:$U$2000=X102), 0, 1), 0)), "")</f>
        <v>37</v>
      </c>
      <c r="AU102">
        <f>IFERROR(INDEX(水保局全省災害資料!$U$2:$U$2000, MATCH(1, INDEX((水保局全省災害資料!$T$2:$T$2000=W102)*(水保局全省災害資料!$U$2:$U$2000=X102), 0, 1), 0)), "")</f>
        <v>887.9</v>
      </c>
      <c r="AV102" t="str">
        <f>IFERROR(INDEX(水保局全省災害資料!$B$2:$B$2000, MATCH(1, INDEX((水保局全省災害資料!$T$2:$T$2000=W102)*(水保局全省災害資料!$U$2:$U$2000=X102), 0, 1), 0)), "")</f>
        <v>土石流</v>
      </c>
    </row>
    <row r="103" spans="1:48">
      <c r="A103" t="s">
        <v>213</v>
      </c>
      <c r="B103" t="s">
        <v>214</v>
      </c>
      <c r="C103" t="s">
        <v>530</v>
      </c>
      <c r="D103" t="s">
        <v>531</v>
      </c>
      <c r="E103" t="s">
        <v>532</v>
      </c>
      <c r="F103" t="s">
        <v>48</v>
      </c>
      <c r="G103">
        <v>97</v>
      </c>
      <c r="H103" t="s">
        <v>124</v>
      </c>
      <c r="I103" s="13">
        <v>39647</v>
      </c>
      <c r="M103" t="str">
        <f>IF(SUMIFS(水保局全省災害資料!$X:$X, 水保局全省災害資料!$E:$E, A103, 水保局全省災害資料!$F:$F, B103, 水保局全省災害資料!$N:$N, H103)=0, "", SUMIFS(水保局全省災害資料!$X:$X, 水保局全省災害資料!$E:$E, A103, 水保局全省災害資料!$F:$F, B103, 水保局全省災害資料!$N:$N, H103))</f>
        <v/>
      </c>
      <c r="P103" t="s">
        <v>51</v>
      </c>
      <c r="S103">
        <v>500</v>
      </c>
      <c r="T103" t="s">
        <v>533</v>
      </c>
      <c r="U103" t="s">
        <v>534</v>
      </c>
      <c r="V103">
        <v>741</v>
      </c>
      <c r="W103">
        <v>100</v>
      </c>
      <c r="X103">
        <v>564.4</v>
      </c>
      <c r="Y103">
        <v>347</v>
      </c>
      <c r="Z103">
        <v>472.5</v>
      </c>
      <c r="AA103">
        <v>516.5</v>
      </c>
      <c r="AB103">
        <v>516.5</v>
      </c>
      <c r="AC103" t="s">
        <v>57</v>
      </c>
      <c r="AD103" t="s">
        <v>64</v>
      </c>
      <c r="AE103" t="s">
        <v>64</v>
      </c>
      <c r="AF103" t="s">
        <v>64</v>
      </c>
      <c r="AG103" t="s">
        <v>56</v>
      </c>
      <c r="AH103">
        <v>137.5</v>
      </c>
      <c r="AI103">
        <v>347</v>
      </c>
      <c r="AJ103">
        <v>494.5</v>
      </c>
      <c r="AK103">
        <v>616.5</v>
      </c>
      <c r="AL103">
        <v>734.5</v>
      </c>
      <c r="AM103" t="s">
        <v>64</v>
      </c>
      <c r="AN103" t="s">
        <v>64</v>
      </c>
      <c r="AO103" t="s">
        <v>64</v>
      </c>
      <c r="AP103" t="s">
        <v>64</v>
      </c>
      <c r="AQ103" t="s">
        <v>64</v>
      </c>
      <c r="AR103">
        <v>10</v>
      </c>
      <c r="AS103">
        <f>IFERROR(INDEX(水保局全省災害資料!$X$2:$X$2000, MATCH(1, INDEX((水保局全省災害資料!$T$2:$T$2000=W103)*(水保局全省災害資料!$U$2:$U$2000=X103), 0, 1), 0)), "")</f>
        <v>0</v>
      </c>
      <c r="AT103">
        <f>IFERROR(INDEX(水保局全省災害資料!$T$2:$T$2000, MATCH(1, INDEX((水保局全省災害資料!$T$2:$T$2000=W103)*(水保局全省災害資料!$U$2:$U$2000=X103), 0, 1), 0)), "")</f>
        <v>100</v>
      </c>
      <c r="AU103">
        <f>IFERROR(INDEX(水保局全省災害資料!$U$2:$U$2000, MATCH(1, INDEX((水保局全省災害資料!$T$2:$T$2000=W103)*(水保局全省災害資料!$U$2:$U$2000=X103), 0, 1), 0)), "")</f>
        <v>564.4</v>
      </c>
      <c r="AV103" t="str">
        <f>IFERROR(INDEX(水保局全省災害資料!$B$2:$B$2000, MATCH(1, INDEX((水保局全省災害資料!$T$2:$T$2000=W103)*(水保局全省災害資料!$U$2:$U$2000=X103), 0, 1), 0)), "")</f>
        <v>土石流、洪水</v>
      </c>
    </row>
    <row r="104" spans="1:48">
      <c r="A104" t="s">
        <v>220</v>
      </c>
      <c r="B104" t="s">
        <v>221</v>
      </c>
      <c r="C104" t="s">
        <v>238</v>
      </c>
      <c r="D104" t="s">
        <v>290</v>
      </c>
      <c r="E104" t="s">
        <v>535</v>
      </c>
      <c r="F104" t="s">
        <v>48</v>
      </c>
      <c r="G104">
        <v>98</v>
      </c>
      <c r="H104" t="s">
        <v>153</v>
      </c>
      <c r="I104" s="13">
        <v>40032.833333333336</v>
      </c>
      <c r="M104" t="str">
        <f>IF(SUMIFS(水保局全省災害資料!$X:$X, 水保局全省災害資料!$E:$E, A104, 水保局全省災害資料!$F:$F, B104, 水保局全省災害資料!$N:$N, H104)=0, "", SUMIFS(水保局全省災害資料!$X:$X, 水保局全省災害資料!$E:$E, A104, 水保局全省災害資料!$F:$F, B104, 水保局全省災害資料!$N:$N, H104))</f>
        <v/>
      </c>
      <c r="P104" t="s">
        <v>51</v>
      </c>
      <c r="S104">
        <v>400</v>
      </c>
      <c r="T104" t="s">
        <v>233</v>
      </c>
      <c r="U104" t="s">
        <v>234</v>
      </c>
      <c r="V104">
        <v>1211</v>
      </c>
      <c r="W104">
        <v>15.5</v>
      </c>
      <c r="X104">
        <v>290.10000000000002</v>
      </c>
      <c r="Y104">
        <v>41</v>
      </c>
      <c r="Z104">
        <v>73.5</v>
      </c>
      <c r="AA104">
        <v>132</v>
      </c>
      <c r="AB104">
        <v>256</v>
      </c>
      <c r="AH104">
        <v>52.5</v>
      </c>
      <c r="AI104">
        <v>124</v>
      </c>
      <c r="AJ104">
        <v>244</v>
      </c>
      <c r="AK104">
        <v>416</v>
      </c>
      <c r="AL104">
        <v>743</v>
      </c>
      <c r="AR104">
        <v>25</v>
      </c>
      <c r="AS104">
        <f>IFERROR(INDEX(水保局全省災害資料!$X$2:$X$2000, MATCH(1, INDEX((水保局全省災害資料!$T$2:$T$2000=W104)*(水保局全省災害資料!$U$2:$U$2000=X104), 0, 1), 0)), "")</f>
        <v>0</v>
      </c>
      <c r="AT104">
        <f>IFERROR(INDEX(水保局全省災害資料!$T$2:$T$2000, MATCH(1, INDEX((水保局全省災害資料!$T$2:$T$2000=W104)*(水保局全省災害資料!$U$2:$U$2000=X104), 0, 1), 0)), "")</f>
        <v>15.5</v>
      </c>
      <c r="AU104">
        <f>IFERROR(INDEX(水保局全省災害資料!$U$2:$U$2000, MATCH(1, INDEX((水保局全省災害資料!$T$2:$T$2000=W104)*(水保局全省災害資料!$U$2:$U$2000=X104), 0, 1), 0)), "")</f>
        <v>290.10000000000002</v>
      </c>
      <c r="AV104" t="str">
        <f>IFERROR(INDEX(水保局全省災害資料!$B$2:$B$2000, MATCH(1, INDEX((水保局全省災害資料!$T$2:$T$2000=W104)*(水保局全省災害資料!$U$2:$U$2000=X104), 0, 1), 0)), "")</f>
        <v>土石流</v>
      </c>
    </row>
    <row r="105" spans="1:48">
      <c r="A105" t="s">
        <v>220</v>
      </c>
      <c r="B105" t="s">
        <v>221</v>
      </c>
      <c r="C105" t="s">
        <v>222</v>
      </c>
      <c r="D105" t="s">
        <v>536</v>
      </c>
      <c r="E105" t="s">
        <v>537</v>
      </c>
      <c r="F105" t="s">
        <v>48</v>
      </c>
      <c r="G105">
        <v>98</v>
      </c>
      <c r="H105" t="s">
        <v>153</v>
      </c>
      <c r="I105" s="13">
        <v>40033.708333333336</v>
      </c>
      <c r="M105" t="str">
        <f>IF(SUMIFS(水保局全省災害資料!$X:$X, 水保局全省災害資料!$E:$E, A105, 水保局全省災害資料!$F:$F, B105, 水保局全省災害資料!$N:$N, H105)=0, "", SUMIFS(水保局全省災害資料!$X:$X, 水保局全省災害資料!$E:$E, A105, 水保局全省災害資料!$F:$F, B105, 水保局全省災害資料!$N:$N, H105))</f>
        <v/>
      </c>
      <c r="P105" t="s">
        <v>51</v>
      </c>
      <c r="S105">
        <v>400</v>
      </c>
      <c r="T105" t="s">
        <v>225</v>
      </c>
      <c r="U105" t="s">
        <v>226</v>
      </c>
      <c r="V105">
        <v>2418</v>
      </c>
      <c r="W105">
        <v>71</v>
      </c>
      <c r="X105">
        <v>1046.0999999999999</v>
      </c>
      <c r="Y105">
        <v>232.5</v>
      </c>
      <c r="Z105">
        <v>358.5</v>
      </c>
      <c r="AA105">
        <v>590</v>
      </c>
      <c r="AB105">
        <v>846.5</v>
      </c>
      <c r="AC105" t="s">
        <v>54</v>
      </c>
      <c r="AD105" t="s">
        <v>58</v>
      </c>
      <c r="AE105" t="s">
        <v>58</v>
      </c>
      <c r="AF105" t="s">
        <v>64</v>
      </c>
      <c r="AG105" t="s">
        <v>64</v>
      </c>
      <c r="AH105">
        <v>103</v>
      </c>
      <c r="AI105">
        <v>253.5</v>
      </c>
      <c r="AJ105">
        <v>473.5</v>
      </c>
      <c r="AK105">
        <v>786.5</v>
      </c>
      <c r="AL105">
        <v>1199.5</v>
      </c>
      <c r="AM105" t="s">
        <v>56</v>
      </c>
      <c r="AN105" t="s">
        <v>87</v>
      </c>
      <c r="AO105" t="s">
        <v>64</v>
      </c>
      <c r="AP105" t="s">
        <v>64</v>
      </c>
      <c r="AQ105" t="s">
        <v>64</v>
      </c>
      <c r="AR105">
        <v>44</v>
      </c>
      <c r="AS105">
        <f>IFERROR(INDEX(水保局全省災害資料!$X$2:$X$2000, MATCH(1, INDEX((水保局全省災害資料!$T$2:$T$2000=W105)*(水保局全省災害資料!$U$2:$U$2000=X105), 0, 1), 0)), "")</f>
        <v>0</v>
      </c>
      <c r="AT105">
        <f>IFERROR(INDEX(水保局全省災害資料!$T$2:$T$2000, MATCH(1, INDEX((水保局全省災害資料!$T$2:$T$2000=W105)*(水保局全省災害資料!$U$2:$U$2000=X105), 0, 1), 0)), "")</f>
        <v>71</v>
      </c>
      <c r="AU105">
        <f>IFERROR(INDEX(水保局全省災害資料!$U$2:$U$2000, MATCH(1, INDEX((水保局全省災害資料!$T$2:$T$2000=W105)*(水保局全省災害資料!$U$2:$U$2000=X105), 0, 1), 0)), "")</f>
        <v>1046.0999999999999</v>
      </c>
      <c r="AV105" t="str">
        <f>IFERROR(INDEX(水保局全省災害資料!$B$2:$B$2000, MATCH(1, INDEX((水保局全省災害資料!$T$2:$T$2000=W105)*(水保局全省災害資料!$U$2:$U$2000=X105), 0, 1), 0)), "")</f>
        <v>土石流、崩塌</v>
      </c>
    </row>
    <row r="106" spans="1:48">
      <c r="A106" t="s">
        <v>220</v>
      </c>
      <c r="B106" t="s">
        <v>221</v>
      </c>
      <c r="C106" t="s">
        <v>538</v>
      </c>
      <c r="D106" t="s">
        <v>539</v>
      </c>
      <c r="E106" t="s">
        <v>540</v>
      </c>
      <c r="F106" t="s">
        <v>48</v>
      </c>
      <c r="G106">
        <v>99</v>
      </c>
      <c r="H106" t="s">
        <v>237</v>
      </c>
      <c r="I106" s="13">
        <v>40440.875</v>
      </c>
      <c r="M106" t="str">
        <f>IF(SUMIFS(水保局全省災害資料!$X:$X, 水保局全省災害資料!$E:$E, A106, 水保局全省災害資料!$F:$F, B106, 水保局全省災害資料!$N:$N, H106)=0, "", SUMIFS(水保局全省災害資料!$X:$X, 水保局全省災害資料!$E:$E, A106, 水保局全省災害資料!$F:$F, B106, 水保局全省災害資料!$N:$N, H106))</f>
        <v/>
      </c>
      <c r="P106" t="s">
        <v>51</v>
      </c>
      <c r="S106">
        <v>200</v>
      </c>
      <c r="T106" t="s">
        <v>225</v>
      </c>
      <c r="U106" t="s">
        <v>226</v>
      </c>
      <c r="V106">
        <v>510</v>
      </c>
      <c r="W106">
        <v>26.5</v>
      </c>
      <c r="X106">
        <v>443</v>
      </c>
      <c r="Y106">
        <v>140.5</v>
      </c>
      <c r="Z106">
        <v>157.5</v>
      </c>
      <c r="AA106">
        <v>290</v>
      </c>
      <c r="AB106">
        <v>437.5</v>
      </c>
      <c r="AC106" t="s">
        <v>63</v>
      </c>
      <c r="AD106" t="s">
        <v>54</v>
      </c>
      <c r="AE106" t="s">
        <v>63</v>
      </c>
      <c r="AF106" t="s">
        <v>54</v>
      </c>
      <c r="AG106" t="s">
        <v>54</v>
      </c>
      <c r="AH106">
        <v>66.5</v>
      </c>
      <c r="AI106">
        <v>140.5</v>
      </c>
      <c r="AJ106">
        <v>201</v>
      </c>
      <c r="AK106">
        <v>290</v>
      </c>
      <c r="AL106">
        <v>510</v>
      </c>
      <c r="AM106" t="s">
        <v>63</v>
      </c>
      <c r="AN106" t="s">
        <v>54</v>
      </c>
      <c r="AO106" t="s">
        <v>63</v>
      </c>
      <c r="AP106" t="s">
        <v>54</v>
      </c>
      <c r="AQ106" t="s">
        <v>55</v>
      </c>
      <c r="AR106">
        <v>19</v>
      </c>
      <c r="AS106">
        <f>IFERROR(INDEX(水保局全省災害資料!$X$2:$X$2000, MATCH(1, INDEX((水保局全省災害資料!$T$2:$T$2000=W106)*(水保局全省災害資料!$U$2:$U$2000=X106), 0, 1), 0)), "")</f>
        <v>0</v>
      </c>
      <c r="AT106">
        <f>IFERROR(INDEX(水保局全省災害資料!$T$2:$T$2000, MATCH(1, INDEX((水保局全省災害資料!$T$2:$T$2000=W106)*(水保局全省災害資料!$U$2:$U$2000=X106), 0, 1), 0)), "")</f>
        <v>26.5</v>
      </c>
      <c r="AU106">
        <f>IFERROR(INDEX(水保局全省災害資料!$U$2:$U$2000, MATCH(1, INDEX((水保局全省災害資料!$T$2:$T$2000=W106)*(水保局全省災害資料!$U$2:$U$2000=X106), 0, 1), 0)), "")</f>
        <v>443</v>
      </c>
      <c r="AV106" t="str">
        <f>IFERROR(INDEX(水保局全省災害資料!$B$2:$B$2000, MATCH(1, INDEX((水保局全省災害資料!$T$2:$T$2000=W106)*(水保局全省災害資料!$U$2:$U$2000=X106), 0, 1), 0)), "")</f>
        <v>土石流、洪水</v>
      </c>
    </row>
    <row r="107" spans="1:48">
      <c r="A107" t="s">
        <v>220</v>
      </c>
      <c r="B107" t="s">
        <v>221</v>
      </c>
      <c r="C107" t="s">
        <v>243</v>
      </c>
      <c r="D107" t="s">
        <v>541</v>
      </c>
      <c r="E107" t="s">
        <v>542</v>
      </c>
      <c r="F107" t="s">
        <v>127</v>
      </c>
      <c r="G107">
        <v>98</v>
      </c>
      <c r="H107" t="s">
        <v>153</v>
      </c>
      <c r="I107" s="13">
        <v>40033.875</v>
      </c>
      <c r="M107" t="str">
        <f>IF(SUMIFS(水保局全省災害資料!$X:$X, 水保局全省災害資料!$E:$E, A107, 水保局全省災害資料!$F:$F, B107, 水保局全省災害資料!$N:$N, H107)=0, "", SUMIFS(水保局全省災害資料!$X:$X, 水保局全省災害資料!$E:$E, A107, 水保局全省災害資料!$F:$F, B107, 水保局全省災害資料!$N:$N, H107))</f>
        <v/>
      </c>
      <c r="P107" t="s">
        <v>51</v>
      </c>
      <c r="S107">
        <v>400</v>
      </c>
      <c r="T107" t="s">
        <v>225</v>
      </c>
      <c r="U107" t="s">
        <v>226</v>
      </c>
      <c r="V107">
        <v>2418</v>
      </c>
      <c r="W107">
        <v>63.5</v>
      </c>
      <c r="X107">
        <v>1330.7</v>
      </c>
      <c r="Y107">
        <v>180</v>
      </c>
      <c r="Z107">
        <v>433.5</v>
      </c>
      <c r="AA107">
        <v>751</v>
      </c>
      <c r="AB107">
        <v>1127</v>
      </c>
      <c r="AC107" t="s">
        <v>63</v>
      </c>
      <c r="AD107" t="s">
        <v>55</v>
      </c>
      <c r="AE107" t="s">
        <v>64</v>
      </c>
      <c r="AF107" t="s">
        <v>64</v>
      </c>
      <c r="AG107" t="s">
        <v>64</v>
      </c>
      <c r="AH107">
        <v>103</v>
      </c>
      <c r="AI107">
        <v>253.5</v>
      </c>
      <c r="AJ107">
        <v>473.5</v>
      </c>
      <c r="AK107">
        <v>786.5</v>
      </c>
      <c r="AL107">
        <v>1199.5</v>
      </c>
      <c r="AM107" t="s">
        <v>56</v>
      </c>
      <c r="AN107" t="s">
        <v>87</v>
      </c>
      <c r="AO107" t="s">
        <v>64</v>
      </c>
      <c r="AP107" t="s">
        <v>64</v>
      </c>
      <c r="AQ107" t="s">
        <v>64</v>
      </c>
      <c r="AR107">
        <v>48</v>
      </c>
      <c r="AS107">
        <f>IFERROR(INDEX(水保局全省災害資料!$X$2:$X$2000, MATCH(1, INDEX((水保局全省災害資料!$T$2:$T$2000=W107)*(水保局全省災害資料!$U$2:$U$2000=X107), 0, 1), 0)), "")</f>
        <v>0</v>
      </c>
      <c r="AT107">
        <f>IFERROR(INDEX(水保局全省災害資料!$T$2:$T$2000, MATCH(1, INDEX((水保局全省災害資料!$T$2:$T$2000=W107)*(水保局全省災害資料!$U$2:$U$2000=X107), 0, 1), 0)), "")</f>
        <v>63.5</v>
      </c>
      <c r="AU107">
        <f>IFERROR(INDEX(水保局全省災害資料!$U$2:$U$2000, MATCH(1, INDEX((水保局全省災害資料!$T$2:$T$2000=W107)*(水保局全省災害資料!$U$2:$U$2000=X107), 0, 1), 0)), "")</f>
        <v>1330.7</v>
      </c>
      <c r="AV107" t="str">
        <f>IFERROR(INDEX(水保局全省災害資料!$B$2:$B$2000, MATCH(1, INDEX((水保局全省災害資料!$T$2:$T$2000=W107)*(水保局全省災害資料!$U$2:$U$2000=X107), 0, 1), 0)), "")</f>
        <v>土石流、崩塌</v>
      </c>
    </row>
    <row r="108" spans="1:48">
      <c r="A108" t="s">
        <v>220</v>
      </c>
      <c r="B108" t="s">
        <v>221</v>
      </c>
      <c r="C108" t="s">
        <v>243</v>
      </c>
      <c r="D108" t="s">
        <v>543</v>
      </c>
      <c r="E108" t="s">
        <v>544</v>
      </c>
      <c r="F108" t="s">
        <v>127</v>
      </c>
      <c r="G108">
        <v>101</v>
      </c>
      <c r="H108" t="s">
        <v>159</v>
      </c>
      <c r="I108" s="13">
        <v>41070.666666666664</v>
      </c>
      <c r="M108" t="str">
        <f>IF(SUMIFS(水保局全省災害資料!$X:$X, 水保局全省災害資料!$E:$E, A108, 水保局全省災害資料!$F:$F, B108, 水保局全省災害資料!$N:$N, H108)=0, "", SUMIFS(水保局全省災害資料!$X:$X, 水保局全省災害資料!$E:$E, A108, 水保局全省災害資料!$F:$F, B108, 水保局全省災害資料!$N:$N, H108))</f>
        <v/>
      </c>
      <c r="P108" t="s">
        <v>51</v>
      </c>
      <c r="S108">
        <v>250</v>
      </c>
      <c r="T108" t="s">
        <v>225</v>
      </c>
      <c r="U108" t="s">
        <v>226</v>
      </c>
      <c r="V108">
        <v>1141.5</v>
      </c>
      <c r="W108">
        <v>26</v>
      </c>
      <c r="X108">
        <v>358.6</v>
      </c>
      <c r="Y108">
        <v>72</v>
      </c>
      <c r="Z108">
        <v>89</v>
      </c>
      <c r="AA108">
        <v>260</v>
      </c>
      <c r="AB108">
        <v>331</v>
      </c>
      <c r="AC108" t="s">
        <v>63</v>
      </c>
      <c r="AD108" t="s">
        <v>63</v>
      </c>
      <c r="AE108" t="s">
        <v>63</v>
      </c>
      <c r="AF108" t="s">
        <v>63</v>
      </c>
      <c r="AG108" t="s">
        <v>63</v>
      </c>
      <c r="AH108">
        <v>65.5</v>
      </c>
      <c r="AI108">
        <v>122</v>
      </c>
      <c r="AJ108">
        <v>171</v>
      </c>
      <c r="AK108">
        <v>260</v>
      </c>
      <c r="AL108">
        <v>422</v>
      </c>
      <c r="AM108" t="s">
        <v>63</v>
      </c>
      <c r="AN108" t="s">
        <v>63</v>
      </c>
      <c r="AO108" t="s">
        <v>63</v>
      </c>
      <c r="AP108" t="s">
        <v>63</v>
      </c>
      <c r="AQ108" t="s">
        <v>54</v>
      </c>
      <c r="AR108">
        <v>25</v>
      </c>
      <c r="AS108">
        <f>IFERROR(INDEX(水保局全省災害資料!$X$2:$X$2000, MATCH(1, INDEX((水保局全省災害資料!$T$2:$T$2000=W108)*(水保局全省災害資料!$U$2:$U$2000=X108), 0, 1), 0)), "")</f>
        <v>0</v>
      </c>
      <c r="AT108">
        <f>IFERROR(INDEX(水保局全省災害資料!$T$2:$T$2000, MATCH(1, INDEX((水保局全省災害資料!$T$2:$T$2000=W108)*(水保局全省災害資料!$U$2:$U$2000=X108), 0, 1), 0)), "")</f>
        <v>26</v>
      </c>
      <c r="AU108">
        <f>IFERROR(INDEX(水保局全省災害資料!$U$2:$U$2000, MATCH(1, INDEX((水保局全省災害資料!$T$2:$T$2000=W108)*(水保局全省災害資料!$U$2:$U$2000=X108), 0, 1), 0)), "")</f>
        <v>358.6</v>
      </c>
      <c r="AV108" t="str">
        <f>IFERROR(INDEX(水保局全省災害資料!$B$2:$B$2000, MATCH(1, INDEX((水保局全省災害資料!$T$2:$T$2000=W108)*(水保局全省災害資料!$U$2:$U$2000=X108), 0, 1), 0)), "")</f>
        <v>土石流、洪水</v>
      </c>
    </row>
    <row r="109" spans="1:48">
      <c r="A109" t="s">
        <v>220</v>
      </c>
      <c r="B109" t="s">
        <v>221</v>
      </c>
      <c r="C109" t="s">
        <v>538</v>
      </c>
      <c r="D109" t="s">
        <v>545</v>
      </c>
      <c r="F109" t="s">
        <v>127</v>
      </c>
      <c r="G109">
        <v>113</v>
      </c>
      <c r="H109" t="s">
        <v>165</v>
      </c>
      <c r="I109" s="13">
        <v>45557.583333333336</v>
      </c>
      <c r="M109" t="str">
        <f>IF(SUMIFS(水保局全省災害資料!$X:$X, 水保局全省災害資料!$E:$E, A109, 水保局全省災害資料!$F:$F, B109, 水保局全省災害資料!$N:$N, H109)=0, "", SUMIFS(水保局全省災害資料!$X:$X, 水保局全省災害資料!$E:$E, A109, 水保局全省災害資料!$F:$F, B109, 水保局全省災害資料!$N:$N, H109))</f>
        <v/>
      </c>
      <c r="P109" t="s">
        <v>51</v>
      </c>
      <c r="S109">
        <v>350</v>
      </c>
      <c r="T109" t="s">
        <v>241</v>
      </c>
      <c r="U109" t="s">
        <v>242</v>
      </c>
      <c r="V109">
        <v>247</v>
      </c>
      <c r="W109">
        <v>21</v>
      </c>
      <c r="X109">
        <v>238</v>
      </c>
      <c r="Y109">
        <v>62.5</v>
      </c>
      <c r="Z109">
        <v>75.5</v>
      </c>
      <c r="AA109">
        <v>157.5</v>
      </c>
      <c r="AB109">
        <v>200</v>
      </c>
      <c r="AC109" t="s">
        <v>63</v>
      </c>
      <c r="AD109" t="s">
        <v>63</v>
      </c>
      <c r="AE109" t="s">
        <v>63</v>
      </c>
      <c r="AF109" t="s">
        <v>63</v>
      </c>
      <c r="AG109" t="s">
        <v>63</v>
      </c>
      <c r="AH109">
        <v>27</v>
      </c>
      <c r="AI109">
        <v>65.5</v>
      </c>
      <c r="AJ109">
        <v>108</v>
      </c>
      <c r="AK109">
        <v>157.5</v>
      </c>
      <c r="AL109">
        <v>247</v>
      </c>
      <c r="AM109" t="s">
        <v>63</v>
      </c>
      <c r="AN109" t="s">
        <v>63</v>
      </c>
      <c r="AO109" t="s">
        <v>63</v>
      </c>
      <c r="AP109" t="s">
        <v>63</v>
      </c>
      <c r="AQ109" t="s">
        <v>63</v>
      </c>
      <c r="AR109">
        <v>15</v>
      </c>
      <c r="AS109">
        <f>IFERROR(INDEX(水保局全省災害資料!$X$2:$X$2000, MATCH(1, INDEX((水保局全省災害資料!$T$2:$T$2000=W109)*(水保局全省災害資料!$U$2:$U$2000=X109), 0, 1), 0)), "")</f>
        <v>1.875</v>
      </c>
      <c r="AT109">
        <f>IFERROR(INDEX(水保局全省災害資料!$T$2:$T$2000, MATCH(1, INDEX((水保局全省災害資料!$T$2:$T$2000=W109)*(水保局全省災害資料!$U$2:$U$2000=X109), 0, 1), 0)), "")</f>
        <v>21</v>
      </c>
      <c r="AU109">
        <f>IFERROR(INDEX(水保局全省災害資料!$U$2:$U$2000, MATCH(1, INDEX((水保局全省災害資料!$T$2:$T$2000=W109)*(水保局全省災害資料!$U$2:$U$2000=X109), 0, 1), 0)), "")</f>
        <v>238</v>
      </c>
      <c r="AV109" t="str">
        <f>IFERROR(INDEX(水保局全省災害資料!$B$2:$B$2000, MATCH(1, INDEX((水保局全省災害資料!$T$2:$T$2000=W109)*(水保局全省災害資料!$U$2:$U$2000=X109), 0, 1), 0)), "")</f>
        <v>土石流 、崩塌 (山崩)</v>
      </c>
    </row>
    <row r="110" spans="1:48">
      <c r="A110" t="s">
        <v>220</v>
      </c>
      <c r="B110" t="s">
        <v>221</v>
      </c>
      <c r="C110" t="s">
        <v>243</v>
      </c>
      <c r="D110" t="s">
        <v>546</v>
      </c>
      <c r="E110" t="s">
        <v>547</v>
      </c>
      <c r="F110" t="s">
        <v>127</v>
      </c>
      <c r="G110">
        <v>98</v>
      </c>
      <c r="H110" t="s">
        <v>153</v>
      </c>
      <c r="I110" s="13">
        <v>40033.875</v>
      </c>
      <c r="M110" t="str">
        <f>IF(SUMIFS(水保局全省災害資料!$X:$X, 水保局全省災害資料!$E:$E, A110, 水保局全省災害資料!$F:$F, B110, 水保局全省災害資料!$N:$N, H110)=0, "", SUMIFS(水保局全省災害資料!$X:$X, 水保局全省災害資料!$E:$E, A110, 水保局全省災害資料!$F:$F, B110, 水保局全省災害資料!$N:$N, H110))</f>
        <v/>
      </c>
      <c r="P110" t="s">
        <v>51</v>
      </c>
      <c r="S110">
        <v>400</v>
      </c>
      <c r="T110" t="s">
        <v>225</v>
      </c>
      <c r="U110" t="s">
        <v>226</v>
      </c>
      <c r="V110">
        <v>2418</v>
      </c>
      <c r="W110">
        <v>63.5</v>
      </c>
      <c r="X110">
        <v>1330.7</v>
      </c>
      <c r="Y110">
        <v>180</v>
      </c>
      <c r="Z110">
        <v>433.5</v>
      </c>
      <c r="AA110">
        <v>751</v>
      </c>
      <c r="AB110">
        <v>1127</v>
      </c>
      <c r="AC110" t="s">
        <v>63</v>
      </c>
      <c r="AD110" t="s">
        <v>55</v>
      </c>
      <c r="AE110" t="s">
        <v>64</v>
      </c>
      <c r="AF110" t="s">
        <v>64</v>
      </c>
      <c r="AG110" t="s">
        <v>64</v>
      </c>
      <c r="AH110">
        <v>103</v>
      </c>
      <c r="AI110">
        <v>253.5</v>
      </c>
      <c r="AJ110">
        <v>473.5</v>
      </c>
      <c r="AK110">
        <v>786.5</v>
      </c>
      <c r="AL110">
        <v>1199.5</v>
      </c>
      <c r="AM110" t="s">
        <v>56</v>
      </c>
      <c r="AN110" t="s">
        <v>87</v>
      </c>
      <c r="AO110" t="s">
        <v>64</v>
      </c>
      <c r="AP110" t="s">
        <v>64</v>
      </c>
      <c r="AQ110" t="s">
        <v>64</v>
      </c>
      <c r="AR110">
        <v>48</v>
      </c>
      <c r="AS110">
        <f>IFERROR(INDEX(水保局全省災害資料!$X$2:$X$2000, MATCH(1, INDEX((水保局全省災害資料!$T$2:$T$2000=W110)*(水保局全省災害資料!$U$2:$U$2000=X110), 0, 1), 0)), "")</f>
        <v>0</v>
      </c>
      <c r="AT110">
        <f>IFERROR(INDEX(水保局全省災害資料!$T$2:$T$2000, MATCH(1, INDEX((水保局全省災害資料!$T$2:$T$2000=W110)*(水保局全省災害資料!$U$2:$U$2000=X110), 0, 1), 0)), "")</f>
        <v>63.5</v>
      </c>
      <c r="AU110">
        <f>IFERROR(INDEX(水保局全省災害資料!$U$2:$U$2000, MATCH(1, INDEX((水保局全省災害資料!$T$2:$T$2000=W110)*(水保局全省災害資料!$U$2:$U$2000=X110), 0, 1), 0)), "")</f>
        <v>1330.7</v>
      </c>
      <c r="AV110" t="str">
        <f>IFERROR(INDEX(水保局全省災害資料!$B$2:$B$2000, MATCH(1, INDEX((水保局全省災害資料!$T$2:$T$2000=W110)*(水保局全省災害資料!$U$2:$U$2000=X110), 0, 1), 0)), "")</f>
        <v>土石流、崩塌</v>
      </c>
    </row>
    <row r="111" spans="1:48">
      <c r="A111" t="s">
        <v>220</v>
      </c>
      <c r="B111" t="s">
        <v>221</v>
      </c>
      <c r="C111" t="s">
        <v>243</v>
      </c>
      <c r="D111" t="s">
        <v>548</v>
      </c>
      <c r="E111" t="s">
        <v>549</v>
      </c>
      <c r="F111" t="s">
        <v>127</v>
      </c>
      <c r="G111">
        <v>98</v>
      </c>
      <c r="H111" t="s">
        <v>153</v>
      </c>
      <c r="I111" s="13">
        <v>40034.25</v>
      </c>
      <c r="M111" t="str">
        <f>IF(SUMIFS(水保局全省災害資料!$X:$X, 水保局全省災害資料!$E:$E, A111, 水保局全省災害資料!$F:$F, B111, 水保局全省災害資料!$N:$N, H111)=0, "", SUMIFS(水保局全省災害資料!$X:$X, 水保局全省災害資料!$E:$E, A111, 水保局全省災害資料!$F:$F, B111, 水保局全省災害資料!$N:$N, H111))</f>
        <v/>
      </c>
      <c r="P111" t="s">
        <v>51</v>
      </c>
      <c r="S111">
        <v>400</v>
      </c>
      <c r="T111" t="s">
        <v>225</v>
      </c>
      <c r="U111" t="s">
        <v>226</v>
      </c>
      <c r="V111">
        <v>2418</v>
      </c>
      <c r="W111">
        <v>35.5</v>
      </c>
      <c r="X111">
        <v>1585.6</v>
      </c>
      <c r="Y111">
        <v>110</v>
      </c>
      <c r="Z111">
        <v>176</v>
      </c>
      <c r="AA111">
        <v>468</v>
      </c>
      <c r="AB111">
        <v>1151.5</v>
      </c>
      <c r="AC111" t="s">
        <v>63</v>
      </c>
      <c r="AD111" t="s">
        <v>63</v>
      </c>
      <c r="AE111" t="s">
        <v>63</v>
      </c>
      <c r="AF111" t="s">
        <v>57</v>
      </c>
      <c r="AG111" t="s">
        <v>64</v>
      </c>
      <c r="AH111">
        <v>103</v>
      </c>
      <c r="AI111">
        <v>253.5</v>
      </c>
      <c r="AJ111">
        <v>473.5</v>
      </c>
      <c r="AK111">
        <v>786.5</v>
      </c>
      <c r="AL111">
        <v>1199.5</v>
      </c>
      <c r="AM111" t="s">
        <v>56</v>
      </c>
      <c r="AN111" t="s">
        <v>87</v>
      </c>
      <c r="AO111" t="s">
        <v>64</v>
      </c>
      <c r="AP111" t="s">
        <v>64</v>
      </c>
      <c r="AQ111" t="s">
        <v>64</v>
      </c>
      <c r="AR111">
        <v>57</v>
      </c>
      <c r="AS111">
        <f>IFERROR(INDEX(水保局全省災害資料!$X$2:$X$2000, MATCH(1, INDEX((水保局全省災害資料!$T$2:$T$2000=W111)*(水保局全省災害資料!$U$2:$U$2000=X111), 0, 1), 0)), "")</f>
        <v>0</v>
      </c>
      <c r="AT111">
        <f>IFERROR(INDEX(水保局全省災害資料!$T$2:$T$2000, MATCH(1, INDEX((水保局全省災害資料!$T$2:$T$2000=W111)*(水保局全省災害資料!$U$2:$U$2000=X111), 0, 1), 0)), "")</f>
        <v>35.5</v>
      </c>
      <c r="AU111">
        <f>IFERROR(INDEX(水保局全省災害資料!$U$2:$U$2000, MATCH(1, INDEX((水保局全省災害資料!$T$2:$T$2000=W111)*(水保局全省災害資料!$U$2:$U$2000=X111), 0, 1), 0)), "")</f>
        <v>1585.6</v>
      </c>
      <c r="AV111" t="str">
        <f>IFERROR(INDEX(水保局全省災害資料!$B$2:$B$2000, MATCH(1, INDEX((水保局全省災害資料!$T$2:$T$2000=W111)*(水保局全省災害資料!$U$2:$U$2000=X111), 0, 1), 0)), "")</f>
        <v>土石流</v>
      </c>
    </row>
    <row r="112" spans="1:48">
      <c r="A112" t="s">
        <v>220</v>
      </c>
      <c r="B112" t="s">
        <v>221</v>
      </c>
      <c r="C112" t="s">
        <v>243</v>
      </c>
      <c r="D112" t="s">
        <v>550</v>
      </c>
      <c r="E112" t="s">
        <v>551</v>
      </c>
      <c r="F112" t="s">
        <v>127</v>
      </c>
      <c r="G112">
        <v>110</v>
      </c>
      <c r="H112" t="s">
        <v>552</v>
      </c>
      <c r="I112" s="13">
        <v>44415.5</v>
      </c>
      <c r="M112">
        <f>IF(SUMIFS(水保局全省災害資料!$X:$X, 水保局全省災害資料!$E:$E, A112, 水保局全省災害資料!$F:$F, B112, 水保局全省災害資料!$N:$N, H112)=0, "", SUMIFS(水保局全省災害資料!$X:$X, 水保局全省災害資料!$E:$E, A112, 水保局全省災害資料!$F:$F, B112, 水保局全省災害資料!$N:$N, H112))</f>
        <v>0.48000000000000004</v>
      </c>
      <c r="P112" t="s">
        <v>51</v>
      </c>
      <c r="S112">
        <v>350</v>
      </c>
      <c r="T112" t="s">
        <v>553</v>
      </c>
      <c r="U112" t="s">
        <v>226</v>
      </c>
      <c r="V112">
        <v>1186</v>
      </c>
      <c r="W112">
        <v>9</v>
      </c>
      <c r="X112">
        <v>889</v>
      </c>
      <c r="Y112">
        <v>30.5</v>
      </c>
      <c r="Z112">
        <v>109</v>
      </c>
      <c r="AA112">
        <v>302.5</v>
      </c>
      <c r="AB112">
        <v>505</v>
      </c>
      <c r="AC112" t="s">
        <v>63</v>
      </c>
      <c r="AD112" t="s">
        <v>63</v>
      </c>
      <c r="AE112" t="s">
        <v>63</v>
      </c>
      <c r="AF112" t="s">
        <v>54</v>
      </c>
      <c r="AG112" t="s">
        <v>55</v>
      </c>
      <c r="AH112">
        <v>70</v>
      </c>
      <c r="AI112">
        <v>133</v>
      </c>
      <c r="AJ112">
        <v>201.5</v>
      </c>
      <c r="AK112">
        <v>337.5</v>
      </c>
      <c r="AL112">
        <v>509</v>
      </c>
      <c r="AM112" t="s">
        <v>54</v>
      </c>
      <c r="AN112" t="s">
        <v>63</v>
      </c>
      <c r="AO112" t="s">
        <v>63</v>
      </c>
      <c r="AP112" t="s">
        <v>54</v>
      </c>
      <c r="AQ112" t="s">
        <v>55</v>
      </c>
      <c r="AR112">
        <v>55</v>
      </c>
      <c r="AS112">
        <f>IFERROR(INDEX(水保局全省災害資料!$X$2:$X$2000, MATCH(1, INDEX((水保局全省災害資料!$T$2:$T$2000=W112)*(水保局全省災害資料!$U$2:$U$2000=X112), 0, 1), 0)), "")</f>
        <v>0.27</v>
      </c>
      <c r="AT112">
        <f>IFERROR(INDEX(水保局全省災害資料!$T$2:$T$2000, MATCH(1, INDEX((水保局全省災害資料!$T$2:$T$2000=W112)*(水保局全省災害資料!$U$2:$U$2000=X112), 0, 1), 0)), "")</f>
        <v>9</v>
      </c>
      <c r="AU112">
        <f>IFERROR(INDEX(水保局全省災害資料!$U$2:$U$2000, MATCH(1, INDEX((水保局全省災害資料!$T$2:$T$2000=W112)*(水保局全省災害資料!$U$2:$U$2000=X112), 0, 1), 0)), "")</f>
        <v>889</v>
      </c>
      <c r="AV112" t="str">
        <f>IFERROR(INDEX(水保局全省災害資料!$B$2:$B$2000, MATCH(1, INDEX((水保局全省災害資料!$T$2:$T$2000=W112)*(水保局全省災害資料!$U$2:$U$2000=X112), 0, 1), 0)), "")</f>
        <v>土石流</v>
      </c>
    </row>
    <row r="113" spans="1:48">
      <c r="A113" t="s">
        <v>220</v>
      </c>
      <c r="B113" t="s">
        <v>221</v>
      </c>
      <c r="C113" t="s">
        <v>243</v>
      </c>
      <c r="D113" t="s">
        <v>554</v>
      </c>
      <c r="E113" t="s">
        <v>555</v>
      </c>
      <c r="F113" t="s">
        <v>127</v>
      </c>
      <c r="G113">
        <v>110</v>
      </c>
      <c r="H113" t="s">
        <v>552</v>
      </c>
      <c r="I113" s="13">
        <v>44415.541666666664</v>
      </c>
      <c r="M113">
        <f>IF(SUMIFS(水保局全省災害資料!$X:$X, 水保局全省災害資料!$E:$E, A113, 水保局全省災害資料!$F:$F, B113, 水保局全省災害資料!$N:$N, H113)=0, "", SUMIFS(水保局全省災害資料!$X:$X, 水保局全省災害資料!$E:$E, A113, 水保局全省災害資料!$F:$F, B113, 水保局全省災害資料!$N:$N, H113))</f>
        <v>0.48000000000000004</v>
      </c>
      <c r="P113" t="s">
        <v>51</v>
      </c>
      <c r="S113">
        <v>350</v>
      </c>
      <c r="T113" t="s">
        <v>553</v>
      </c>
      <c r="U113" t="s">
        <v>226</v>
      </c>
      <c r="V113">
        <v>1186</v>
      </c>
      <c r="W113">
        <v>9</v>
      </c>
      <c r="X113">
        <v>889</v>
      </c>
      <c r="Y113">
        <v>30.5</v>
      </c>
      <c r="Z113">
        <v>109</v>
      </c>
      <c r="AA113">
        <v>302.5</v>
      </c>
      <c r="AB113">
        <v>505</v>
      </c>
      <c r="AC113" t="s">
        <v>63</v>
      </c>
      <c r="AD113" t="s">
        <v>63</v>
      </c>
      <c r="AE113" t="s">
        <v>63</v>
      </c>
      <c r="AF113" t="s">
        <v>54</v>
      </c>
      <c r="AG113" t="s">
        <v>55</v>
      </c>
      <c r="AH113">
        <v>70</v>
      </c>
      <c r="AI113">
        <v>133</v>
      </c>
      <c r="AJ113">
        <v>201.5</v>
      </c>
      <c r="AK113">
        <v>337.5</v>
      </c>
      <c r="AL113">
        <v>509</v>
      </c>
      <c r="AM113" t="s">
        <v>54</v>
      </c>
      <c r="AN113" t="s">
        <v>63</v>
      </c>
      <c r="AO113" t="s">
        <v>63</v>
      </c>
      <c r="AP113" t="s">
        <v>54</v>
      </c>
      <c r="AQ113" t="s">
        <v>55</v>
      </c>
      <c r="AR113">
        <v>56</v>
      </c>
      <c r="AS113">
        <f>IFERROR(INDEX(水保局全省災害資料!$X$2:$X$2000, MATCH(1, INDEX((水保局全省災害資料!$T$2:$T$2000=W113)*(水保局全省災害資料!$U$2:$U$2000=X113), 0, 1), 0)), "")</f>
        <v>0.27</v>
      </c>
      <c r="AT113">
        <f>IFERROR(INDEX(水保局全省災害資料!$T$2:$T$2000, MATCH(1, INDEX((水保局全省災害資料!$T$2:$T$2000=W113)*(水保局全省災害資料!$U$2:$U$2000=X113), 0, 1), 0)), "")</f>
        <v>9</v>
      </c>
      <c r="AU113">
        <f>IFERROR(INDEX(水保局全省災害資料!$U$2:$U$2000, MATCH(1, INDEX((水保局全省災害資料!$T$2:$T$2000=W113)*(水保局全省災害資料!$U$2:$U$2000=X113), 0, 1), 0)), "")</f>
        <v>889</v>
      </c>
      <c r="AV113" t="str">
        <f>IFERROR(INDEX(水保局全省災害資料!$B$2:$B$2000, MATCH(1, INDEX((水保局全省災害資料!$T$2:$T$2000=W113)*(水保局全省災害資料!$U$2:$U$2000=X113), 0, 1), 0)), "")</f>
        <v>土石流</v>
      </c>
    </row>
    <row r="114" spans="1:48">
      <c r="A114" t="s">
        <v>220</v>
      </c>
      <c r="B114" t="s">
        <v>556</v>
      </c>
      <c r="C114" t="s">
        <v>530</v>
      </c>
      <c r="D114" t="s">
        <v>557</v>
      </c>
      <c r="E114" t="s">
        <v>558</v>
      </c>
      <c r="F114" t="s">
        <v>127</v>
      </c>
      <c r="G114">
        <v>98</v>
      </c>
      <c r="H114" t="s">
        <v>153</v>
      </c>
      <c r="I114" s="13">
        <v>40033.833333333336</v>
      </c>
      <c r="M114" t="str">
        <f>IF(SUMIFS(水保局全省災害資料!$X:$X, 水保局全省災害資料!$E:$E, A114, 水保局全省災害資料!$F:$F, B114, 水保局全省災害資料!$N:$N, H114)=0, "", SUMIFS(水保局全省災害資料!$X:$X, 水保局全省災害資料!$E:$E, A114, 水保局全省災害資料!$F:$F, B114, 水保局全省災害資料!$N:$N, H114))</f>
        <v/>
      </c>
      <c r="P114" t="s">
        <v>51</v>
      </c>
      <c r="S114">
        <v>450</v>
      </c>
      <c r="T114" t="s">
        <v>559</v>
      </c>
      <c r="U114" t="s">
        <v>560</v>
      </c>
      <c r="V114">
        <v>2070.5</v>
      </c>
      <c r="W114">
        <v>42.5</v>
      </c>
      <c r="X114">
        <v>1328</v>
      </c>
      <c r="Y114">
        <v>208.5</v>
      </c>
      <c r="Z114">
        <v>420.5</v>
      </c>
      <c r="AA114">
        <v>603</v>
      </c>
      <c r="AB114">
        <v>944</v>
      </c>
      <c r="AC114" t="s">
        <v>63</v>
      </c>
      <c r="AD114" t="s">
        <v>57</v>
      </c>
      <c r="AE114" t="s">
        <v>64</v>
      </c>
      <c r="AF114" t="s">
        <v>64</v>
      </c>
      <c r="AG114" t="s">
        <v>64</v>
      </c>
      <c r="AH114">
        <v>93.5</v>
      </c>
      <c r="AI114">
        <v>249</v>
      </c>
      <c r="AJ114">
        <v>430.5</v>
      </c>
      <c r="AK114">
        <v>718</v>
      </c>
      <c r="AL114">
        <v>1077</v>
      </c>
      <c r="AM114" t="s">
        <v>56</v>
      </c>
      <c r="AN114" t="s">
        <v>87</v>
      </c>
      <c r="AO114" t="s">
        <v>64</v>
      </c>
      <c r="AP114" t="s">
        <v>64</v>
      </c>
      <c r="AQ114" t="s">
        <v>64</v>
      </c>
      <c r="AR114">
        <v>47</v>
      </c>
      <c r="AS114">
        <f>IFERROR(INDEX(水保局全省災害資料!$X$2:$X$2000, MATCH(1, INDEX((水保局全省災害資料!$T$2:$T$2000=W114)*(水保局全省災害資料!$U$2:$U$2000=X114), 0, 1), 0)), "")</f>
        <v>0</v>
      </c>
      <c r="AT114">
        <f>IFERROR(INDEX(水保局全省災害資料!$T$2:$T$2000, MATCH(1, INDEX((水保局全省災害資料!$T$2:$T$2000=W114)*(水保局全省災害資料!$U$2:$U$2000=X114), 0, 1), 0)), "")</f>
        <v>42.5</v>
      </c>
      <c r="AU114">
        <f>IFERROR(INDEX(水保局全省災害資料!$U$2:$U$2000, MATCH(1, INDEX((水保局全省災害資料!$T$2:$T$2000=W114)*(水保局全省災害資料!$U$2:$U$2000=X114), 0, 1), 0)), "")</f>
        <v>1328</v>
      </c>
      <c r="AV114" t="str">
        <f>IFERROR(INDEX(水保局全省災害資料!$B$2:$B$2000, MATCH(1, INDEX((水保局全省災害資料!$T$2:$T$2000=W114)*(水保局全省災害資料!$U$2:$U$2000=X114), 0, 1), 0)), "")</f>
        <v>土石流、洪水</v>
      </c>
    </row>
    <row r="115" spans="1:48">
      <c r="A115" t="s">
        <v>220</v>
      </c>
      <c r="B115" t="s">
        <v>556</v>
      </c>
      <c r="C115" t="s">
        <v>561</v>
      </c>
      <c r="D115" t="s">
        <v>562</v>
      </c>
      <c r="E115" t="s">
        <v>563</v>
      </c>
      <c r="F115" t="s">
        <v>127</v>
      </c>
      <c r="G115">
        <v>98</v>
      </c>
      <c r="H115" t="s">
        <v>153</v>
      </c>
      <c r="I115" s="13">
        <v>40033.916666666664</v>
      </c>
      <c r="M115" t="str">
        <f>IF(SUMIFS(水保局全省災害資料!$X:$X, 水保局全省災害資料!$E:$E, A115, 水保局全省災害資料!$F:$F, B115, 水保局全省災害資料!$N:$N, H115)=0, "", SUMIFS(水保局全省災害資料!$X:$X, 水保局全省災害資料!$E:$E, A115, 水保局全省災害資料!$F:$F, B115, 水保局全省災害資料!$N:$N, H115))</f>
        <v/>
      </c>
      <c r="P115" t="s">
        <v>51</v>
      </c>
      <c r="S115">
        <v>450</v>
      </c>
      <c r="T115" t="s">
        <v>559</v>
      </c>
      <c r="U115" t="s">
        <v>560</v>
      </c>
      <c r="V115">
        <v>2070.5</v>
      </c>
      <c r="W115">
        <v>42.5</v>
      </c>
      <c r="X115">
        <v>1328.5</v>
      </c>
      <c r="Y115">
        <v>154.5</v>
      </c>
      <c r="Z115">
        <v>403.5</v>
      </c>
      <c r="AA115">
        <v>679.5</v>
      </c>
      <c r="AB115">
        <v>1016.5</v>
      </c>
      <c r="AC115" t="s">
        <v>63</v>
      </c>
      <c r="AD115" t="s">
        <v>54</v>
      </c>
      <c r="AE115" t="s">
        <v>64</v>
      </c>
      <c r="AF115" t="s">
        <v>64</v>
      </c>
      <c r="AG115" t="s">
        <v>64</v>
      </c>
      <c r="AH115">
        <v>93.5</v>
      </c>
      <c r="AI115">
        <v>249</v>
      </c>
      <c r="AJ115">
        <v>430.5</v>
      </c>
      <c r="AK115">
        <v>718</v>
      </c>
      <c r="AL115">
        <v>1077</v>
      </c>
      <c r="AM115" t="s">
        <v>56</v>
      </c>
      <c r="AN115" t="s">
        <v>87</v>
      </c>
      <c r="AO115" t="s">
        <v>64</v>
      </c>
      <c r="AP115" t="s">
        <v>64</v>
      </c>
      <c r="AQ115" t="s">
        <v>64</v>
      </c>
      <c r="AR115">
        <v>49</v>
      </c>
      <c r="AS115">
        <f>IFERROR(INDEX(水保局全省災害資料!$X$2:$X$2000, MATCH(1, INDEX((水保局全省災害資料!$T$2:$T$2000=W115)*(水保局全省災害資料!$U$2:$U$2000=X115), 0, 1), 0)), "")</f>
        <v>0</v>
      </c>
      <c r="AT115">
        <f>IFERROR(INDEX(水保局全省災害資料!$T$2:$T$2000, MATCH(1, INDEX((水保局全省災害資料!$T$2:$T$2000=W115)*(水保局全省災害資料!$U$2:$U$2000=X115), 0, 1), 0)), "")</f>
        <v>42.5</v>
      </c>
      <c r="AU115">
        <f>IFERROR(INDEX(水保局全省災害資料!$U$2:$U$2000, MATCH(1, INDEX((水保局全省災害資料!$T$2:$T$2000=W115)*(水保局全省災害資料!$U$2:$U$2000=X115), 0, 1), 0)), "")</f>
        <v>1328.5</v>
      </c>
      <c r="AV115" t="str">
        <f>IFERROR(INDEX(水保局全省災害資料!$B$2:$B$2000, MATCH(1, INDEX((水保局全省災害資料!$T$2:$T$2000=W115)*(水保局全省災害資料!$U$2:$U$2000=X115), 0, 1), 0)), "")</f>
        <v>洪水</v>
      </c>
    </row>
    <row r="116" spans="1:48">
      <c r="A116" t="s">
        <v>220</v>
      </c>
      <c r="B116" t="s">
        <v>556</v>
      </c>
      <c r="C116" t="s">
        <v>564</v>
      </c>
      <c r="D116" t="s">
        <v>565</v>
      </c>
      <c r="E116" t="s">
        <v>566</v>
      </c>
      <c r="F116" t="s">
        <v>127</v>
      </c>
      <c r="G116">
        <v>98</v>
      </c>
      <c r="H116" t="s">
        <v>153</v>
      </c>
      <c r="I116" s="13">
        <v>40033.875</v>
      </c>
      <c r="M116" t="str">
        <f>IF(SUMIFS(水保局全省災害資料!$X:$X, 水保局全省災害資料!$E:$E, A116, 水保局全省災害資料!$F:$F, B116, 水保局全省災害資料!$N:$N, H116)=0, "", SUMIFS(水保局全省災害資料!$X:$X, 水保局全省災害資料!$E:$E, A116, 水保局全省災害資料!$F:$F, B116, 水保局全省災害資料!$N:$N, H116))</f>
        <v/>
      </c>
      <c r="P116" t="s">
        <v>51</v>
      </c>
      <c r="S116">
        <v>450</v>
      </c>
      <c r="T116" t="s">
        <v>559</v>
      </c>
      <c r="U116" t="s">
        <v>560</v>
      </c>
      <c r="V116">
        <v>2070.5</v>
      </c>
      <c r="W116">
        <v>67.5</v>
      </c>
      <c r="X116">
        <v>1395.51</v>
      </c>
      <c r="Y116">
        <v>180.5</v>
      </c>
      <c r="Z116">
        <v>413</v>
      </c>
      <c r="AA116">
        <v>645.5</v>
      </c>
      <c r="AB116">
        <v>984</v>
      </c>
      <c r="AC116" t="s">
        <v>54</v>
      </c>
      <c r="AD116" t="s">
        <v>56</v>
      </c>
      <c r="AE116" t="s">
        <v>64</v>
      </c>
      <c r="AF116" t="s">
        <v>64</v>
      </c>
      <c r="AG116" t="s">
        <v>64</v>
      </c>
      <c r="AH116">
        <v>93.5</v>
      </c>
      <c r="AI116">
        <v>249</v>
      </c>
      <c r="AJ116">
        <v>430.5</v>
      </c>
      <c r="AK116">
        <v>718</v>
      </c>
      <c r="AL116">
        <v>1077</v>
      </c>
      <c r="AM116" t="s">
        <v>56</v>
      </c>
      <c r="AN116" t="s">
        <v>87</v>
      </c>
      <c r="AO116" t="s">
        <v>64</v>
      </c>
      <c r="AP116" t="s">
        <v>64</v>
      </c>
      <c r="AQ116" t="s">
        <v>64</v>
      </c>
      <c r="AR116">
        <v>48</v>
      </c>
      <c r="AS116">
        <f>IFERROR(INDEX(水保局全省災害資料!$X$2:$X$2000, MATCH(1, INDEX((水保局全省災害資料!$T$2:$T$2000=W116)*(水保局全省災害資料!$U$2:$U$2000=X116), 0, 1), 0)), "")</f>
        <v>0</v>
      </c>
      <c r="AT116">
        <f>IFERROR(INDEX(水保局全省災害資料!$T$2:$T$2000, MATCH(1, INDEX((水保局全省災害資料!$T$2:$T$2000=W116)*(水保局全省災害資料!$U$2:$U$2000=X116), 0, 1), 0)), "")</f>
        <v>67.5</v>
      </c>
      <c r="AU116">
        <f>IFERROR(INDEX(水保局全省災害資料!$U$2:$U$2000, MATCH(1, INDEX((水保局全省災害資料!$T$2:$T$2000=W116)*(水保局全省災害資料!$U$2:$U$2000=X116), 0, 1), 0)), "")</f>
        <v>1395.51</v>
      </c>
      <c r="AV116" t="str">
        <f>IFERROR(INDEX(水保局全省災害資料!$B$2:$B$2000, MATCH(1, INDEX((水保局全省災害資料!$T$2:$T$2000=W116)*(水保局全省災害資料!$U$2:$U$2000=X116), 0, 1), 0)), "")</f>
        <v>土石流</v>
      </c>
    </row>
    <row r="117" spans="1:48">
      <c r="A117" t="s">
        <v>220</v>
      </c>
      <c r="B117" t="s">
        <v>556</v>
      </c>
      <c r="C117" t="s">
        <v>564</v>
      </c>
      <c r="D117" t="s">
        <v>567</v>
      </c>
      <c r="E117" t="s">
        <v>568</v>
      </c>
      <c r="F117" t="s">
        <v>48</v>
      </c>
      <c r="G117">
        <v>98</v>
      </c>
      <c r="H117" t="s">
        <v>153</v>
      </c>
      <c r="I117" s="13">
        <v>40033.833333333336</v>
      </c>
      <c r="M117" t="str">
        <f>IF(SUMIFS(水保局全省災害資料!$X:$X, 水保局全省災害資料!$E:$E, A117, 水保局全省災害資料!$F:$F, B117, 水保局全省災害資料!$N:$N, H117)=0, "", SUMIFS(水保局全省災害資料!$X:$X, 水保局全省災害資料!$E:$E, A117, 水保局全省災害資料!$F:$F, B117, 水保局全省災害資料!$N:$N, H117))</f>
        <v/>
      </c>
      <c r="P117" t="s">
        <v>51</v>
      </c>
      <c r="S117">
        <v>450</v>
      </c>
      <c r="T117" t="s">
        <v>559</v>
      </c>
      <c r="U117" t="s">
        <v>560</v>
      </c>
      <c r="V117">
        <v>2070.5</v>
      </c>
      <c r="W117">
        <v>42.5</v>
      </c>
      <c r="X117">
        <v>1257.0999999999999</v>
      </c>
      <c r="Y117">
        <v>208.5</v>
      </c>
      <c r="Z117">
        <v>420.5</v>
      </c>
      <c r="AA117">
        <v>603</v>
      </c>
      <c r="AB117">
        <v>944</v>
      </c>
      <c r="AC117" t="s">
        <v>63</v>
      </c>
      <c r="AD117" t="s">
        <v>57</v>
      </c>
      <c r="AE117" t="s">
        <v>64</v>
      </c>
      <c r="AF117" t="s">
        <v>64</v>
      </c>
      <c r="AG117" t="s">
        <v>64</v>
      </c>
      <c r="AH117">
        <v>93.5</v>
      </c>
      <c r="AI117">
        <v>249</v>
      </c>
      <c r="AJ117">
        <v>430.5</v>
      </c>
      <c r="AK117">
        <v>718</v>
      </c>
      <c r="AL117">
        <v>1077</v>
      </c>
      <c r="AM117" t="s">
        <v>56</v>
      </c>
      <c r="AN117" t="s">
        <v>87</v>
      </c>
      <c r="AO117" t="s">
        <v>64</v>
      </c>
      <c r="AP117" t="s">
        <v>64</v>
      </c>
      <c r="AQ117" t="s">
        <v>64</v>
      </c>
      <c r="AR117">
        <v>47</v>
      </c>
      <c r="AS117">
        <f>IFERROR(INDEX(水保局全省災害資料!$X$2:$X$2000, MATCH(1, INDEX((水保局全省災害資料!$T$2:$T$2000=W117)*(水保局全省災害資料!$U$2:$U$2000=X117), 0, 1), 0)), "")</f>
        <v>0</v>
      </c>
      <c r="AT117">
        <f>IFERROR(INDEX(水保局全省災害資料!$T$2:$T$2000, MATCH(1, INDEX((水保局全省災害資料!$T$2:$T$2000=W117)*(水保局全省災害資料!$U$2:$U$2000=X117), 0, 1), 0)), "")</f>
        <v>42.5</v>
      </c>
      <c r="AU117">
        <f>IFERROR(INDEX(水保局全省災害資料!$U$2:$U$2000, MATCH(1, INDEX((水保局全省災害資料!$T$2:$T$2000=W117)*(水保局全省災害資料!$U$2:$U$2000=X117), 0, 1), 0)), "")</f>
        <v>1257.0999999999999</v>
      </c>
      <c r="AV117" t="str">
        <f>IFERROR(INDEX(水保局全省災害資料!$B$2:$B$2000, MATCH(1, INDEX((水保局全省災害資料!$T$2:$T$2000=W117)*(水保局全省災害資料!$U$2:$U$2000=X117), 0, 1), 0)), "")</f>
        <v>土石流</v>
      </c>
    </row>
    <row r="118" spans="1:48">
      <c r="A118" t="s">
        <v>220</v>
      </c>
      <c r="B118" t="s">
        <v>556</v>
      </c>
      <c r="C118" t="s">
        <v>569</v>
      </c>
      <c r="D118" t="s">
        <v>570</v>
      </c>
      <c r="E118" t="s">
        <v>571</v>
      </c>
      <c r="F118" t="s">
        <v>48</v>
      </c>
      <c r="G118">
        <v>98</v>
      </c>
      <c r="H118" t="s">
        <v>153</v>
      </c>
      <c r="I118" s="13">
        <v>40033.833333333336</v>
      </c>
      <c r="M118" t="str">
        <f>IF(SUMIFS(水保局全省災害資料!$X:$X, 水保局全省災害資料!$E:$E, A118, 水保局全省災害資料!$F:$F, B118, 水保局全省災害資料!$N:$N, H118)=0, "", SUMIFS(水保局全省災害資料!$X:$X, 水保局全省災害資料!$E:$E, A118, 水保局全省災害資料!$F:$F, B118, 水保局全省災害資料!$N:$N, H118))</f>
        <v/>
      </c>
      <c r="P118" t="s">
        <v>51</v>
      </c>
      <c r="S118">
        <v>450</v>
      </c>
      <c r="T118" t="s">
        <v>559</v>
      </c>
      <c r="U118" t="s">
        <v>560</v>
      </c>
      <c r="V118">
        <v>2070.5</v>
      </c>
      <c r="W118">
        <v>42.5</v>
      </c>
      <c r="X118">
        <v>1257.0999999999999</v>
      </c>
      <c r="Y118">
        <v>208.5</v>
      </c>
      <c r="Z118">
        <v>420.5</v>
      </c>
      <c r="AA118">
        <v>603</v>
      </c>
      <c r="AB118">
        <v>944</v>
      </c>
      <c r="AC118" t="s">
        <v>63</v>
      </c>
      <c r="AD118" t="s">
        <v>57</v>
      </c>
      <c r="AE118" t="s">
        <v>64</v>
      </c>
      <c r="AF118" t="s">
        <v>64</v>
      </c>
      <c r="AG118" t="s">
        <v>64</v>
      </c>
      <c r="AH118">
        <v>93.5</v>
      </c>
      <c r="AI118">
        <v>249</v>
      </c>
      <c r="AJ118">
        <v>430.5</v>
      </c>
      <c r="AK118">
        <v>718</v>
      </c>
      <c r="AL118">
        <v>1077</v>
      </c>
      <c r="AM118" t="s">
        <v>56</v>
      </c>
      <c r="AN118" t="s">
        <v>87</v>
      </c>
      <c r="AO118" t="s">
        <v>64</v>
      </c>
      <c r="AP118" t="s">
        <v>64</v>
      </c>
      <c r="AQ118" t="s">
        <v>64</v>
      </c>
      <c r="AR118">
        <v>47</v>
      </c>
      <c r="AS118">
        <f>IFERROR(INDEX(水保局全省災害資料!$X$2:$X$2000, MATCH(1, INDEX((水保局全省災害資料!$T$2:$T$2000=W118)*(水保局全省災害資料!$U$2:$U$2000=X118), 0, 1), 0)), "")</f>
        <v>0</v>
      </c>
      <c r="AT118">
        <f>IFERROR(INDEX(水保局全省災害資料!$T$2:$T$2000, MATCH(1, INDEX((水保局全省災害資料!$T$2:$T$2000=W118)*(水保局全省災害資料!$U$2:$U$2000=X118), 0, 1), 0)), "")</f>
        <v>42.5</v>
      </c>
      <c r="AU118">
        <f>IFERROR(INDEX(水保局全省災害資料!$U$2:$U$2000, MATCH(1, INDEX((水保局全省災害資料!$T$2:$T$2000=W118)*(水保局全省災害資料!$U$2:$U$2000=X118), 0, 1), 0)), "")</f>
        <v>1257.0999999999999</v>
      </c>
      <c r="AV118" t="str">
        <f>IFERROR(INDEX(水保局全省災害資料!$B$2:$B$2000, MATCH(1, INDEX((水保局全省災害資料!$T$2:$T$2000=W118)*(水保局全省災害資料!$U$2:$U$2000=X118), 0, 1), 0)), "")</f>
        <v>土石流</v>
      </c>
    </row>
    <row r="119" spans="1:48">
      <c r="A119" t="s">
        <v>220</v>
      </c>
      <c r="B119" t="s">
        <v>259</v>
      </c>
      <c r="C119" t="s">
        <v>572</v>
      </c>
      <c r="D119" t="s">
        <v>573</v>
      </c>
      <c r="E119" t="s">
        <v>574</v>
      </c>
      <c r="F119" t="s">
        <v>48</v>
      </c>
      <c r="G119">
        <v>98</v>
      </c>
      <c r="H119" t="s">
        <v>153</v>
      </c>
      <c r="I119" s="13">
        <v>40034.208333333336</v>
      </c>
      <c r="M119" t="str">
        <f>IF(SUMIFS(水保局全省災害資料!$X:$X, 水保局全省災害資料!$E:$E, A119, 水保局全省災害資料!$F:$F, B119, 水保局全省災害資料!$N:$N, H119)=0, "", SUMIFS(水保局全省災害資料!$X:$X, 水保局全省災害資料!$E:$E, A119, 水保局全省災害資料!$F:$F, B119, 水保局全省災害資料!$N:$N, H119))</f>
        <v/>
      </c>
      <c r="P119" t="s">
        <v>51</v>
      </c>
      <c r="S119">
        <v>450</v>
      </c>
      <c r="T119" t="s">
        <v>263</v>
      </c>
      <c r="U119" t="s">
        <v>264</v>
      </c>
      <c r="V119">
        <v>1195.5</v>
      </c>
      <c r="W119">
        <v>37</v>
      </c>
      <c r="X119">
        <v>1030.8</v>
      </c>
      <c r="Y119">
        <v>63</v>
      </c>
      <c r="Z119">
        <v>84</v>
      </c>
      <c r="AA119">
        <v>335</v>
      </c>
      <c r="AB119">
        <v>663</v>
      </c>
      <c r="AC119" t="s">
        <v>63</v>
      </c>
      <c r="AD119" t="s">
        <v>63</v>
      </c>
      <c r="AE119" t="s">
        <v>63</v>
      </c>
      <c r="AF119" t="s">
        <v>55</v>
      </c>
      <c r="AG119" t="s">
        <v>87</v>
      </c>
      <c r="AH119">
        <v>79.5</v>
      </c>
      <c r="AI119">
        <v>166.5</v>
      </c>
      <c r="AJ119">
        <v>290.5</v>
      </c>
      <c r="AK119">
        <v>446</v>
      </c>
      <c r="AL119">
        <v>743.5</v>
      </c>
      <c r="AM119" t="s">
        <v>55</v>
      </c>
      <c r="AN119" t="s">
        <v>55</v>
      </c>
      <c r="AO119" t="s">
        <v>57</v>
      </c>
      <c r="AP119" t="s">
        <v>58</v>
      </c>
      <c r="AQ119" t="s">
        <v>64</v>
      </c>
      <c r="AR119">
        <v>56</v>
      </c>
      <c r="AS119">
        <f>IFERROR(INDEX(水保局全省災害資料!$X$2:$X$2000, MATCH(1, INDEX((水保局全省災害資料!$T$2:$T$2000=W119)*(水保局全省災害資料!$U$2:$U$2000=X119), 0, 1), 0)), "")</f>
        <v>0</v>
      </c>
      <c r="AT119">
        <f>IFERROR(INDEX(水保局全省災害資料!$T$2:$T$2000, MATCH(1, INDEX((水保局全省災害資料!$T$2:$T$2000=W119)*(水保局全省災害資料!$U$2:$U$2000=X119), 0, 1), 0)), "")</f>
        <v>37</v>
      </c>
      <c r="AU119">
        <f>IFERROR(INDEX(水保局全省災害資料!$U$2:$U$2000, MATCH(1, INDEX((水保局全省災害資料!$T$2:$T$2000=W119)*(水保局全省災害資料!$U$2:$U$2000=X119), 0, 1), 0)), "")</f>
        <v>1030.8</v>
      </c>
      <c r="AV119" t="str">
        <f>IFERROR(INDEX(水保局全省災害資料!$B$2:$B$2000, MATCH(1, INDEX((水保局全省災害資料!$T$2:$T$2000=W119)*(水保局全省災害資料!$U$2:$U$2000=X119), 0, 1), 0)), "")</f>
        <v>土石流</v>
      </c>
    </row>
    <row r="120" spans="1:48">
      <c r="A120" t="s">
        <v>220</v>
      </c>
      <c r="B120" t="s">
        <v>575</v>
      </c>
      <c r="C120" t="s">
        <v>576</v>
      </c>
      <c r="D120" t="s">
        <v>577</v>
      </c>
      <c r="E120" t="s">
        <v>578</v>
      </c>
      <c r="F120" t="s">
        <v>127</v>
      </c>
      <c r="G120">
        <v>98</v>
      </c>
      <c r="H120" t="s">
        <v>153</v>
      </c>
      <c r="I120" s="13">
        <v>40033.666666666664</v>
      </c>
      <c r="M120" t="str">
        <f>IF(SUMIFS(水保局全省災害資料!$X:$X, 水保局全省災害資料!$E:$E, A120, 水保局全省災害資料!$F:$F, B120, 水保局全省災害資料!$N:$N, H120)=0, "", SUMIFS(水保局全省災害資料!$X:$X, 水保局全省災害資料!$E:$E, A120, 水保局全省災害資料!$F:$F, B120, 水保局全省災害資料!$N:$N, H120))</f>
        <v/>
      </c>
      <c r="P120" t="s">
        <v>51</v>
      </c>
      <c r="S120">
        <v>500</v>
      </c>
      <c r="T120" t="s">
        <v>579</v>
      </c>
      <c r="U120" t="s">
        <v>580</v>
      </c>
      <c r="V120">
        <v>1759</v>
      </c>
      <c r="W120">
        <v>89</v>
      </c>
      <c r="X120">
        <v>712.6</v>
      </c>
      <c r="Y120">
        <v>162.5</v>
      </c>
      <c r="Z120">
        <v>374.5</v>
      </c>
      <c r="AA120">
        <v>532</v>
      </c>
      <c r="AB120">
        <v>757</v>
      </c>
      <c r="AC120" t="s">
        <v>55</v>
      </c>
      <c r="AD120" t="s">
        <v>55</v>
      </c>
      <c r="AE120" t="s">
        <v>87</v>
      </c>
      <c r="AF120" t="s">
        <v>87</v>
      </c>
      <c r="AG120" t="s">
        <v>64</v>
      </c>
      <c r="AH120">
        <v>95.5</v>
      </c>
      <c r="AI120">
        <v>261</v>
      </c>
      <c r="AJ120">
        <v>391.5</v>
      </c>
      <c r="AK120">
        <v>690.5</v>
      </c>
      <c r="AL120">
        <v>1028.5</v>
      </c>
      <c r="AM120" t="s">
        <v>56</v>
      </c>
      <c r="AN120" t="s">
        <v>87</v>
      </c>
      <c r="AO120" t="s">
        <v>64</v>
      </c>
      <c r="AP120" t="s">
        <v>64</v>
      </c>
      <c r="AQ120" t="s">
        <v>64</v>
      </c>
      <c r="AR120">
        <v>45</v>
      </c>
      <c r="AS120">
        <f>IFERROR(INDEX(水保局全省災害資料!$X$2:$X$2000, MATCH(1, INDEX((水保局全省災害資料!$T$2:$T$2000=W120)*(水保局全省災害資料!$U$2:$U$2000=X120), 0, 1), 0)), "")</f>
        <v>0</v>
      </c>
      <c r="AT120">
        <f>IFERROR(INDEX(水保局全省災害資料!$T$2:$T$2000, MATCH(1, INDEX((水保局全省災害資料!$T$2:$T$2000=W120)*(水保局全省災害資料!$U$2:$U$2000=X120), 0, 1), 0)), "")</f>
        <v>89</v>
      </c>
      <c r="AU120">
        <f>IFERROR(INDEX(水保局全省災害資料!$U$2:$U$2000, MATCH(1, INDEX((水保局全省災害資料!$T$2:$T$2000=W120)*(水保局全省災害資料!$U$2:$U$2000=X120), 0, 1), 0)), "")</f>
        <v>712.6</v>
      </c>
      <c r="AV120" t="str">
        <f>IFERROR(INDEX(水保局全省災害資料!$B$2:$B$2000, MATCH(1, INDEX((水保局全省災害資料!$T$2:$T$2000=W120)*(水保局全省災害資料!$U$2:$U$2000=X120), 0, 1), 0)), "")</f>
        <v>土石流</v>
      </c>
    </row>
    <row r="121" spans="1:48">
      <c r="A121" t="s">
        <v>220</v>
      </c>
      <c r="B121" t="s">
        <v>575</v>
      </c>
      <c r="C121" t="s">
        <v>581</v>
      </c>
      <c r="D121" t="s">
        <v>582</v>
      </c>
      <c r="E121" t="s">
        <v>583</v>
      </c>
      <c r="F121" t="s">
        <v>48</v>
      </c>
      <c r="G121">
        <v>98</v>
      </c>
      <c r="H121" t="s">
        <v>153</v>
      </c>
      <c r="I121" s="13">
        <v>40034.708333333336</v>
      </c>
      <c r="M121" t="str">
        <f>IF(SUMIFS(水保局全省災害資料!$X:$X, 水保局全省災害資料!$E:$E, A121, 水保局全省災害資料!$F:$F, B121, 水保局全省災害資料!$N:$N, H121)=0, "", SUMIFS(水保局全省災害資料!$X:$X, 水保局全省災害資料!$E:$E, A121, 水保局全省災害資料!$F:$F, B121, 水保局全省災害資料!$N:$N, H121))</f>
        <v/>
      </c>
      <c r="P121" t="s">
        <v>51</v>
      </c>
      <c r="S121">
        <v>500</v>
      </c>
      <c r="T121" t="s">
        <v>579</v>
      </c>
      <c r="U121" t="s">
        <v>580</v>
      </c>
      <c r="V121">
        <v>1759</v>
      </c>
      <c r="W121">
        <v>9.5</v>
      </c>
      <c r="X121">
        <v>1409.9</v>
      </c>
      <c r="Y121">
        <v>32</v>
      </c>
      <c r="Z121">
        <v>52</v>
      </c>
      <c r="AA121">
        <v>141</v>
      </c>
      <c r="AB121">
        <v>692.5</v>
      </c>
      <c r="AC121" t="s">
        <v>63</v>
      </c>
      <c r="AD121" t="s">
        <v>63</v>
      </c>
      <c r="AE121" t="s">
        <v>63</v>
      </c>
      <c r="AF121" t="s">
        <v>63</v>
      </c>
      <c r="AG121" t="s">
        <v>58</v>
      </c>
      <c r="AH121">
        <v>95.5</v>
      </c>
      <c r="AI121">
        <v>261</v>
      </c>
      <c r="AJ121">
        <v>391.5</v>
      </c>
      <c r="AK121">
        <v>690.5</v>
      </c>
      <c r="AL121">
        <v>1028.5</v>
      </c>
      <c r="AM121" t="s">
        <v>56</v>
      </c>
      <c r="AN121" t="s">
        <v>87</v>
      </c>
      <c r="AO121" t="s">
        <v>64</v>
      </c>
      <c r="AP121" t="s">
        <v>64</v>
      </c>
      <c r="AQ121" t="s">
        <v>64</v>
      </c>
      <c r="AR121">
        <v>69</v>
      </c>
      <c r="AS121">
        <f>IFERROR(INDEX(水保局全省災害資料!$X$2:$X$2000, MATCH(1, INDEX((水保局全省災害資料!$T$2:$T$2000=W121)*(水保局全省災害資料!$U$2:$U$2000=X121), 0, 1), 0)), "")</f>
        <v>0</v>
      </c>
      <c r="AT121">
        <f>IFERROR(INDEX(水保局全省災害資料!$T$2:$T$2000, MATCH(1, INDEX((水保局全省災害資料!$T$2:$T$2000=W121)*(水保局全省災害資料!$U$2:$U$2000=X121), 0, 1), 0)), "")</f>
        <v>9.5</v>
      </c>
      <c r="AU121">
        <f>IFERROR(INDEX(水保局全省災害資料!$U$2:$U$2000, MATCH(1, INDEX((水保局全省災害資料!$T$2:$T$2000=W121)*(水保局全省災害資料!$U$2:$U$2000=X121), 0, 1), 0)), "")</f>
        <v>1409.9</v>
      </c>
      <c r="AV121" t="str">
        <f>IFERROR(INDEX(水保局全省災害資料!$B$2:$B$2000, MATCH(1, INDEX((水保局全省災害資料!$T$2:$T$2000=W121)*(水保局全省災害資料!$U$2:$U$2000=X121), 0, 1), 0)), "")</f>
        <v>土石流、崩塌</v>
      </c>
    </row>
    <row r="122" spans="1:48">
      <c r="A122" t="s">
        <v>220</v>
      </c>
      <c r="B122" t="s">
        <v>575</v>
      </c>
      <c r="C122" t="s">
        <v>576</v>
      </c>
      <c r="D122" t="s">
        <v>584</v>
      </c>
      <c r="E122" t="s">
        <v>585</v>
      </c>
      <c r="F122" t="s">
        <v>48</v>
      </c>
      <c r="G122">
        <v>98</v>
      </c>
      <c r="H122" t="s">
        <v>153</v>
      </c>
      <c r="I122" s="13">
        <v>40033.666666666664</v>
      </c>
      <c r="M122" t="str">
        <f>IF(SUMIFS(水保局全省災害資料!$X:$X, 水保局全省災害資料!$E:$E, A122, 水保局全省災害資料!$F:$F, B122, 水保局全省災害資料!$N:$N, H122)=0, "", SUMIFS(水保局全省災害資料!$X:$X, 水保局全省災害資料!$E:$E, A122, 水保局全省災害資料!$F:$F, B122, 水保局全省災害資料!$N:$N, H122))</f>
        <v/>
      </c>
      <c r="P122" t="s">
        <v>51</v>
      </c>
      <c r="S122">
        <v>500</v>
      </c>
      <c r="T122" t="s">
        <v>579</v>
      </c>
      <c r="U122" t="s">
        <v>580</v>
      </c>
      <c r="V122">
        <v>1759</v>
      </c>
      <c r="W122">
        <v>89</v>
      </c>
      <c r="X122">
        <v>712.6</v>
      </c>
      <c r="Y122">
        <v>162.5</v>
      </c>
      <c r="Z122">
        <v>374.5</v>
      </c>
      <c r="AA122">
        <v>532</v>
      </c>
      <c r="AB122">
        <v>757</v>
      </c>
      <c r="AC122" t="s">
        <v>55</v>
      </c>
      <c r="AD122" t="s">
        <v>55</v>
      </c>
      <c r="AE122" t="s">
        <v>87</v>
      </c>
      <c r="AF122" t="s">
        <v>87</v>
      </c>
      <c r="AG122" t="s">
        <v>64</v>
      </c>
      <c r="AH122">
        <v>95.5</v>
      </c>
      <c r="AI122">
        <v>261</v>
      </c>
      <c r="AJ122">
        <v>391.5</v>
      </c>
      <c r="AK122">
        <v>690.5</v>
      </c>
      <c r="AL122">
        <v>1028.5</v>
      </c>
      <c r="AM122" t="s">
        <v>56</v>
      </c>
      <c r="AN122" t="s">
        <v>87</v>
      </c>
      <c r="AO122" t="s">
        <v>64</v>
      </c>
      <c r="AP122" t="s">
        <v>64</v>
      </c>
      <c r="AQ122" t="s">
        <v>64</v>
      </c>
      <c r="AR122">
        <v>45</v>
      </c>
      <c r="AS122">
        <f>IFERROR(INDEX(水保局全省災害資料!$X$2:$X$2000, MATCH(1, INDEX((水保局全省災害資料!$T$2:$T$2000=W122)*(水保局全省災害資料!$U$2:$U$2000=X122), 0, 1), 0)), "")</f>
        <v>0</v>
      </c>
      <c r="AT122">
        <f>IFERROR(INDEX(水保局全省災害資料!$T$2:$T$2000, MATCH(1, INDEX((水保局全省災害資料!$T$2:$T$2000=W122)*(水保局全省災害資料!$U$2:$U$2000=X122), 0, 1), 0)), "")</f>
        <v>89</v>
      </c>
      <c r="AU122">
        <f>IFERROR(INDEX(水保局全省災害資料!$U$2:$U$2000, MATCH(1, INDEX((水保局全省災害資料!$T$2:$T$2000=W122)*(水保局全省災害資料!$U$2:$U$2000=X122), 0, 1), 0)), "")</f>
        <v>712.6</v>
      </c>
      <c r="AV122" t="str">
        <f>IFERROR(INDEX(水保局全省災害資料!$B$2:$B$2000, MATCH(1, INDEX((水保局全省災害資料!$T$2:$T$2000=W122)*(水保局全省災害資料!$U$2:$U$2000=X122), 0, 1), 0)), "")</f>
        <v>土石流</v>
      </c>
    </row>
    <row r="123" spans="1:48">
      <c r="A123" t="s">
        <v>220</v>
      </c>
      <c r="B123" t="s">
        <v>586</v>
      </c>
      <c r="C123" t="s">
        <v>587</v>
      </c>
      <c r="D123" t="s">
        <v>588</v>
      </c>
      <c r="F123" t="s">
        <v>48</v>
      </c>
      <c r="G123">
        <v>97</v>
      </c>
      <c r="H123" t="s">
        <v>124</v>
      </c>
      <c r="I123" s="13">
        <v>39647.083333333336</v>
      </c>
      <c r="M123" t="str">
        <f>IF(SUMIFS(水保局全省災害資料!$X:$X, 水保局全省災害資料!$E:$E, A123, 水保局全省災害資料!$F:$F, B123, 水保局全省災害資料!$N:$N, H123)=0, "", SUMIFS(水保局全省災害資料!$X:$X, 水保局全省災害資料!$E:$E, A123, 水保局全省災害資料!$F:$F, B123, 水保局全省災害資料!$N:$N, H123))</f>
        <v/>
      </c>
      <c r="P123" t="s">
        <v>51</v>
      </c>
      <c r="S123">
        <v>450</v>
      </c>
      <c r="T123" t="s">
        <v>225</v>
      </c>
      <c r="U123" t="s">
        <v>226</v>
      </c>
      <c r="V123">
        <v>1034.5</v>
      </c>
      <c r="W123">
        <v>34.5</v>
      </c>
      <c r="X123">
        <v>677.1</v>
      </c>
      <c r="Y123">
        <v>147</v>
      </c>
      <c r="Z123">
        <v>515.5</v>
      </c>
      <c r="AA123">
        <v>684</v>
      </c>
      <c r="AB123">
        <v>684</v>
      </c>
      <c r="AC123" t="s">
        <v>63</v>
      </c>
      <c r="AD123" t="s">
        <v>54</v>
      </c>
      <c r="AE123" t="s">
        <v>64</v>
      </c>
      <c r="AF123" t="s">
        <v>64</v>
      </c>
      <c r="AG123" t="s">
        <v>58</v>
      </c>
      <c r="AH123">
        <v>148</v>
      </c>
      <c r="AI123">
        <v>368.5</v>
      </c>
      <c r="AJ123">
        <v>567</v>
      </c>
      <c r="AK123">
        <v>764.5</v>
      </c>
      <c r="AL123">
        <v>886.5</v>
      </c>
      <c r="AM123" t="s">
        <v>64</v>
      </c>
      <c r="AN123" t="s">
        <v>64</v>
      </c>
      <c r="AO123" t="s">
        <v>64</v>
      </c>
      <c r="AP123" t="s">
        <v>64</v>
      </c>
      <c r="AQ123" t="s">
        <v>64</v>
      </c>
      <c r="AR123">
        <v>10</v>
      </c>
      <c r="AS123">
        <f>IFERROR(INDEX(水保局全省災害資料!$X$2:$X$2000, MATCH(1, INDEX((水保局全省災害資料!$T$2:$T$2000=W123)*(水保局全省災害資料!$U$2:$U$2000=X123), 0, 1), 0)), "")</f>
        <v>0</v>
      </c>
      <c r="AT123">
        <f>IFERROR(INDEX(水保局全省災害資料!$T$2:$T$2000, MATCH(1, INDEX((水保局全省災害資料!$T$2:$T$2000=W123)*(水保局全省災害資料!$U$2:$U$2000=X123), 0, 1), 0)), "")</f>
        <v>34.5</v>
      </c>
      <c r="AU123">
        <f>IFERROR(INDEX(水保局全省災害資料!$U$2:$U$2000, MATCH(1, INDEX((水保局全省災害資料!$T$2:$T$2000=W123)*(水保局全省災害資料!$U$2:$U$2000=X123), 0, 1), 0)), "")</f>
        <v>677.1</v>
      </c>
      <c r="AV123" t="str">
        <f>IFERROR(INDEX(水保局全省災害資料!$B$2:$B$2000, MATCH(1, INDEX((水保局全省災害資料!$T$2:$T$2000=W123)*(水保局全省災害資料!$U$2:$U$2000=X123), 0, 1), 0)), "")</f>
        <v>洪水</v>
      </c>
    </row>
    <row r="124" spans="1:48">
      <c r="A124" t="s">
        <v>220</v>
      </c>
      <c r="B124" t="s">
        <v>586</v>
      </c>
      <c r="C124" t="s">
        <v>589</v>
      </c>
      <c r="D124" t="s">
        <v>590</v>
      </c>
      <c r="F124" t="s">
        <v>48</v>
      </c>
      <c r="G124">
        <v>113</v>
      </c>
      <c r="H124" t="s">
        <v>59</v>
      </c>
      <c r="I124" s="13">
        <v>45499.25</v>
      </c>
      <c r="M124">
        <f>IF(SUMIFS(水保局全省災害資料!$X:$X, 水保局全省災害資料!$E:$E, A124, 水保局全省災害資料!$F:$F, B124, 水保局全省災害資料!$N:$N, H124)=0, "", SUMIFS(水保局全省災害資料!$X:$X, 水保局全省災害資料!$E:$E, A124, 水保局全省災害資料!$F:$F, B124, 水保局全省災害資料!$N:$N, H124))</f>
        <v>0.2</v>
      </c>
      <c r="P124" t="s">
        <v>51</v>
      </c>
      <c r="S124">
        <v>300</v>
      </c>
      <c r="T124" t="s">
        <v>591</v>
      </c>
      <c r="U124" t="s">
        <v>592</v>
      </c>
      <c r="V124">
        <v>1394</v>
      </c>
      <c r="W124">
        <v>32</v>
      </c>
      <c r="X124">
        <v>1103.7</v>
      </c>
      <c r="Y124">
        <v>45.5</v>
      </c>
      <c r="Z124">
        <v>59</v>
      </c>
      <c r="AA124">
        <v>207</v>
      </c>
      <c r="AB124">
        <v>623</v>
      </c>
      <c r="AC124" t="s">
        <v>63</v>
      </c>
      <c r="AD124" t="s">
        <v>63</v>
      </c>
      <c r="AE124" t="s">
        <v>63</v>
      </c>
      <c r="AF124" t="s">
        <v>63</v>
      </c>
      <c r="AG124" t="s">
        <v>57</v>
      </c>
      <c r="AH124">
        <v>71</v>
      </c>
      <c r="AI124">
        <v>174.5</v>
      </c>
      <c r="AJ124">
        <v>328</v>
      </c>
      <c r="AK124">
        <v>576</v>
      </c>
      <c r="AL124">
        <v>1000</v>
      </c>
      <c r="AM124" t="s">
        <v>54</v>
      </c>
      <c r="AN124" t="s">
        <v>55</v>
      </c>
      <c r="AO124" t="s">
        <v>57</v>
      </c>
      <c r="AP124" t="s">
        <v>64</v>
      </c>
      <c r="AQ124" t="s">
        <v>64</v>
      </c>
      <c r="AR124">
        <v>45</v>
      </c>
      <c r="AS124">
        <f>IFERROR(INDEX(水保局全省災害資料!$X$2:$X$2000, MATCH(1, INDEX((水保局全省災害資料!$T$2:$T$2000=W124)*(水保局全省災害資料!$U$2:$U$2000=X124), 0, 1), 0)), "")</f>
        <v>0.2</v>
      </c>
      <c r="AT124">
        <f>IFERROR(INDEX(水保局全省災害資料!$T$2:$T$2000, MATCH(1, INDEX((水保局全省災害資料!$T$2:$T$2000=W124)*(水保局全省災害資料!$U$2:$U$2000=X124), 0, 1), 0)), "")</f>
        <v>32</v>
      </c>
      <c r="AU124">
        <f>IFERROR(INDEX(水保局全省災害資料!$U$2:$U$2000, MATCH(1, INDEX((水保局全省災害資料!$T$2:$T$2000=W124)*(水保局全省災害資料!$U$2:$U$2000=X124), 0, 1), 0)), "")</f>
        <v>1103.7</v>
      </c>
      <c r="AV124" t="str">
        <f>IFERROR(INDEX(水保局全省災害資料!$B$2:$B$2000, MATCH(1, INDEX((水保局全省災害資料!$T$2:$T$2000=W124)*(水保局全省災害資料!$U$2:$U$2000=X124), 0, 1), 0)), "")</f>
        <v>土石流</v>
      </c>
    </row>
    <row r="125" spans="1:48">
      <c r="A125" t="s">
        <v>220</v>
      </c>
      <c r="B125" t="s">
        <v>586</v>
      </c>
      <c r="C125" t="s">
        <v>587</v>
      </c>
      <c r="D125" t="s">
        <v>593</v>
      </c>
      <c r="E125" t="s">
        <v>594</v>
      </c>
      <c r="F125" t="s">
        <v>48</v>
      </c>
      <c r="G125">
        <v>98</v>
      </c>
      <c r="H125" t="s">
        <v>153</v>
      </c>
      <c r="I125" s="13">
        <v>40033.708333333336</v>
      </c>
      <c r="M125" t="str">
        <f>IF(SUMIFS(水保局全省災害資料!$X:$X, 水保局全省災害資料!$E:$E, A125, 水保局全省災害資料!$F:$F, B125, 水保局全省災害資料!$N:$N, H125)=0, "", SUMIFS(水保局全省災害資料!$X:$X, 水保局全省災害資料!$E:$E, A125, 水保局全省災害資料!$F:$F, B125, 水保局全省災害資料!$N:$N, H125))</f>
        <v/>
      </c>
      <c r="P125" t="s">
        <v>51</v>
      </c>
      <c r="S125">
        <v>450</v>
      </c>
      <c r="T125" t="s">
        <v>595</v>
      </c>
      <c r="U125" t="s">
        <v>596</v>
      </c>
      <c r="V125">
        <v>2239.5</v>
      </c>
      <c r="W125">
        <v>86.5</v>
      </c>
      <c r="X125">
        <v>732.6</v>
      </c>
      <c r="Y125">
        <v>191</v>
      </c>
      <c r="Z125">
        <v>277</v>
      </c>
      <c r="AA125">
        <v>402</v>
      </c>
      <c r="AB125">
        <v>616.5</v>
      </c>
      <c r="AC125" t="s">
        <v>55</v>
      </c>
      <c r="AD125" t="s">
        <v>56</v>
      </c>
      <c r="AE125" t="s">
        <v>56</v>
      </c>
      <c r="AF125" t="s">
        <v>57</v>
      </c>
      <c r="AG125" t="s">
        <v>58</v>
      </c>
      <c r="AH125">
        <v>116</v>
      </c>
      <c r="AI125">
        <v>292.5</v>
      </c>
      <c r="AJ125">
        <v>469</v>
      </c>
      <c r="AK125">
        <v>800.5</v>
      </c>
      <c r="AL125">
        <v>1231</v>
      </c>
      <c r="AM125" t="s">
        <v>58</v>
      </c>
      <c r="AN125" t="s">
        <v>64</v>
      </c>
      <c r="AO125" t="s">
        <v>64</v>
      </c>
      <c r="AP125" t="s">
        <v>64</v>
      </c>
      <c r="AQ125" t="s">
        <v>64</v>
      </c>
      <c r="AR125">
        <v>42</v>
      </c>
      <c r="AS125">
        <f>IFERROR(INDEX(水保局全省災害資料!$X$2:$X$2000, MATCH(1, INDEX((水保局全省災害資料!$T$2:$T$2000=W125)*(水保局全省災害資料!$U$2:$U$2000=X125), 0, 1), 0)), "")</f>
        <v>0</v>
      </c>
      <c r="AT125">
        <f>IFERROR(INDEX(水保局全省災害資料!$T$2:$T$2000, MATCH(1, INDEX((水保局全省災害資料!$T$2:$T$2000=W125)*(水保局全省災害資料!$U$2:$U$2000=X125), 0, 1), 0)), "")</f>
        <v>86.5</v>
      </c>
      <c r="AU125">
        <f>IFERROR(INDEX(水保局全省災害資料!$U$2:$U$2000, MATCH(1, INDEX((水保局全省災害資料!$T$2:$T$2000=W125)*(水保局全省災害資料!$U$2:$U$2000=X125), 0, 1), 0)), "")</f>
        <v>732.6</v>
      </c>
      <c r="AV125" t="str">
        <f>IFERROR(INDEX(水保局全省災害資料!$B$2:$B$2000, MATCH(1, INDEX((水保局全省災害資料!$T$2:$T$2000=W125)*(水保局全省災害資料!$U$2:$U$2000=X125), 0, 1), 0)), "")</f>
        <v>土石流</v>
      </c>
    </row>
    <row r="126" spans="1:48">
      <c r="A126" t="s">
        <v>220</v>
      </c>
      <c r="B126" t="s">
        <v>586</v>
      </c>
      <c r="C126" t="s">
        <v>597</v>
      </c>
      <c r="D126" t="s">
        <v>598</v>
      </c>
      <c r="E126" t="s">
        <v>599</v>
      </c>
      <c r="F126" t="s">
        <v>127</v>
      </c>
      <c r="G126">
        <v>98</v>
      </c>
      <c r="H126" t="s">
        <v>153</v>
      </c>
      <c r="I126" s="13">
        <v>40033.666666666664</v>
      </c>
      <c r="M126" t="str">
        <f>IF(SUMIFS(水保局全省災害資料!$X:$X, 水保局全省災害資料!$E:$E, A126, 水保局全省災害資料!$F:$F, B126, 水保局全省災害資料!$N:$N, H126)=0, "", SUMIFS(水保局全省災害資料!$X:$X, 水保局全省災害資料!$E:$E, A126, 水保局全省災害資料!$F:$F, B126, 水保局全省災害資料!$N:$N, H126))</f>
        <v/>
      </c>
      <c r="P126" t="s">
        <v>51</v>
      </c>
      <c r="S126">
        <v>450</v>
      </c>
      <c r="T126" t="s">
        <v>595</v>
      </c>
      <c r="U126" t="s">
        <v>596</v>
      </c>
      <c r="V126">
        <v>2239.5</v>
      </c>
      <c r="W126">
        <v>74</v>
      </c>
      <c r="X126">
        <v>647.4</v>
      </c>
      <c r="Y126">
        <v>139.5</v>
      </c>
      <c r="Z126">
        <v>213</v>
      </c>
      <c r="AA126">
        <v>345</v>
      </c>
      <c r="AB126">
        <v>542</v>
      </c>
      <c r="AC126" t="s">
        <v>54</v>
      </c>
      <c r="AD126" t="s">
        <v>54</v>
      </c>
      <c r="AE126" t="s">
        <v>54</v>
      </c>
      <c r="AF126" t="s">
        <v>56</v>
      </c>
      <c r="AG126" t="s">
        <v>57</v>
      </c>
      <c r="AH126">
        <v>116</v>
      </c>
      <c r="AI126">
        <v>292.5</v>
      </c>
      <c r="AJ126">
        <v>469</v>
      </c>
      <c r="AK126">
        <v>800.5</v>
      </c>
      <c r="AL126">
        <v>1231</v>
      </c>
      <c r="AM126" t="s">
        <v>58</v>
      </c>
      <c r="AN126" t="s">
        <v>64</v>
      </c>
      <c r="AO126" t="s">
        <v>64</v>
      </c>
      <c r="AP126" t="s">
        <v>64</v>
      </c>
      <c r="AQ126" t="s">
        <v>64</v>
      </c>
      <c r="AR126">
        <v>41</v>
      </c>
      <c r="AS126">
        <f>IFERROR(INDEX(水保局全省災害資料!$X$2:$X$2000, MATCH(1, INDEX((水保局全省災害資料!$T$2:$T$2000=W126)*(水保局全省災害資料!$U$2:$U$2000=X126), 0, 1), 0)), "")</f>
        <v>0</v>
      </c>
      <c r="AT126">
        <f>IFERROR(INDEX(水保局全省災害資料!$T$2:$T$2000, MATCH(1, INDEX((水保局全省災害資料!$T$2:$T$2000=W126)*(水保局全省災害資料!$U$2:$U$2000=X126), 0, 1), 0)), "")</f>
        <v>74</v>
      </c>
      <c r="AU126">
        <f>IFERROR(INDEX(水保局全省災害資料!$U$2:$U$2000, MATCH(1, INDEX((水保局全省災害資料!$T$2:$T$2000=W126)*(水保局全省災害資料!$U$2:$U$2000=X126), 0, 1), 0)), "")</f>
        <v>647.4</v>
      </c>
      <c r="AV126" t="str">
        <f>IFERROR(INDEX(水保局全省災害資料!$B$2:$B$2000, MATCH(1, INDEX((水保局全省災害資料!$T$2:$T$2000=W126)*(水保局全省災害資料!$U$2:$U$2000=X126), 0, 1), 0)), "")</f>
        <v>土石流</v>
      </c>
    </row>
    <row r="127" spans="1:48">
      <c r="A127" t="s">
        <v>265</v>
      </c>
      <c r="B127" t="s">
        <v>600</v>
      </c>
      <c r="C127" t="s">
        <v>601</v>
      </c>
      <c r="D127" t="s">
        <v>602</v>
      </c>
      <c r="F127" t="s">
        <v>48</v>
      </c>
      <c r="G127">
        <v>98</v>
      </c>
      <c r="H127" t="s">
        <v>153</v>
      </c>
      <c r="I127" s="13">
        <v>40033.541666666664</v>
      </c>
      <c r="M127" t="str">
        <f>IF(SUMIFS(水保局全省災害資料!$X:$X, 水保局全省災害資料!$E:$E, A127, 水保局全省災害資料!$F:$F, B127, 水保局全省災害資料!$N:$N, H127)=0, "", SUMIFS(水保局全省災害資料!$X:$X, 水保局全省災害資料!$E:$E, A127, 水保局全省災害資料!$F:$F, B127, 水保局全省災害資料!$N:$N, H127))</f>
        <v/>
      </c>
      <c r="P127" t="s">
        <v>51</v>
      </c>
      <c r="S127">
        <v>550</v>
      </c>
      <c r="T127" t="s">
        <v>603</v>
      </c>
      <c r="U127" t="s">
        <v>604</v>
      </c>
      <c r="V127">
        <v>2964.5</v>
      </c>
      <c r="W127">
        <v>71</v>
      </c>
      <c r="X127">
        <v>1532</v>
      </c>
      <c r="Y127">
        <v>227.5</v>
      </c>
      <c r="Z127">
        <v>427.5</v>
      </c>
      <c r="AA127">
        <v>842</v>
      </c>
      <c r="AB127">
        <v>1291.5</v>
      </c>
      <c r="AC127" t="s">
        <v>63</v>
      </c>
      <c r="AD127" t="s">
        <v>57</v>
      </c>
      <c r="AE127" t="s">
        <v>64</v>
      </c>
      <c r="AF127" t="s">
        <v>64</v>
      </c>
      <c r="AG127" t="s">
        <v>64</v>
      </c>
      <c r="AH127">
        <v>117</v>
      </c>
      <c r="AI127">
        <v>274</v>
      </c>
      <c r="AJ127">
        <v>452.5</v>
      </c>
      <c r="AK127">
        <v>842</v>
      </c>
      <c r="AL127">
        <v>1414</v>
      </c>
      <c r="AM127" t="s">
        <v>57</v>
      </c>
      <c r="AN127" t="s">
        <v>87</v>
      </c>
      <c r="AO127" t="s">
        <v>64</v>
      </c>
      <c r="AP127" t="s">
        <v>64</v>
      </c>
      <c r="AQ127" t="s">
        <v>64</v>
      </c>
      <c r="AR127">
        <v>42</v>
      </c>
      <c r="AS127">
        <f>IFERROR(INDEX(水保局全省災害資料!$X$2:$X$2000, MATCH(1, INDEX((水保局全省災害資料!$T$2:$T$2000=W127)*(水保局全省災害資料!$U$2:$U$2000=X127), 0, 1), 0)), "")</f>
        <v>0</v>
      </c>
      <c r="AT127">
        <f>IFERROR(INDEX(水保局全省災害資料!$T$2:$T$2000, MATCH(1, INDEX((水保局全省災害資料!$T$2:$T$2000=W127)*(水保局全省災害資料!$U$2:$U$2000=X127), 0, 1), 0)), "")</f>
        <v>71</v>
      </c>
      <c r="AU127">
        <f>IFERROR(INDEX(水保局全省災害資料!$U$2:$U$2000, MATCH(1, INDEX((水保局全省災害資料!$T$2:$T$2000=W127)*(水保局全省災害資料!$U$2:$U$2000=X127), 0, 1), 0)), "")</f>
        <v>1532</v>
      </c>
      <c r="AV127" t="str">
        <f>IFERROR(INDEX(水保局全省災害資料!$B$2:$B$2000, MATCH(1, INDEX((水保局全省災害資料!$T$2:$T$2000=W127)*(水保局全省災害資料!$U$2:$U$2000=X127), 0, 1), 0)), "")</f>
        <v>土石流</v>
      </c>
    </row>
    <row r="128" spans="1:48">
      <c r="A128" t="s">
        <v>265</v>
      </c>
      <c r="B128" t="s">
        <v>600</v>
      </c>
      <c r="C128" t="s">
        <v>605</v>
      </c>
      <c r="D128" t="s">
        <v>606</v>
      </c>
      <c r="F128" t="s">
        <v>48</v>
      </c>
      <c r="G128">
        <v>96</v>
      </c>
      <c r="H128" t="s">
        <v>607</v>
      </c>
      <c r="I128" s="13">
        <v>39307.791666666664</v>
      </c>
      <c r="M128" t="str">
        <f>IF(SUMIFS(水保局全省災害資料!$X:$X, 水保局全省災害資料!$E:$E, A128, 水保局全省災害資料!$F:$F, B128, 水保局全省災害資料!$N:$N, H128)=0, "", SUMIFS(水保局全省災害資料!$X:$X, 水保局全省災害資料!$E:$E, A128, 水保局全省災害資料!$F:$F, B128, 水保局全省災害資料!$N:$N, H128))</f>
        <v/>
      </c>
      <c r="P128" t="s">
        <v>51</v>
      </c>
      <c r="S128">
        <v>550</v>
      </c>
      <c r="T128" t="s">
        <v>608</v>
      </c>
      <c r="U128" t="s">
        <v>609</v>
      </c>
      <c r="V128">
        <v>1155</v>
      </c>
      <c r="W128">
        <v>71</v>
      </c>
      <c r="X128">
        <v>1104.01</v>
      </c>
      <c r="Y128">
        <v>266</v>
      </c>
      <c r="Z128">
        <v>478</v>
      </c>
      <c r="AA128">
        <v>631</v>
      </c>
      <c r="AB128">
        <v>805.5</v>
      </c>
      <c r="AC128" t="s">
        <v>54</v>
      </c>
      <c r="AD128" t="s">
        <v>87</v>
      </c>
      <c r="AE128" t="s">
        <v>64</v>
      </c>
      <c r="AF128" t="s">
        <v>64</v>
      </c>
      <c r="AG128" t="s">
        <v>87</v>
      </c>
      <c r="AH128">
        <v>138</v>
      </c>
      <c r="AI128">
        <v>309</v>
      </c>
      <c r="AJ128">
        <v>561.5</v>
      </c>
      <c r="AK128">
        <v>747</v>
      </c>
      <c r="AL128">
        <v>1008.5</v>
      </c>
      <c r="AM128" t="s">
        <v>64</v>
      </c>
      <c r="AN128" t="s">
        <v>64</v>
      </c>
      <c r="AO128" t="s">
        <v>64</v>
      </c>
      <c r="AP128" t="s">
        <v>64</v>
      </c>
      <c r="AQ128" t="s">
        <v>64</v>
      </c>
      <c r="AR128">
        <v>35</v>
      </c>
      <c r="AS128">
        <f>IFERROR(INDEX(水保局全省災害資料!$X$2:$X$2000, MATCH(1, INDEX((水保局全省災害資料!$T$2:$T$2000=W128)*(水保局全省災害資料!$U$2:$U$2000=X128), 0, 1), 0)), "")</f>
        <v>0</v>
      </c>
      <c r="AT128">
        <f>IFERROR(INDEX(水保局全省災害資料!$T$2:$T$2000, MATCH(1, INDEX((水保局全省災害資料!$T$2:$T$2000=W128)*(水保局全省災害資料!$U$2:$U$2000=X128), 0, 1), 0)), "")</f>
        <v>71</v>
      </c>
      <c r="AU128">
        <f>IFERROR(INDEX(水保局全省災害資料!$U$2:$U$2000, MATCH(1, INDEX((水保局全省災害資料!$T$2:$T$2000=W128)*(水保局全省災害資料!$U$2:$U$2000=X128), 0, 1), 0)), "")</f>
        <v>1104.01</v>
      </c>
      <c r="AV128" t="str">
        <f>IFERROR(INDEX(水保局全省災害資料!$B$2:$B$2000, MATCH(1, INDEX((水保局全省災害資料!$T$2:$T$2000=W128)*(水保局全省災害資料!$U$2:$U$2000=X128), 0, 1), 0)), "")</f>
        <v>土石流</v>
      </c>
    </row>
    <row r="129" spans="1:48">
      <c r="A129" t="s">
        <v>265</v>
      </c>
      <c r="B129" t="s">
        <v>610</v>
      </c>
      <c r="C129" t="s">
        <v>611</v>
      </c>
      <c r="D129" t="s">
        <v>612</v>
      </c>
      <c r="E129" t="s">
        <v>613</v>
      </c>
      <c r="F129" t="s">
        <v>48</v>
      </c>
      <c r="G129">
        <v>100</v>
      </c>
      <c r="H129" t="s">
        <v>614</v>
      </c>
      <c r="I129" s="13">
        <v>40784.291666666664</v>
      </c>
      <c r="M129" t="str">
        <f>IF(SUMIFS(水保局全省災害資料!$X:$X, 水保局全省災害資料!$E:$E, A129, 水保局全省災害資料!$F:$F, B129, 水保局全省災害資料!$N:$N, H129)=0, "", SUMIFS(水保局全省災害資料!$X:$X, 水保局全省災害資料!$E:$E, A129, 水保局全省災害資料!$F:$F, B129, 水保局全省災害資料!$N:$N, H129))</f>
        <v/>
      </c>
      <c r="P129" t="s">
        <v>51</v>
      </c>
      <c r="S129">
        <v>600</v>
      </c>
      <c r="T129" t="s">
        <v>615</v>
      </c>
      <c r="U129" t="s">
        <v>616</v>
      </c>
      <c r="V129">
        <v>1138</v>
      </c>
      <c r="W129">
        <v>15.5</v>
      </c>
      <c r="X129">
        <v>518.9</v>
      </c>
      <c r="Y129">
        <v>325.5</v>
      </c>
      <c r="Z129">
        <v>175</v>
      </c>
      <c r="AA129">
        <v>207</v>
      </c>
      <c r="AB129">
        <v>387</v>
      </c>
      <c r="AC129" t="s">
        <v>63</v>
      </c>
      <c r="AD129" t="s">
        <v>64</v>
      </c>
      <c r="AE129" t="s">
        <v>63</v>
      </c>
      <c r="AF129" t="s">
        <v>63</v>
      </c>
      <c r="AG129" t="s">
        <v>54</v>
      </c>
      <c r="AH129">
        <v>108</v>
      </c>
      <c r="AI129">
        <v>151</v>
      </c>
      <c r="AJ129">
        <v>254</v>
      </c>
      <c r="AK129">
        <v>326</v>
      </c>
      <c r="AL129">
        <v>420.5</v>
      </c>
      <c r="AM129" t="s">
        <v>57</v>
      </c>
      <c r="AN129" t="s">
        <v>54</v>
      </c>
      <c r="AO129" t="s">
        <v>55</v>
      </c>
      <c r="AP129" t="s">
        <v>55</v>
      </c>
      <c r="AQ129" t="s">
        <v>54</v>
      </c>
      <c r="AR129">
        <v>42</v>
      </c>
      <c r="AS129">
        <f>IFERROR(INDEX(水保局全省災害資料!$X$2:$X$2000, MATCH(1, INDEX((水保局全省災害資料!$T$2:$T$2000=W129)*(水保局全省災害資料!$U$2:$U$2000=X129), 0, 1), 0)), "")</f>
        <v>0</v>
      </c>
      <c r="AT129">
        <f>IFERROR(INDEX(水保局全省災害資料!$T$2:$T$2000, MATCH(1, INDEX((水保局全省災害資料!$T$2:$T$2000=W129)*(水保局全省災害資料!$U$2:$U$2000=X129), 0, 1), 0)), "")</f>
        <v>15.5</v>
      </c>
      <c r="AU129">
        <f>IFERROR(INDEX(水保局全省災害資料!$U$2:$U$2000, MATCH(1, INDEX((水保局全省災害資料!$T$2:$T$2000=W129)*(水保局全省災害資料!$U$2:$U$2000=X129), 0, 1), 0)), "")</f>
        <v>518.9</v>
      </c>
      <c r="AV129" t="str">
        <f>IFERROR(INDEX(水保局全省災害資料!$B$2:$B$2000, MATCH(1, INDEX((水保局全省災害資料!$T$2:$T$2000=W129)*(水保局全省災害資料!$U$2:$U$2000=X129), 0, 1), 0)), "")</f>
        <v>土石流</v>
      </c>
    </row>
    <row r="130" spans="1:48">
      <c r="A130" t="s">
        <v>617</v>
      </c>
      <c r="B130" t="s">
        <v>618</v>
      </c>
      <c r="C130" t="s">
        <v>619</v>
      </c>
      <c r="D130" t="s">
        <v>620</v>
      </c>
      <c r="F130" t="s">
        <v>48</v>
      </c>
      <c r="G130">
        <v>98</v>
      </c>
      <c r="H130" t="s">
        <v>153</v>
      </c>
      <c r="I130" s="13">
        <v>40034.041666666664</v>
      </c>
      <c r="M130" t="str">
        <f>IF(SUMIFS(水保局全省災害資料!$X:$X, 水保局全省災害資料!$E:$E, A130, 水保局全省災害資料!$F:$F, B130, 水保局全省災害資料!$N:$N, H130)=0, "", SUMIFS(水保局全省災害資料!$X:$X, 水保局全省災害資料!$E:$E, A130, 水保局全省災害資料!$F:$F, B130, 水保局全省災害資料!$N:$N, H130))</f>
        <v/>
      </c>
      <c r="P130" t="s">
        <v>51</v>
      </c>
      <c r="S130">
        <v>550</v>
      </c>
      <c r="T130" t="s">
        <v>621</v>
      </c>
      <c r="U130" t="s">
        <v>622</v>
      </c>
      <c r="V130">
        <v>1592</v>
      </c>
      <c r="W130">
        <v>47.5</v>
      </c>
      <c r="X130">
        <v>1252.9000000000001</v>
      </c>
      <c r="Y130">
        <v>127</v>
      </c>
      <c r="Z130">
        <v>218.5</v>
      </c>
      <c r="AA130">
        <v>377.5</v>
      </c>
      <c r="AB130">
        <v>1004</v>
      </c>
      <c r="AC130" t="s">
        <v>63</v>
      </c>
      <c r="AD130" t="s">
        <v>63</v>
      </c>
      <c r="AE130" t="s">
        <v>54</v>
      </c>
      <c r="AF130" t="s">
        <v>56</v>
      </c>
      <c r="AG130" t="s">
        <v>64</v>
      </c>
      <c r="AH130">
        <v>71.5</v>
      </c>
      <c r="AI130">
        <v>184.5</v>
      </c>
      <c r="AJ130">
        <v>357.5</v>
      </c>
      <c r="AK130">
        <v>626.5</v>
      </c>
      <c r="AL130">
        <v>1016</v>
      </c>
      <c r="AM130" t="s">
        <v>54</v>
      </c>
      <c r="AN130" t="s">
        <v>56</v>
      </c>
      <c r="AO130" t="s">
        <v>87</v>
      </c>
      <c r="AP130" t="s">
        <v>64</v>
      </c>
      <c r="AQ130" t="s">
        <v>64</v>
      </c>
      <c r="AR130">
        <v>43</v>
      </c>
      <c r="AS130">
        <f>IFERROR(INDEX(水保局全省災害資料!$X$2:$X$2000, MATCH(1, INDEX((水保局全省災害資料!$T$2:$T$2000=W130)*(水保局全省災害資料!$U$2:$U$2000=X130), 0, 1), 0)), "")</f>
        <v>0</v>
      </c>
      <c r="AT130">
        <f>IFERROR(INDEX(水保局全省災害資料!$T$2:$T$2000, MATCH(1, INDEX((水保局全省災害資料!$T$2:$T$2000=W130)*(水保局全省災害資料!$U$2:$U$2000=X130), 0, 1), 0)), "")</f>
        <v>47.5</v>
      </c>
      <c r="AU130">
        <f>IFERROR(INDEX(水保局全省災害資料!$U$2:$U$2000, MATCH(1, INDEX((水保局全省災害資料!$T$2:$T$2000=W130)*(水保局全省災害資料!$U$2:$U$2000=X130), 0, 1), 0)), "")</f>
        <v>1252.9000000000001</v>
      </c>
      <c r="AV130" t="str">
        <f>IFERROR(INDEX(水保局全省災害資料!$B$2:$B$2000, MATCH(1, INDEX((水保局全省災害資料!$T$2:$T$2000=W130)*(水保局全省災害資料!$U$2:$U$2000=X130), 0, 1), 0)), "")</f>
        <v>土石流</v>
      </c>
    </row>
    <row r="131" spans="1:48">
      <c r="A131" t="s">
        <v>617</v>
      </c>
      <c r="B131" t="s">
        <v>618</v>
      </c>
      <c r="C131" t="s">
        <v>619</v>
      </c>
      <c r="D131" t="s">
        <v>623</v>
      </c>
      <c r="F131" t="s">
        <v>48</v>
      </c>
      <c r="G131">
        <v>110</v>
      </c>
      <c r="H131" t="s">
        <v>624</v>
      </c>
      <c r="I131" s="13">
        <v>44481.5625</v>
      </c>
      <c r="M131" t="str">
        <f>IF(SUMIFS(水保局全省災害資料!$X:$X, 水保局全省災害資料!$E:$E, A131, 水保局全省災害資料!$F:$F, B131, 水保局全省災害資料!$N:$N, H131)=0, "", SUMIFS(水保局全省災害資料!$X:$X, 水保局全省災害資料!$E:$E, A131, 水保局全省災害資料!$F:$F, B131, 水保局全省災害資料!$N:$N, H131))</f>
        <v/>
      </c>
      <c r="P131" t="s">
        <v>51</v>
      </c>
      <c r="S131">
        <v>450</v>
      </c>
      <c r="T131" t="s">
        <v>625</v>
      </c>
      <c r="U131" t="s">
        <v>626</v>
      </c>
      <c r="V131">
        <v>415.5</v>
      </c>
      <c r="W131">
        <v>11</v>
      </c>
      <c r="X131">
        <v>283.5</v>
      </c>
      <c r="Y131">
        <v>24</v>
      </c>
      <c r="Z131">
        <v>61</v>
      </c>
      <c r="AA131">
        <v>268.5</v>
      </c>
      <c r="AB131">
        <v>398.5</v>
      </c>
      <c r="AC131" t="s">
        <v>63</v>
      </c>
      <c r="AD131" t="s">
        <v>63</v>
      </c>
      <c r="AE131" t="s">
        <v>63</v>
      </c>
      <c r="AF131" t="s">
        <v>55</v>
      </c>
      <c r="AG131" t="s">
        <v>56</v>
      </c>
      <c r="AH131">
        <v>86.5</v>
      </c>
      <c r="AI131">
        <v>175</v>
      </c>
      <c r="AJ131">
        <v>233.5</v>
      </c>
      <c r="AK131">
        <v>296.5</v>
      </c>
      <c r="AL131">
        <v>398.5</v>
      </c>
      <c r="AM131" t="s">
        <v>56</v>
      </c>
      <c r="AN131" t="s">
        <v>56</v>
      </c>
      <c r="AO131" t="s">
        <v>56</v>
      </c>
      <c r="AP131" t="s">
        <v>55</v>
      </c>
      <c r="AQ131" t="s">
        <v>56</v>
      </c>
      <c r="AR131">
        <v>29</v>
      </c>
      <c r="AS131" t="str">
        <f>IFERROR(INDEX(水保局全省災害資料!$X$2:$X$2000, MATCH(1, INDEX((水保局全省災害資料!$T$2:$T$2000=W131)*(水保局全省災害資料!$U$2:$U$2000=X131), 0, 1), 0)), "")</f>
        <v>-</v>
      </c>
      <c r="AT131">
        <f>IFERROR(INDEX(水保局全省災害資料!$T$2:$T$2000, MATCH(1, INDEX((水保局全省災害資料!$T$2:$T$2000=W131)*(水保局全省災害資料!$U$2:$U$2000=X131), 0, 1), 0)), "")</f>
        <v>11</v>
      </c>
      <c r="AU131">
        <f>IFERROR(INDEX(水保局全省災害資料!$U$2:$U$2000, MATCH(1, INDEX((水保局全省災害資料!$T$2:$T$2000=W131)*(水保局全省災害資料!$U$2:$U$2000=X131), 0, 1), 0)), "")</f>
        <v>283.5</v>
      </c>
      <c r="AV131" t="str">
        <f>IFERROR(INDEX(水保局全省災害資料!$B$2:$B$2000, MATCH(1, INDEX((水保局全省災害資料!$T$2:$T$2000=W131)*(水保局全省災害資料!$U$2:$U$2000=X131), 0, 1), 0)), "")</f>
        <v>土石流</v>
      </c>
    </row>
    <row r="132" spans="1:48">
      <c r="A132" t="s">
        <v>617</v>
      </c>
      <c r="B132" t="s">
        <v>618</v>
      </c>
      <c r="C132" t="s">
        <v>627</v>
      </c>
      <c r="D132" t="s">
        <v>628</v>
      </c>
      <c r="F132" t="s">
        <v>48</v>
      </c>
      <c r="G132">
        <v>98</v>
      </c>
      <c r="H132" t="s">
        <v>153</v>
      </c>
      <c r="I132" s="13">
        <v>40033.625</v>
      </c>
      <c r="M132" t="str">
        <f>IF(SUMIFS(水保局全省災害資料!$X:$X, 水保局全省災害資料!$E:$E, A132, 水保局全省災害資料!$F:$F, B132, 水保局全省災害資料!$N:$N, H132)=0, "", SUMIFS(水保局全省災害資料!$X:$X, 水保局全省災害資料!$E:$E, A132, 水保局全省災害資料!$F:$F, B132, 水保局全省災害資料!$N:$N, H132))</f>
        <v/>
      </c>
      <c r="P132" t="s">
        <v>51</v>
      </c>
      <c r="S132">
        <v>550</v>
      </c>
      <c r="T132" t="s">
        <v>621</v>
      </c>
      <c r="U132" t="s">
        <v>622</v>
      </c>
      <c r="V132">
        <v>1592</v>
      </c>
      <c r="W132">
        <v>20</v>
      </c>
      <c r="X132">
        <v>951</v>
      </c>
      <c r="Y132">
        <v>81.5</v>
      </c>
      <c r="Z132">
        <v>234.5</v>
      </c>
      <c r="AA132">
        <v>570.5</v>
      </c>
      <c r="AB132">
        <v>828.5</v>
      </c>
      <c r="AC132" t="s">
        <v>63</v>
      </c>
      <c r="AD132" t="s">
        <v>63</v>
      </c>
      <c r="AE132" t="s">
        <v>55</v>
      </c>
      <c r="AF132" t="s">
        <v>64</v>
      </c>
      <c r="AG132" t="s">
        <v>64</v>
      </c>
      <c r="AH132">
        <v>71.5</v>
      </c>
      <c r="AI132">
        <v>184.5</v>
      </c>
      <c r="AJ132">
        <v>357.5</v>
      </c>
      <c r="AK132">
        <v>626.5</v>
      </c>
      <c r="AL132">
        <v>1016</v>
      </c>
      <c r="AM132" t="s">
        <v>54</v>
      </c>
      <c r="AN132" t="s">
        <v>56</v>
      </c>
      <c r="AO132" t="s">
        <v>87</v>
      </c>
      <c r="AP132" t="s">
        <v>64</v>
      </c>
      <c r="AQ132" t="s">
        <v>64</v>
      </c>
      <c r="AR132">
        <v>33</v>
      </c>
      <c r="AS132">
        <f>IFERROR(INDEX(水保局全省災害資料!$X$2:$X$2000, MATCH(1, INDEX((水保局全省災害資料!$T$2:$T$2000=W132)*(水保局全省災害資料!$U$2:$U$2000=X132), 0, 1), 0)), "")</f>
        <v>0</v>
      </c>
      <c r="AT132">
        <f>IFERROR(INDEX(水保局全省災害資料!$T$2:$T$2000, MATCH(1, INDEX((水保局全省災害資料!$T$2:$T$2000=W132)*(水保局全省災害資料!$U$2:$U$2000=X132), 0, 1), 0)), "")</f>
        <v>20</v>
      </c>
      <c r="AU132">
        <f>IFERROR(INDEX(水保局全省災害資料!$U$2:$U$2000, MATCH(1, INDEX((水保局全省災害資料!$T$2:$T$2000=W132)*(水保局全省災害資料!$U$2:$U$2000=X132), 0, 1), 0)), "")</f>
        <v>951</v>
      </c>
      <c r="AV132" t="str">
        <f>IFERROR(INDEX(水保局全省災害資料!$B$2:$B$2000, MATCH(1, INDEX((水保局全省災害資料!$T$2:$T$2000=W132)*(水保局全省災害資料!$U$2:$U$2000=X132), 0, 1), 0)), "")</f>
        <v>土石流</v>
      </c>
    </row>
    <row r="133" spans="1:48">
      <c r="A133" t="s">
        <v>617</v>
      </c>
      <c r="B133" t="s">
        <v>618</v>
      </c>
      <c r="C133" t="s">
        <v>627</v>
      </c>
      <c r="D133" t="s">
        <v>629</v>
      </c>
      <c r="F133" t="s">
        <v>127</v>
      </c>
      <c r="G133">
        <v>98</v>
      </c>
      <c r="H133" t="s">
        <v>153</v>
      </c>
      <c r="I133" s="13">
        <v>40033.625</v>
      </c>
      <c r="M133" t="str">
        <f>IF(SUMIFS(水保局全省災害資料!$X:$X, 水保局全省災害資料!$E:$E, A133, 水保局全省災害資料!$F:$F, B133, 水保局全省災害資料!$N:$N, H133)=0, "", SUMIFS(水保局全省災害資料!$X:$X, 水保局全省災害資料!$E:$E, A133, 水保局全省災害資料!$F:$F, B133, 水保局全省災害資料!$N:$N, H133))</f>
        <v/>
      </c>
      <c r="P133" t="s">
        <v>51</v>
      </c>
      <c r="S133">
        <v>550</v>
      </c>
      <c r="T133" t="s">
        <v>621</v>
      </c>
      <c r="U133" t="s">
        <v>622</v>
      </c>
      <c r="V133">
        <v>1592</v>
      </c>
      <c r="W133">
        <v>20</v>
      </c>
      <c r="X133">
        <v>951</v>
      </c>
      <c r="Y133">
        <v>81.5</v>
      </c>
      <c r="Z133">
        <v>234.5</v>
      </c>
      <c r="AA133">
        <v>570.5</v>
      </c>
      <c r="AB133">
        <v>828.5</v>
      </c>
      <c r="AC133" t="s">
        <v>63</v>
      </c>
      <c r="AD133" t="s">
        <v>63</v>
      </c>
      <c r="AE133" t="s">
        <v>55</v>
      </c>
      <c r="AF133" t="s">
        <v>64</v>
      </c>
      <c r="AG133" t="s">
        <v>64</v>
      </c>
      <c r="AH133">
        <v>71.5</v>
      </c>
      <c r="AI133">
        <v>184.5</v>
      </c>
      <c r="AJ133">
        <v>357.5</v>
      </c>
      <c r="AK133">
        <v>626.5</v>
      </c>
      <c r="AL133">
        <v>1016</v>
      </c>
      <c r="AM133" t="s">
        <v>54</v>
      </c>
      <c r="AN133" t="s">
        <v>56</v>
      </c>
      <c r="AO133" t="s">
        <v>87</v>
      </c>
      <c r="AP133" t="s">
        <v>64</v>
      </c>
      <c r="AQ133" t="s">
        <v>64</v>
      </c>
      <c r="AR133">
        <v>33</v>
      </c>
      <c r="AS133">
        <f>IFERROR(INDEX(水保局全省災害資料!$X$2:$X$2000, MATCH(1, INDEX((水保局全省災害資料!$T$2:$T$2000=W133)*(水保局全省災害資料!$U$2:$U$2000=X133), 0, 1), 0)), "")</f>
        <v>0</v>
      </c>
      <c r="AT133">
        <f>IFERROR(INDEX(水保局全省災害資料!$T$2:$T$2000, MATCH(1, INDEX((水保局全省災害資料!$T$2:$T$2000=W133)*(水保局全省災害資料!$U$2:$U$2000=X133), 0, 1), 0)), "")</f>
        <v>20</v>
      </c>
      <c r="AU133">
        <f>IFERROR(INDEX(水保局全省災害資料!$U$2:$U$2000, MATCH(1, INDEX((水保局全省災害資料!$T$2:$T$2000=W133)*(水保局全省災害資料!$U$2:$U$2000=X133), 0, 1), 0)), "")</f>
        <v>951</v>
      </c>
      <c r="AV133" t="str">
        <f>IFERROR(INDEX(水保局全省災害資料!$B$2:$B$2000, MATCH(1, INDEX((水保局全省災害資料!$T$2:$T$2000=W133)*(水保局全省災害資料!$U$2:$U$2000=X133), 0, 1), 0)), "")</f>
        <v>土石流</v>
      </c>
    </row>
    <row r="134" spans="1:48">
      <c r="A134" t="s">
        <v>617</v>
      </c>
      <c r="B134" t="s">
        <v>630</v>
      </c>
      <c r="C134" t="s">
        <v>631</v>
      </c>
      <c r="D134" t="s">
        <v>632</v>
      </c>
      <c r="F134" t="s">
        <v>48</v>
      </c>
      <c r="G134">
        <v>113</v>
      </c>
      <c r="H134" t="s">
        <v>633</v>
      </c>
      <c r="I134" s="13">
        <v>45569.041666666664</v>
      </c>
      <c r="M134" t="str">
        <f>IF(SUMIFS(水保局全省災害資料!$X:$X, 水保局全省災害資料!$E:$E, A134, 水保局全省災害資料!$F:$F, B134, 水保局全省災害資料!$N:$N, H134)=0, "", SUMIFS(水保局全省災害資料!$X:$X, 水保局全省災害資料!$E:$E, A134, 水保局全省災害資料!$F:$F, B134, 水保局全省災害資料!$N:$N, H134))</f>
        <v/>
      </c>
      <c r="P134" t="s">
        <v>51</v>
      </c>
      <c r="S134">
        <v>450</v>
      </c>
      <c r="T134" t="s">
        <v>634</v>
      </c>
      <c r="U134" t="s">
        <v>635</v>
      </c>
      <c r="V134">
        <v>866</v>
      </c>
      <c r="W134">
        <v>78</v>
      </c>
      <c r="X134">
        <v>619</v>
      </c>
      <c r="Y134">
        <v>117</v>
      </c>
      <c r="Z134">
        <v>183.5</v>
      </c>
      <c r="AA134">
        <v>247</v>
      </c>
      <c r="AB134">
        <v>364.5</v>
      </c>
      <c r="AC134" t="s">
        <v>55</v>
      </c>
      <c r="AD134" t="s">
        <v>54</v>
      </c>
      <c r="AE134" t="s">
        <v>55</v>
      </c>
      <c r="AF134" t="s">
        <v>55</v>
      </c>
      <c r="AG134" t="s">
        <v>56</v>
      </c>
      <c r="AH134">
        <v>78</v>
      </c>
      <c r="AI134">
        <v>135</v>
      </c>
      <c r="AJ134">
        <v>209</v>
      </c>
      <c r="AK134">
        <v>265</v>
      </c>
      <c r="AL134">
        <v>405.5</v>
      </c>
      <c r="AM134" t="s">
        <v>55</v>
      </c>
      <c r="AN134" t="s">
        <v>55</v>
      </c>
      <c r="AO134" t="s">
        <v>56</v>
      </c>
      <c r="AP134" t="s">
        <v>55</v>
      </c>
      <c r="AQ134" t="s">
        <v>57</v>
      </c>
      <c r="AR134">
        <v>88</v>
      </c>
      <c r="AS134">
        <f>IFERROR(INDEX(水保局全省災害資料!$X$2:$X$2000, MATCH(1, INDEX((水保局全省災害資料!$T$2:$T$2000=W134)*(水保局全省災害資料!$U$2:$U$2000=X134), 0, 1), 0)), "")</f>
        <v>0</v>
      </c>
      <c r="AT134">
        <f>IFERROR(INDEX(水保局全省災害資料!$T$2:$T$2000, MATCH(1, INDEX((水保局全省災害資料!$T$2:$T$2000=W134)*(水保局全省災害資料!$U$2:$U$2000=X134), 0, 1), 0)), "")</f>
        <v>78</v>
      </c>
      <c r="AU134">
        <f>IFERROR(INDEX(水保局全省災害資料!$U$2:$U$2000, MATCH(1, INDEX((水保局全省災害資料!$T$2:$T$2000=W134)*(水保局全省災害資料!$U$2:$U$2000=X134), 0, 1), 0)), "")</f>
        <v>619</v>
      </c>
      <c r="AV134" t="str">
        <f>IFERROR(INDEX(水保局全省災害資料!$B$2:$B$2000, MATCH(1, INDEX((水保局全省災害資料!$T$2:$T$2000=W134)*(水保局全省災害資料!$U$2:$U$2000=X134), 0, 1), 0)), "")</f>
        <v>土石流</v>
      </c>
    </row>
    <row r="135" spans="1:48">
      <c r="A135" t="s">
        <v>617</v>
      </c>
      <c r="B135" t="s">
        <v>630</v>
      </c>
      <c r="C135" t="s">
        <v>636</v>
      </c>
      <c r="D135" t="s">
        <v>637</v>
      </c>
      <c r="F135" t="s">
        <v>48</v>
      </c>
      <c r="G135">
        <v>98</v>
      </c>
      <c r="H135" t="s">
        <v>153</v>
      </c>
      <c r="I135" s="13">
        <v>40034.166666666664</v>
      </c>
      <c r="M135" t="str">
        <f>IF(SUMIFS(水保局全省災害資料!$X:$X, 水保局全省災害資料!$E:$E, A135, 水保局全省災害資料!$F:$F, B135, 水保局全省災害資料!$N:$N, H135)=0, "", SUMIFS(水保局全省災害資料!$X:$X, 水保局全省災害資料!$E:$E, A135, 水保局全省災害資料!$F:$F, B135, 水保局全省災害資料!$N:$N, H135))</f>
        <v/>
      </c>
      <c r="P135" t="s">
        <v>51</v>
      </c>
      <c r="S135">
        <v>550</v>
      </c>
      <c r="T135" t="s">
        <v>638</v>
      </c>
      <c r="U135" t="s">
        <v>639</v>
      </c>
      <c r="V135">
        <v>746.5</v>
      </c>
      <c r="W135">
        <v>12</v>
      </c>
      <c r="X135">
        <v>664.4</v>
      </c>
      <c r="Y135">
        <v>68.5</v>
      </c>
      <c r="Z135">
        <v>148</v>
      </c>
      <c r="AA135">
        <v>232</v>
      </c>
      <c r="AB135">
        <v>543.5</v>
      </c>
      <c r="AC135" t="s">
        <v>63</v>
      </c>
      <c r="AD135" t="s">
        <v>63</v>
      </c>
      <c r="AE135" t="s">
        <v>63</v>
      </c>
      <c r="AF135" t="s">
        <v>63</v>
      </c>
      <c r="AG135" t="s">
        <v>57</v>
      </c>
      <c r="AH135">
        <v>47</v>
      </c>
      <c r="AI135">
        <v>126.5</v>
      </c>
      <c r="AJ135">
        <v>216</v>
      </c>
      <c r="AK135">
        <v>349</v>
      </c>
      <c r="AL135">
        <v>566.5</v>
      </c>
      <c r="AM135" t="s">
        <v>63</v>
      </c>
      <c r="AN135" t="s">
        <v>63</v>
      </c>
      <c r="AO135" t="s">
        <v>54</v>
      </c>
      <c r="AP135" t="s">
        <v>56</v>
      </c>
      <c r="AQ135" t="s">
        <v>57</v>
      </c>
      <c r="AR135">
        <v>38</v>
      </c>
      <c r="AS135">
        <f>IFERROR(INDEX(水保局全省災害資料!$X$2:$X$2000, MATCH(1, INDEX((水保局全省災害資料!$T$2:$T$2000=W135)*(水保局全省災害資料!$U$2:$U$2000=X135), 0, 1), 0)), "")</f>
        <v>0</v>
      </c>
      <c r="AT135">
        <f>IFERROR(INDEX(水保局全省災害資料!$T$2:$T$2000, MATCH(1, INDEX((水保局全省災害資料!$T$2:$T$2000=W135)*(水保局全省災害資料!$U$2:$U$2000=X135), 0, 1), 0)), "")</f>
        <v>12</v>
      </c>
      <c r="AU135">
        <f>IFERROR(INDEX(水保局全省災害資料!$U$2:$U$2000, MATCH(1, INDEX((水保局全省災害資料!$T$2:$T$2000=W135)*(水保局全省災害資料!$U$2:$U$2000=X135), 0, 1), 0)), "")</f>
        <v>664.4</v>
      </c>
      <c r="AV135" t="str">
        <f>IFERROR(INDEX(水保局全省災害資料!$B$2:$B$2000, MATCH(1, INDEX((水保局全省災害資料!$T$2:$T$2000=W135)*(水保局全省災害資料!$U$2:$U$2000=X135), 0, 1), 0)), "")</f>
        <v>土石流</v>
      </c>
    </row>
    <row r="136" spans="1:48">
      <c r="A136" t="s">
        <v>617</v>
      </c>
      <c r="B136" t="s">
        <v>630</v>
      </c>
      <c r="C136" t="s">
        <v>640</v>
      </c>
      <c r="D136" t="s">
        <v>641</v>
      </c>
      <c r="F136" t="s">
        <v>48</v>
      </c>
      <c r="G136">
        <v>113</v>
      </c>
      <c r="H136" t="s">
        <v>633</v>
      </c>
      <c r="I136" s="13">
        <v>45569.083333333336</v>
      </c>
      <c r="M136" t="str">
        <f>IF(SUMIFS(水保局全省災害資料!$X:$X, 水保局全省災害資料!$E:$E, A136, 水保局全省災害資料!$F:$F, B136, 水保局全省災害資料!$N:$N, H136)=0, "", SUMIFS(水保局全省災害資料!$X:$X, 水保局全省災害資料!$E:$E, A136, 水保局全省災害資料!$F:$F, B136, 水保局全省災害資料!$N:$N, H136))</f>
        <v/>
      </c>
      <c r="P136" t="s">
        <v>51</v>
      </c>
      <c r="S136">
        <v>450</v>
      </c>
      <c r="T136" t="s">
        <v>642</v>
      </c>
      <c r="U136" t="s">
        <v>643</v>
      </c>
      <c r="V136">
        <v>824</v>
      </c>
      <c r="W136">
        <v>57</v>
      </c>
      <c r="X136">
        <v>552.6</v>
      </c>
      <c r="Y136">
        <v>99.5</v>
      </c>
      <c r="Z136">
        <v>136.5</v>
      </c>
      <c r="AA136">
        <v>189</v>
      </c>
      <c r="AB136">
        <v>287</v>
      </c>
      <c r="AC136" t="s">
        <v>63</v>
      </c>
      <c r="AD136" t="s">
        <v>63</v>
      </c>
      <c r="AE136" t="s">
        <v>63</v>
      </c>
      <c r="AF136" t="s">
        <v>63</v>
      </c>
      <c r="AG136" t="s">
        <v>63</v>
      </c>
      <c r="AH136">
        <v>57</v>
      </c>
      <c r="AI136">
        <v>108</v>
      </c>
      <c r="AJ136">
        <v>145</v>
      </c>
      <c r="AK136">
        <v>209.5</v>
      </c>
      <c r="AL136">
        <v>319</v>
      </c>
      <c r="AM136" t="s">
        <v>63</v>
      </c>
      <c r="AN136" t="s">
        <v>63</v>
      </c>
      <c r="AO136" t="s">
        <v>63</v>
      </c>
      <c r="AP136" t="s">
        <v>63</v>
      </c>
      <c r="AQ136" t="s">
        <v>54</v>
      </c>
      <c r="AR136">
        <v>89</v>
      </c>
      <c r="AS136">
        <f>IFERROR(INDEX(水保局全省災害資料!$X$2:$X$2000, MATCH(1, INDEX((水保局全省災害資料!$T$2:$T$2000=W136)*(水保局全省災害資料!$U$2:$U$2000=X136), 0, 1), 0)), "")</f>
        <v>0</v>
      </c>
      <c r="AT136">
        <f>IFERROR(INDEX(水保局全省災害資料!$T$2:$T$2000, MATCH(1, INDEX((水保局全省災害資料!$T$2:$T$2000=W136)*(水保局全省災害資料!$U$2:$U$2000=X136), 0, 1), 0)), "")</f>
        <v>57</v>
      </c>
      <c r="AU136">
        <f>IFERROR(INDEX(水保局全省災害資料!$U$2:$U$2000, MATCH(1, INDEX((水保局全省災害資料!$T$2:$T$2000=W136)*(水保局全省災害資料!$U$2:$U$2000=X136), 0, 1), 0)), "")</f>
        <v>552.6</v>
      </c>
      <c r="AV136" t="str">
        <f>IFERROR(INDEX(水保局全省災害資料!$B$2:$B$2000, MATCH(1, INDEX((水保局全省災害資料!$T$2:$T$2000=W136)*(水保局全省災害資料!$U$2:$U$2000=X136), 0, 1), 0)), "")</f>
        <v>土石流</v>
      </c>
    </row>
    <row r="137" spans="1:48">
      <c r="A137" t="s">
        <v>617</v>
      </c>
      <c r="B137" t="s">
        <v>630</v>
      </c>
      <c r="C137" t="s">
        <v>640</v>
      </c>
      <c r="D137" t="s">
        <v>644</v>
      </c>
      <c r="F137" t="s">
        <v>48</v>
      </c>
      <c r="G137">
        <v>113</v>
      </c>
      <c r="H137" t="s">
        <v>633</v>
      </c>
      <c r="I137" s="13">
        <v>45569.083333333336</v>
      </c>
      <c r="M137" t="str">
        <f>IF(SUMIFS(水保局全省災害資料!$X:$X, 水保局全省災害資料!$E:$E, A137, 水保局全省災害資料!$F:$F, B137, 水保局全省災害資料!$N:$N, H137)=0, "", SUMIFS(水保局全省災害資料!$X:$X, 水保局全省災害資料!$E:$E, A137, 水保局全省災害資料!$F:$F, B137, 水保局全省災害資料!$N:$N, H137))</f>
        <v/>
      </c>
      <c r="P137" t="s">
        <v>51</v>
      </c>
      <c r="S137">
        <v>450</v>
      </c>
      <c r="T137" t="s">
        <v>642</v>
      </c>
      <c r="U137" t="s">
        <v>643</v>
      </c>
      <c r="V137">
        <v>824</v>
      </c>
      <c r="W137">
        <v>57</v>
      </c>
      <c r="X137">
        <v>552.6</v>
      </c>
      <c r="Y137">
        <v>99.5</v>
      </c>
      <c r="Z137">
        <v>136.5</v>
      </c>
      <c r="AA137">
        <v>189</v>
      </c>
      <c r="AB137">
        <v>287</v>
      </c>
      <c r="AC137" t="s">
        <v>63</v>
      </c>
      <c r="AD137" t="s">
        <v>63</v>
      </c>
      <c r="AE137" t="s">
        <v>63</v>
      </c>
      <c r="AF137" t="s">
        <v>63</v>
      </c>
      <c r="AG137" t="s">
        <v>63</v>
      </c>
      <c r="AH137">
        <v>57</v>
      </c>
      <c r="AI137">
        <v>108</v>
      </c>
      <c r="AJ137">
        <v>145</v>
      </c>
      <c r="AK137">
        <v>209.5</v>
      </c>
      <c r="AL137">
        <v>319</v>
      </c>
      <c r="AM137" t="s">
        <v>63</v>
      </c>
      <c r="AN137" t="s">
        <v>63</v>
      </c>
      <c r="AO137" t="s">
        <v>63</v>
      </c>
      <c r="AP137" t="s">
        <v>63</v>
      </c>
      <c r="AQ137" t="s">
        <v>54</v>
      </c>
      <c r="AR137">
        <v>89</v>
      </c>
      <c r="AS137">
        <f>IFERROR(INDEX(水保局全省災害資料!$X$2:$X$2000, MATCH(1, INDEX((水保局全省災害資料!$T$2:$T$2000=W137)*(水保局全省災害資料!$U$2:$U$2000=X137), 0, 1), 0)), "")</f>
        <v>0</v>
      </c>
      <c r="AT137">
        <f>IFERROR(INDEX(水保局全省災害資料!$T$2:$T$2000, MATCH(1, INDEX((水保局全省災害資料!$T$2:$T$2000=W137)*(水保局全省災害資料!$U$2:$U$2000=X137), 0, 1), 0)), "")</f>
        <v>57</v>
      </c>
      <c r="AU137">
        <f>IFERROR(INDEX(水保局全省災害資料!$U$2:$U$2000, MATCH(1, INDEX((水保局全省災害資料!$T$2:$T$2000=W137)*(水保局全省災害資料!$U$2:$U$2000=X137), 0, 1), 0)), "")</f>
        <v>552.6</v>
      </c>
      <c r="AV137" t="str">
        <f>IFERROR(INDEX(水保局全省災害資料!$B$2:$B$2000, MATCH(1, INDEX((水保局全省災害資料!$T$2:$T$2000=W137)*(水保局全省災害資料!$U$2:$U$2000=X137), 0, 1), 0)), "")</f>
        <v>土石流</v>
      </c>
    </row>
    <row r="138" spans="1:48">
      <c r="A138" t="s">
        <v>617</v>
      </c>
      <c r="B138" t="s">
        <v>645</v>
      </c>
      <c r="C138" t="s">
        <v>646</v>
      </c>
      <c r="D138" t="s">
        <v>647</v>
      </c>
      <c r="F138" t="s">
        <v>127</v>
      </c>
      <c r="G138">
        <v>103</v>
      </c>
      <c r="H138" t="s">
        <v>648</v>
      </c>
      <c r="I138" s="13">
        <v>41903.458333333336</v>
      </c>
      <c r="M138" t="str">
        <f>IF(SUMIFS(水保局全省災害資料!$X:$X, 水保局全省災害資料!$E:$E, A138, 水保局全省災害資料!$F:$F, B138, 水保局全省災害資料!$N:$N, H138)=0, "", SUMIFS(水保局全省災害資料!$X:$X, 水保局全省災害資料!$E:$E, A138, 水保局全省災害資料!$F:$F, B138, 水保局全省災害資料!$N:$N, H138))</f>
        <v/>
      </c>
      <c r="P138" t="s">
        <v>51</v>
      </c>
      <c r="S138">
        <v>500</v>
      </c>
      <c r="T138" t="s">
        <v>649</v>
      </c>
      <c r="U138" t="s">
        <v>650</v>
      </c>
      <c r="V138">
        <v>560.5</v>
      </c>
      <c r="W138">
        <v>35</v>
      </c>
      <c r="X138">
        <v>280</v>
      </c>
      <c r="Y138">
        <v>145.5</v>
      </c>
      <c r="Z138">
        <v>273</v>
      </c>
      <c r="AA138">
        <v>421.5</v>
      </c>
      <c r="AB138">
        <v>498.5</v>
      </c>
      <c r="AC138" t="s">
        <v>63</v>
      </c>
      <c r="AD138" t="s">
        <v>54</v>
      </c>
      <c r="AE138" t="s">
        <v>57</v>
      </c>
      <c r="AF138" t="s">
        <v>58</v>
      </c>
      <c r="AG138" t="s">
        <v>56</v>
      </c>
      <c r="AH138">
        <v>70</v>
      </c>
      <c r="AI138">
        <v>178</v>
      </c>
      <c r="AJ138">
        <v>273</v>
      </c>
      <c r="AK138">
        <v>421.5</v>
      </c>
      <c r="AL138">
        <v>523</v>
      </c>
      <c r="AM138" t="s">
        <v>54</v>
      </c>
      <c r="AN138" t="s">
        <v>56</v>
      </c>
      <c r="AO138" t="s">
        <v>57</v>
      </c>
      <c r="AP138" t="s">
        <v>58</v>
      </c>
      <c r="AQ138" t="s">
        <v>57</v>
      </c>
      <c r="AR138">
        <v>34</v>
      </c>
      <c r="AS138">
        <f>IFERROR(INDEX(水保局全省災害資料!$X$2:$X$2000, MATCH(1, INDEX((水保局全省災害資料!$T$2:$T$2000=W138)*(水保局全省災害資料!$U$2:$U$2000=X138), 0, 1), 0)), "")</f>
        <v>0</v>
      </c>
      <c r="AT138">
        <f>IFERROR(INDEX(水保局全省災害資料!$T$2:$T$2000, MATCH(1, INDEX((水保局全省災害資料!$T$2:$T$2000=W138)*(水保局全省災害資料!$U$2:$U$2000=X138), 0, 1), 0)), "")</f>
        <v>35</v>
      </c>
      <c r="AU138">
        <f>IFERROR(INDEX(水保局全省災害資料!$U$2:$U$2000, MATCH(1, INDEX((水保局全省災害資料!$T$2:$T$2000=W138)*(水保局全省災害資料!$U$2:$U$2000=X138), 0, 1), 0)), "")</f>
        <v>280</v>
      </c>
      <c r="AV138" t="str">
        <f>IFERROR(INDEX(水保局全省災害資料!$B$2:$B$2000, MATCH(1, INDEX((水保局全省災害資料!$T$2:$T$2000=W138)*(水保局全省災害資料!$U$2:$U$2000=X138), 0, 1), 0)), "")</f>
        <v>土石流</v>
      </c>
    </row>
    <row r="139" spans="1:48">
      <c r="A139" t="s">
        <v>617</v>
      </c>
      <c r="B139" t="s">
        <v>645</v>
      </c>
      <c r="C139" t="s">
        <v>646</v>
      </c>
      <c r="D139" t="s">
        <v>651</v>
      </c>
      <c r="F139" t="s">
        <v>48</v>
      </c>
      <c r="G139">
        <v>113</v>
      </c>
      <c r="H139" t="s">
        <v>633</v>
      </c>
      <c r="I139" s="13">
        <v>45568.583333333336</v>
      </c>
      <c r="M139">
        <f>IF(SUMIFS(水保局全省災害資料!$X:$X, 水保局全省災害資料!$E:$E, A139, 水保局全省災害資料!$F:$F, B139, 水保局全省災害資料!$N:$N, H139)=0, "", SUMIFS(水保局全省災害資料!$X:$X, 水保局全省災害資料!$E:$E, A139, 水保局全省災害資料!$F:$F, B139, 水保局全省災害資料!$N:$N, H139))</f>
        <v>4.4000000000000004</v>
      </c>
      <c r="P139" t="s">
        <v>51</v>
      </c>
      <c r="S139">
        <v>500</v>
      </c>
      <c r="T139" t="s">
        <v>652</v>
      </c>
      <c r="U139" t="s">
        <v>653</v>
      </c>
      <c r="V139">
        <v>787.5</v>
      </c>
      <c r="W139">
        <v>16.5</v>
      </c>
      <c r="X139">
        <v>593.6</v>
      </c>
      <c r="Y139">
        <v>42.5</v>
      </c>
      <c r="Z139">
        <v>96</v>
      </c>
      <c r="AA139">
        <v>155</v>
      </c>
      <c r="AB139">
        <v>290</v>
      </c>
      <c r="AC139" t="s">
        <v>63</v>
      </c>
      <c r="AD139" t="s">
        <v>63</v>
      </c>
      <c r="AE139" t="s">
        <v>63</v>
      </c>
      <c r="AF139" t="s">
        <v>63</v>
      </c>
      <c r="AG139" t="s">
        <v>55</v>
      </c>
      <c r="AH139">
        <v>44</v>
      </c>
      <c r="AI139">
        <v>76.5</v>
      </c>
      <c r="AJ139">
        <v>139.5</v>
      </c>
      <c r="AK139">
        <v>226.5</v>
      </c>
      <c r="AL139">
        <v>364</v>
      </c>
      <c r="AM139" t="s">
        <v>63</v>
      </c>
      <c r="AN139" t="s">
        <v>63</v>
      </c>
      <c r="AO139" t="s">
        <v>54</v>
      </c>
      <c r="AP139" t="s">
        <v>55</v>
      </c>
      <c r="AQ139" t="s">
        <v>57</v>
      </c>
      <c r="AR139">
        <v>43</v>
      </c>
      <c r="AS139">
        <f>IFERROR(INDEX(水保局全省災害資料!$X$2:$X$2000, MATCH(1, INDEX((水保局全省災害資料!$T$2:$T$2000=W139)*(水保局全省災害資料!$U$2:$U$2000=X139), 0, 1), 0)), "")</f>
        <v>4.4000000000000004</v>
      </c>
      <c r="AT139">
        <f>IFERROR(INDEX(水保局全省災害資料!$T$2:$T$2000, MATCH(1, INDEX((水保局全省災害資料!$T$2:$T$2000=W139)*(水保局全省災害資料!$U$2:$U$2000=X139), 0, 1), 0)), "")</f>
        <v>16.5</v>
      </c>
      <c r="AU139">
        <f>IFERROR(INDEX(水保局全省災害資料!$U$2:$U$2000, MATCH(1, INDEX((水保局全省災害資料!$T$2:$T$2000=W139)*(水保局全省災害資料!$U$2:$U$2000=X139), 0, 1), 0)), "")</f>
        <v>593.6</v>
      </c>
      <c r="AV139" t="str">
        <f>IFERROR(INDEX(水保局全省災害資料!$B$2:$B$2000, MATCH(1, INDEX((水保局全省災害資料!$T$2:$T$2000=W139)*(水保局全省災害資料!$U$2:$U$2000=X139), 0, 1), 0)), "")</f>
        <v>土石流 、崩塌 (山崩)</v>
      </c>
    </row>
    <row r="140" spans="1:48">
      <c r="A140" t="s">
        <v>617</v>
      </c>
      <c r="B140" t="s">
        <v>654</v>
      </c>
      <c r="C140" t="s">
        <v>655</v>
      </c>
      <c r="D140" t="s">
        <v>656</v>
      </c>
      <c r="E140" t="s">
        <v>655</v>
      </c>
      <c r="F140" t="s">
        <v>127</v>
      </c>
      <c r="G140">
        <v>105</v>
      </c>
      <c r="H140" t="s">
        <v>657</v>
      </c>
      <c r="I140" s="13">
        <v>42628.166666666664</v>
      </c>
      <c r="M140" t="str">
        <f>IF(SUMIFS(水保局全省災害資料!$X:$X, 水保局全省災害資料!$E:$E, A140, 水保局全省災害資料!$F:$F, B140, 水保局全省災害資料!$N:$N, H140)=0, "", SUMIFS(水保局全省災害資料!$X:$X, 水保局全省災害資料!$E:$E, A140, 水保局全省災害資料!$F:$F, B140, 水保局全省災害資料!$N:$N, H140))</f>
        <v/>
      </c>
      <c r="P140" t="s">
        <v>51</v>
      </c>
      <c r="S140">
        <v>500</v>
      </c>
      <c r="T140" t="s">
        <v>658</v>
      </c>
      <c r="U140" t="s">
        <v>659</v>
      </c>
      <c r="V140">
        <v>569.5</v>
      </c>
      <c r="W140">
        <v>19</v>
      </c>
      <c r="X140">
        <v>513.5</v>
      </c>
      <c r="Y140">
        <v>83</v>
      </c>
      <c r="Z140">
        <v>147</v>
      </c>
      <c r="AA140">
        <v>214</v>
      </c>
      <c r="AB140">
        <v>495</v>
      </c>
      <c r="AC140" t="s">
        <v>63</v>
      </c>
      <c r="AD140" t="s">
        <v>63</v>
      </c>
      <c r="AE140" t="s">
        <v>63</v>
      </c>
      <c r="AF140" t="s">
        <v>54</v>
      </c>
      <c r="AG140" t="s">
        <v>87</v>
      </c>
      <c r="AH140">
        <v>63</v>
      </c>
      <c r="AI140">
        <v>136</v>
      </c>
      <c r="AJ140">
        <v>207.5</v>
      </c>
      <c r="AK140">
        <v>290</v>
      </c>
      <c r="AL140">
        <v>495</v>
      </c>
      <c r="AM140" t="s">
        <v>54</v>
      </c>
      <c r="AN140" t="s">
        <v>55</v>
      </c>
      <c r="AO140" t="s">
        <v>56</v>
      </c>
      <c r="AP140" t="s">
        <v>56</v>
      </c>
      <c r="AQ140" t="s">
        <v>87</v>
      </c>
      <c r="AR140">
        <v>28</v>
      </c>
      <c r="AS140">
        <f>IFERROR(INDEX(水保局全省災害資料!$X$2:$X$2000, MATCH(1, INDEX((水保局全省災害資料!$T$2:$T$2000=W140)*(水保局全省災害資料!$U$2:$U$2000=X140), 0, 1), 0)), "")</f>
        <v>0</v>
      </c>
      <c r="AT140">
        <f>IFERROR(INDEX(水保局全省災害資料!$T$2:$T$2000, MATCH(1, INDEX((水保局全省災害資料!$T$2:$T$2000=W140)*(水保局全省災害資料!$U$2:$U$2000=X140), 0, 1), 0)), "")</f>
        <v>19</v>
      </c>
      <c r="AU140">
        <f>IFERROR(INDEX(水保局全省災害資料!$U$2:$U$2000, MATCH(1, INDEX((水保局全省災害資料!$T$2:$T$2000=W140)*(水保局全省災害資料!$U$2:$U$2000=X140), 0, 1), 0)), "")</f>
        <v>513.5</v>
      </c>
      <c r="AV140" t="str">
        <f>IFERROR(INDEX(水保局全省災害資料!$B$2:$B$2000, MATCH(1, INDEX((水保局全省災害資料!$T$2:$T$2000=W140)*(水保局全省災害資料!$U$2:$U$2000=X140), 0, 1), 0)), "")</f>
        <v>崩塌、土石流</v>
      </c>
    </row>
    <row r="141" spans="1:48">
      <c r="A141" t="s">
        <v>272</v>
      </c>
      <c r="B141" t="s">
        <v>660</v>
      </c>
      <c r="C141" t="s">
        <v>661</v>
      </c>
      <c r="D141" t="s">
        <v>662</v>
      </c>
      <c r="F141" t="s">
        <v>127</v>
      </c>
      <c r="G141">
        <v>110</v>
      </c>
      <c r="H141" t="s">
        <v>663</v>
      </c>
      <c r="I141" s="13">
        <v>44482.291666666664</v>
      </c>
      <c r="M141">
        <f>IF(SUMIFS(水保局全省災害資料!$X:$X, 水保局全省災害資料!$E:$E, A141, 水保局全省災害資料!$F:$F, B141, 水保局全省災害資料!$N:$N, H141)=0, "", SUMIFS(水保局全省災害資料!$X:$X, 水保局全省災害資料!$E:$E, A141, 水保局全省災害資料!$F:$F, B141, 水保局全省災害資料!$N:$N, H141))</f>
        <v>0.02</v>
      </c>
      <c r="P141" t="s">
        <v>51</v>
      </c>
      <c r="S141">
        <v>600</v>
      </c>
      <c r="T141" t="s">
        <v>664</v>
      </c>
      <c r="U141" t="s">
        <v>665</v>
      </c>
      <c r="V141">
        <v>1032.5</v>
      </c>
      <c r="W141">
        <v>76</v>
      </c>
      <c r="X141">
        <v>462.7</v>
      </c>
      <c r="Y141">
        <v>162</v>
      </c>
      <c r="Z141">
        <v>212</v>
      </c>
      <c r="AA141">
        <v>282</v>
      </c>
      <c r="AB141">
        <v>417.5</v>
      </c>
      <c r="AC141" t="s">
        <v>55</v>
      </c>
      <c r="AD141" t="s">
        <v>55</v>
      </c>
      <c r="AE141" t="s">
        <v>55</v>
      </c>
      <c r="AF141" t="s">
        <v>55</v>
      </c>
      <c r="AG141" t="s">
        <v>56</v>
      </c>
      <c r="AH141">
        <v>76</v>
      </c>
      <c r="AI141">
        <v>162</v>
      </c>
      <c r="AJ141">
        <v>212</v>
      </c>
      <c r="AK141">
        <v>301.5</v>
      </c>
      <c r="AL141">
        <v>446</v>
      </c>
      <c r="AM141" t="s">
        <v>55</v>
      </c>
      <c r="AN141" t="s">
        <v>55</v>
      </c>
      <c r="AO141" t="s">
        <v>55</v>
      </c>
      <c r="AP141" t="s">
        <v>55</v>
      </c>
      <c r="AQ141" t="s">
        <v>56</v>
      </c>
      <c r="AR141">
        <v>55</v>
      </c>
      <c r="AS141" t="str">
        <f>IFERROR(INDEX(水保局全省災害資料!$X$2:$X$2000, MATCH(1, INDEX((水保局全省災害資料!$T$2:$T$2000=W141)*(水保局全省災害資料!$U$2:$U$2000=X141), 0, 1), 0)), "")</f>
        <v>-</v>
      </c>
      <c r="AT141">
        <f>IFERROR(INDEX(水保局全省災害資料!$T$2:$T$2000, MATCH(1, INDEX((水保局全省災害資料!$T$2:$T$2000=W141)*(水保局全省災害資料!$U$2:$U$2000=X141), 0, 1), 0)), "")</f>
        <v>76</v>
      </c>
      <c r="AU141">
        <f>IFERROR(INDEX(水保局全省災害資料!$U$2:$U$2000, MATCH(1, INDEX((水保局全省災害資料!$T$2:$T$2000=W141)*(水保局全省災害資料!$U$2:$U$2000=X141), 0, 1), 0)), "")</f>
        <v>462.7</v>
      </c>
      <c r="AV141" t="str">
        <f>IFERROR(INDEX(水保局全省災害資料!$B$2:$B$2000, MATCH(1, INDEX((水保局全省災害資料!$T$2:$T$2000=W141)*(水保局全省災害資料!$U$2:$U$2000=X141), 0, 1), 0)), "")</f>
        <v>土石流</v>
      </c>
    </row>
    <row r="142" spans="1:48">
      <c r="A142" t="s">
        <v>272</v>
      </c>
      <c r="B142" t="s">
        <v>660</v>
      </c>
      <c r="C142" t="s">
        <v>661</v>
      </c>
      <c r="D142" t="s">
        <v>666</v>
      </c>
      <c r="F142" t="s">
        <v>127</v>
      </c>
      <c r="G142">
        <v>110</v>
      </c>
      <c r="H142" t="s">
        <v>663</v>
      </c>
      <c r="I142" s="13">
        <v>44482.291666666664</v>
      </c>
      <c r="M142">
        <f>IF(SUMIFS(水保局全省災害資料!$X:$X, 水保局全省災害資料!$E:$E, A142, 水保局全省災害資料!$F:$F, B142, 水保局全省災害資料!$N:$N, H142)=0, "", SUMIFS(水保局全省災害資料!$X:$X, 水保局全省災害資料!$E:$E, A142, 水保局全省災害資料!$F:$F, B142, 水保局全省災害資料!$N:$N, H142))</f>
        <v>0.02</v>
      </c>
      <c r="P142" t="s">
        <v>51</v>
      </c>
      <c r="S142">
        <v>600</v>
      </c>
      <c r="T142" t="s">
        <v>664</v>
      </c>
      <c r="U142" t="s">
        <v>665</v>
      </c>
      <c r="V142">
        <v>1032.5</v>
      </c>
      <c r="W142">
        <v>76</v>
      </c>
      <c r="X142">
        <v>462.7</v>
      </c>
      <c r="Y142">
        <v>162</v>
      </c>
      <c r="Z142">
        <v>212</v>
      </c>
      <c r="AA142">
        <v>282</v>
      </c>
      <c r="AB142">
        <v>417.5</v>
      </c>
      <c r="AC142" t="s">
        <v>55</v>
      </c>
      <c r="AD142" t="s">
        <v>55</v>
      </c>
      <c r="AE142" t="s">
        <v>55</v>
      </c>
      <c r="AF142" t="s">
        <v>55</v>
      </c>
      <c r="AG142" t="s">
        <v>56</v>
      </c>
      <c r="AH142">
        <v>76</v>
      </c>
      <c r="AI142">
        <v>162</v>
      </c>
      <c r="AJ142">
        <v>212</v>
      </c>
      <c r="AK142">
        <v>301.5</v>
      </c>
      <c r="AL142">
        <v>446</v>
      </c>
      <c r="AM142" t="s">
        <v>55</v>
      </c>
      <c r="AN142" t="s">
        <v>55</v>
      </c>
      <c r="AO142" t="s">
        <v>55</v>
      </c>
      <c r="AP142" t="s">
        <v>55</v>
      </c>
      <c r="AQ142" t="s">
        <v>56</v>
      </c>
      <c r="AR142">
        <v>55</v>
      </c>
      <c r="AS142" t="str">
        <f>IFERROR(INDEX(水保局全省災害資料!$X$2:$X$2000, MATCH(1, INDEX((水保局全省災害資料!$T$2:$T$2000=W142)*(水保局全省災害資料!$U$2:$U$2000=X142), 0, 1), 0)), "")</f>
        <v>-</v>
      </c>
      <c r="AT142">
        <f>IFERROR(INDEX(水保局全省災害資料!$T$2:$T$2000, MATCH(1, INDEX((水保局全省災害資料!$T$2:$T$2000=W142)*(水保局全省災害資料!$U$2:$U$2000=X142), 0, 1), 0)), "")</f>
        <v>76</v>
      </c>
      <c r="AU142">
        <f>IFERROR(INDEX(水保局全省災害資料!$U$2:$U$2000, MATCH(1, INDEX((水保局全省災害資料!$T$2:$T$2000=W142)*(水保局全省災害資料!$U$2:$U$2000=X142), 0, 1), 0)), "")</f>
        <v>462.7</v>
      </c>
      <c r="AV142" t="str">
        <f>IFERROR(INDEX(水保局全省災害資料!$B$2:$B$2000, MATCH(1, INDEX((水保局全省災害資料!$T$2:$T$2000=W142)*(水保局全省災害資料!$U$2:$U$2000=X142), 0, 1), 0)), "")</f>
        <v>土石流</v>
      </c>
    </row>
    <row r="143" spans="1:48">
      <c r="A143" t="s">
        <v>272</v>
      </c>
      <c r="B143" t="s">
        <v>273</v>
      </c>
      <c r="C143" t="s">
        <v>681</v>
      </c>
      <c r="D143" t="s">
        <v>682</v>
      </c>
      <c r="F143" t="s">
        <v>48</v>
      </c>
      <c r="G143">
        <v>113</v>
      </c>
      <c r="H143" t="s">
        <v>683</v>
      </c>
      <c r="I143" s="13">
        <v>45464.6875</v>
      </c>
      <c r="M143" t="str">
        <f>IF(SUMIFS(水保局全省災害資料!$X:$X, 水保局全省災害資料!$E:$E, A143, 水保局全省災害資料!$F:$F, B143, 水保局全省災害資料!$N:$N, H143)=0, "", SUMIFS(水保局全省災害資料!$X:$X, 水保局全省災害資料!$E:$E, A143, 水保局全省災害資料!$F:$F, B143, 水保局全省災害資料!$N:$N, H143))</f>
        <v/>
      </c>
      <c r="P143" t="s">
        <v>60</v>
      </c>
      <c r="S143">
        <v>300</v>
      </c>
      <c r="T143" t="s">
        <v>684</v>
      </c>
      <c r="U143" t="s">
        <v>685</v>
      </c>
      <c r="V143">
        <v>5</v>
      </c>
      <c r="W143">
        <v>5</v>
      </c>
      <c r="X143">
        <v>48.2</v>
      </c>
      <c r="Y143">
        <v>5</v>
      </c>
      <c r="Z143">
        <v>5</v>
      </c>
      <c r="AA143">
        <v>5</v>
      </c>
      <c r="AB143">
        <v>42.5</v>
      </c>
      <c r="AC143" t="s">
        <v>63</v>
      </c>
      <c r="AD143" t="s">
        <v>63</v>
      </c>
      <c r="AE143" t="s">
        <v>63</v>
      </c>
      <c r="AF143" t="s">
        <v>63</v>
      </c>
      <c r="AG143" t="s">
        <v>63</v>
      </c>
      <c r="AH143">
        <v>5</v>
      </c>
      <c r="AI143">
        <v>5</v>
      </c>
      <c r="AJ143">
        <v>5</v>
      </c>
      <c r="AK143">
        <v>5</v>
      </c>
      <c r="AL143">
        <v>5</v>
      </c>
      <c r="AM143" t="s">
        <v>63</v>
      </c>
      <c r="AN143" t="s">
        <v>63</v>
      </c>
      <c r="AO143" t="s">
        <v>63</v>
      </c>
      <c r="AP143" t="s">
        <v>63</v>
      </c>
      <c r="AQ143" t="s">
        <v>63</v>
      </c>
      <c r="AR143">
        <v>1</v>
      </c>
      <c r="AS143" t="str">
        <f>IFERROR(INDEX(水保局全省災害資料!$X$2:$X$2000, MATCH(1, INDEX((水保局全省災害資料!$T$2:$T$2000=W143)*(水保局全省災害資料!$U$2:$U$2000=X143), 0, 1), 0)), "")</f>
        <v/>
      </c>
      <c r="AT143" t="str">
        <f>IFERROR(INDEX(水保局全省災害資料!$T$2:$T$2000, MATCH(1, INDEX((水保局全省災害資料!$T$2:$T$2000=W143)*(水保局全省災害資料!$U$2:$U$2000=X143), 0, 1), 0)), "")</f>
        <v/>
      </c>
      <c r="AU143" t="str">
        <f>IFERROR(INDEX(水保局全省災害資料!$U$2:$U$2000, MATCH(1, INDEX((水保局全省災害資料!$T$2:$T$2000=W143)*(水保局全省災害資料!$U$2:$U$2000=X143), 0, 1), 0)), "")</f>
        <v/>
      </c>
      <c r="AV143" t="str">
        <f>IFERROR(INDEX(水保局全省災害資料!$B$2:$B$2000, MATCH(1, INDEX((水保局全省災害資料!$T$2:$T$2000=W143)*(水保局全省災害資料!$U$2:$U$2000=X143), 0, 1), 0)), "")</f>
        <v/>
      </c>
    </row>
    <row r="144" spans="1:48">
      <c r="A144" t="s">
        <v>272</v>
      </c>
      <c r="B144" t="s">
        <v>273</v>
      </c>
      <c r="C144" t="s">
        <v>274</v>
      </c>
      <c r="D144" t="s">
        <v>686</v>
      </c>
      <c r="F144" t="s">
        <v>48</v>
      </c>
      <c r="G144">
        <v>113</v>
      </c>
      <c r="H144" t="s">
        <v>683</v>
      </c>
      <c r="I144" s="13">
        <v>45472.875</v>
      </c>
      <c r="M144" t="str">
        <f>IF(SUMIFS(水保局全省災害資料!$X:$X, 水保局全省災害資料!$E:$E, A144, 水保局全省災害資料!$F:$F, B144, 水保局全省災害資料!$N:$N, H144)=0, "", SUMIFS(水保局全省災害資料!$X:$X, 水保局全省災害資料!$E:$E, A144, 水保局全省災害資料!$F:$F, B144, 水保局全省災害資料!$N:$N, H144))</f>
        <v/>
      </c>
      <c r="P144" t="s">
        <v>60</v>
      </c>
      <c r="S144">
        <v>300</v>
      </c>
      <c r="T144" t="s">
        <v>276</v>
      </c>
      <c r="U144" t="s">
        <v>277</v>
      </c>
      <c r="V144">
        <v>175</v>
      </c>
      <c r="W144">
        <v>15.5</v>
      </c>
      <c r="X144">
        <v>221.2</v>
      </c>
      <c r="Y144">
        <v>116.5</v>
      </c>
      <c r="Z144">
        <v>179</v>
      </c>
      <c r="AA144">
        <v>179</v>
      </c>
      <c r="AB144">
        <v>180.5</v>
      </c>
      <c r="AC144" t="s">
        <v>63</v>
      </c>
      <c r="AD144" t="s">
        <v>63</v>
      </c>
      <c r="AE144" t="s">
        <v>63</v>
      </c>
      <c r="AF144" t="s">
        <v>63</v>
      </c>
      <c r="AG144" t="s">
        <v>63</v>
      </c>
      <c r="AH144">
        <v>58.5</v>
      </c>
      <c r="AI144">
        <v>159.5</v>
      </c>
      <c r="AJ144">
        <v>175</v>
      </c>
      <c r="AK144">
        <v>175</v>
      </c>
      <c r="AL144">
        <v>175</v>
      </c>
      <c r="AM144" t="s">
        <v>63</v>
      </c>
      <c r="AN144" t="s">
        <v>55</v>
      </c>
      <c r="AO144" t="s">
        <v>63</v>
      </c>
      <c r="AP144" t="s">
        <v>63</v>
      </c>
      <c r="AQ144" t="s">
        <v>63</v>
      </c>
      <c r="AR144">
        <v>4</v>
      </c>
      <c r="AS144">
        <f>IFERROR(INDEX(水保局全省災害資料!$X$2:$X$2000, MATCH(1, INDEX((水保局全省災害資料!$T$2:$T$2000=W144)*(水保局全省災害資料!$U$2:$U$2000=X144), 0, 1), 0)), "")</f>
        <v>0</v>
      </c>
      <c r="AT144">
        <f>IFERROR(INDEX(水保局全省災害資料!$T$2:$T$2000, MATCH(1, INDEX((水保局全省災害資料!$T$2:$T$2000=W144)*(水保局全省災害資料!$U$2:$U$2000=X144), 0, 1), 0)), "")</f>
        <v>15.5</v>
      </c>
      <c r="AU144">
        <f>IFERROR(INDEX(水保局全省災害資料!$U$2:$U$2000, MATCH(1, INDEX((水保局全省災害資料!$T$2:$T$2000=W144)*(水保局全省災害資料!$U$2:$U$2000=X144), 0, 1), 0)), "")</f>
        <v>221.2</v>
      </c>
      <c r="AV144" t="str">
        <f>IFERROR(INDEX(水保局全省災害資料!$B$2:$B$2000, MATCH(1, INDEX((水保局全省災害資料!$T$2:$T$2000=W144)*(水保局全省災害資料!$U$2:$U$2000=X144), 0, 1), 0)), "")</f>
        <v>土石流</v>
      </c>
    </row>
    <row r="145" spans="1:48">
      <c r="A145" t="s">
        <v>272</v>
      </c>
      <c r="B145" t="s">
        <v>273</v>
      </c>
      <c r="C145" t="s">
        <v>274</v>
      </c>
      <c r="D145" t="s">
        <v>687</v>
      </c>
      <c r="E145" t="s">
        <v>688</v>
      </c>
      <c r="F145" t="s">
        <v>48</v>
      </c>
      <c r="G145">
        <v>101</v>
      </c>
      <c r="H145" t="s">
        <v>49</v>
      </c>
      <c r="I145" s="13">
        <v>41123.166666666664</v>
      </c>
      <c r="M145" t="str">
        <f>IF(SUMIFS(水保局全省災害資料!$X:$X, 水保局全省災害資料!$E:$E, A145, 水保局全省災害資料!$F:$F, B145, 水保局全省災害資料!$N:$N, H145)=0, "", SUMIFS(水保局全省災害資料!$X:$X, 水保局全省災害資料!$E:$E, A145, 水保局全省災害資料!$F:$F, B145, 水保局全省災害資料!$N:$N, H145))</f>
        <v/>
      </c>
      <c r="P145" t="s">
        <v>51</v>
      </c>
      <c r="S145">
        <v>450</v>
      </c>
      <c r="T145" t="s">
        <v>276</v>
      </c>
      <c r="U145" t="s">
        <v>277</v>
      </c>
      <c r="V145">
        <v>696.5</v>
      </c>
      <c r="W145">
        <v>120</v>
      </c>
      <c r="X145">
        <v>717.6</v>
      </c>
      <c r="Y145">
        <v>298</v>
      </c>
      <c r="Z145">
        <v>381.5</v>
      </c>
      <c r="AA145">
        <v>455</v>
      </c>
      <c r="AB145">
        <v>547</v>
      </c>
      <c r="AC145" t="s">
        <v>87</v>
      </c>
      <c r="AD145" t="s">
        <v>64</v>
      </c>
      <c r="AE145" t="s">
        <v>64</v>
      </c>
      <c r="AF145" t="s">
        <v>58</v>
      </c>
      <c r="AG145" t="s">
        <v>57</v>
      </c>
      <c r="AH145">
        <v>120</v>
      </c>
      <c r="AI145">
        <v>317</v>
      </c>
      <c r="AJ145">
        <v>466</v>
      </c>
      <c r="AK145">
        <v>561.5</v>
      </c>
      <c r="AL145">
        <v>670</v>
      </c>
      <c r="AM145" t="s">
        <v>87</v>
      </c>
      <c r="AN145" t="s">
        <v>64</v>
      </c>
      <c r="AO145" t="s">
        <v>64</v>
      </c>
      <c r="AP145" t="s">
        <v>64</v>
      </c>
      <c r="AQ145" t="s">
        <v>87</v>
      </c>
      <c r="AR145">
        <v>23</v>
      </c>
      <c r="AS145">
        <f>IFERROR(INDEX(水保局全省災害資料!$X$2:$X$2000, MATCH(1, INDEX((水保局全省災害資料!$T$2:$T$2000=W145)*(水保局全省災害資料!$U$2:$U$2000=X145), 0, 1), 0)), "")</f>
        <v>0</v>
      </c>
      <c r="AT145">
        <f>IFERROR(INDEX(水保局全省災害資料!$T$2:$T$2000, MATCH(1, INDEX((水保局全省災害資料!$T$2:$T$2000=W145)*(水保局全省災害資料!$U$2:$U$2000=X145), 0, 1), 0)), "")</f>
        <v>120</v>
      </c>
      <c r="AU145">
        <f>IFERROR(INDEX(水保局全省災害資料!$U$2:$U$2000, MATCH(1, INDEX((水保局全省災害資料!$T$2:$T$2000=W145)*(水保局全省災害資料!$U$2:$U$2000=X145), 0, 1), 0)), "")</f>
        <v>717.6</v>
      </c>
      <c r="AV145" t="str">
        <f>IFERROR(INDEX(水保局全省災害資料!$B$2:$B$2000, MATCH(1, INDEX((水保局全省災害資料!$T$2:$T$2000=W145)*(水保局全省災害資料!$U$2:$U$2000=X145), 0, 1), 0)), "")</f>
        <v>土石流</v>
      </c>
    </row>
    <row r="146" spans="1:48">
      <c r="A146" t="s">
        <v>272</v>
      </c>
      <c r="B146" t="s">
        <v>273</v>
      </c>
      <c r="C146" t="s">
        <v>274</v>
      </c>
      <c r="D146" t="s">
        <v>689</v>
      </c>
      <c r="E146" t="s">
        <v>688</v>
      </c>
      <c r="F146" t="s">
        <v>48</v>
      </c>
      <c r="G146">
        <v>101</v>
      </c>
      <c r="H146" t="s">
        <v>49</v>
      </c>
      <c r="I146" s="13">
        <v>41123.166666666664</v>
      </c>
      <c r="M146" t="str">
        <f>IF(SUMIFS(水保局全省災害資料!$X:$X, 水保局全省災害資料!$E:$E, A146, 水保局全省災害資料!$F:$F, B146, 水保局全省災害資料!$N:$N, H146)=0, "", SUMIFS(水保局全省災害資料!$X:$X, 水保局全省災害資料!$E:$E, A146, 水保局全省災害資料!$F:$F, B146, 水保局全省災害資料!$N:$N, H146))</f>
        <v/>
      </c>
      <c r="P146" t="s">
        <v>51</v>
      </c>
      <c r="S146">
        <v>450</v>
      </c>
      <c r="T146" t="s">
        <v>276</v>
      </c>
      <c r="U146" t="s">
        <v>277</v>
      </c>
      <c r="V146">
        <v>696.5</v>
      </c>
      <c r="W146">
        <v>120</v>
      </c>
      <c r="X146">
        <v>717.6</v>
      </c>
      <c r="Y146">
        <v>298</v>
      </c>
      <c r="Z146">
        <v>381.5</v>
      </c>
      <c r="AA146">
        <v>455</v>
      </c>
      <c r="AB146">
        <v>547</v>
      </c>
      <c r="AC146" t="s">
        <v>87</v>
      </c>
      <c r="AD146" t="s">
        <v>64</v>
      </c>
      <c r="AE146" t="s">
        <v>64</v>
      </c>
      <c r="AF146" t="s">
        <v>58</v>
      </c>
      <c r="AG146" t="s">
        <v>57</v>
      </c>
      <c r="AH146">
        <v>120</v>
      </c>
      <c r="AI146">
        <v>317</v>
      </c>
      <c r="AJ146">
        <v>466</v>
      </c>
      <c r="AK146">
        <v>561.5</v>
      </c>
      <c r="AL146">
        <v>670</v>
      </c>
      <c r="AM146" t="s">
        <v>87</v>
      </c>
      <c r="AN146" t="s">
        <v>64</v>
      </c>
      <c r="AO146" t="s">
        <v>64</v>
      </c>
      <c r="AP146" t="s">
        <v>64</v>
      </c>
      <c r="AQ146" t="s">
        <v>87</v>
      </c>
      <c r="AR146">
        <v>23</v>
      </c>
      <c r="AS146">
        <f>IFERROR(INDEX(水保局全省災害資料!$X$2:$X$2000, MATCH(1, INDEX((水保局全省災害資料!$T$2:$T$2000=W146)*(水保局全省災害資料!$U$2:$U$2000=X146), 0, 1), 0)), "")</f>
        <v>0</v>
      </c>
      <c r="AT146">
        <f>IFERROR(INDEX(水保局全省災害資料!$T$2:$T$2000, MATCH(1, INDEX((水保局全省災害資料!$T$2:$T$2000=W146)*(水保局全省災害資料!$U$2:$U$2000=X146), 0, 1), 0)), "")</f>
        <v>120</v>
      </c>
      <c r="AU146">
        <f>IFERROR(INDEX(水保局全省災害資料!$U$2:$U$2000, MATCH(1, INDEX((水保局全省災害資料!$T$2:$T$2000=W146)*(水保局全省災害資料!$U$2:$U$2000=X146), 0, 1), 0)), "")</f>
        <v>717.6</v>
      </c>
      <c r="AV146" t="str">
        <f>IFERROR(INDEX(水保局全省災害資料!$B$2:$B$2000, MATCH(1, INDEX((水保局全省災害資料!$T$2:$T$2000=W146)*(水保局全省災害資料!$U$2:$U$2000=X146), 0, 1), 0)), "")</f>
        <v>土石流</v>
      </c>
    </row>
    <row r="147" spans="1:48">
      <c r="A147" t="s">
        <v>272</v>
      </c>
      <c r="B147" t="s">
        <v>273</v>
      </c>
      <c r="C147">
        <v>-2146826246</v>
      </c>
      <c r="D147" t="s">
        <v>690</v>
      </c>
      <c r="F147" t="s">
        <v>127</v>
      </c>
      <c r="G147">
        <v>113</v>
      </c>
      <c r="H147" t="s">
        <v>59</v>
      </c>
      <c r="I147" s="13">
        <v>45498.291666666664</v>
      </c>
      <c r="M147" t="str">
        <f>IF(SUMIFS(水保局全省災害資料!$X:$X, 水保局全省災害資料!$E:$E, A147, 水保局全省災害資料!$F:$F, B147, 水保局全省災害資料!$N:$N, H147)=0, "", SUMIFS(水保局全省災害資料!$X:$X, 水保局全省災害資料!$E:$E, A147, 水保局全省災害資料!$F:$F, B147, 水保局全省災害資料!$N:$N, H147))</f>
        <v/>
      </c>
      <c r="P147" t="s">
        <v>60</v>
      </c>
      <c r="S147">
        <v>300</v>
      </c>
      <c r="T147" t="s">
        <v>691</v>
      </c>
      <c r="U147" t="s">
        <v>692</v>
      </c>
      <c r="V147">
        <v>477.5</v>
      </c>
      <c r="W147">
        <v>27</v>
      </c>
      <c r="X147">
        <v>403.7</v>
      </c>
      <c r="Y147">
        <v>47</v>
      </c>
      <c r="Z147">
        <v>72</v>
      </c>
      <c r="AA147">
        <v>137.5</v>
      </c>
      <c r="AB147">
        <v>375.5</v>
      </c>
      <c r="AC147" t="s">
        <v>63</v>
      </c>
      <c r="AD147" t="s">
        <v>63</v>
      </c>
      <c r="AE147" t="s">
        <v>63</v>
      </c>
      <c r="AF147" t="s">
        <v>63</v>
      </c>
      <c r="AG147" t="s">
        <v>54</v>
      </c>
      <c r="AH147">
        <v>79.5</v>
      </c>
      <c r="AI147">
        <v>99.5</v>
      </c>
      <c r="AJ147">
        <v>172</v>
      </c>
      <c r="AK147">
        <v>215</v>
      </c>
      <c r="AL147">
        <v>409.5</v>
      </c>
      <c r="AM147" t="s">
        <v>55</v>
      </c>
      <c r="AN147" t="s">
        <v>63</v>
      </c>
      <c r="AO147" t="s">
        <v>63</v>
      </c>
      <c r="AP147" t="s">
        <v>63</v>
      </c>
      <c r="AQ147" t="s">
        <v>55</v>
      </c>
      <c r="AR147">
        <v>36</v>
      </c>
      <c r="AS147">
        <f>IFERROR(INDEX(水保局全省災害資料!$X$2:$X$2000, MATCH(1, INDEX((水保局全省災害資料!$T$2:$T$2000=W147)*(水保局全省災害資料!$U$2:$U$2000=X147), 0, 1), 0)), "")</f>
        <v>0</v>
      </c>
      <c r="AT147">
        <f>IFERROR(INDEX(水保局全省災害資料!$T$2:$T$2000, MATCH(1, INDEX((水保局全省災害資料!$T$2:$T$2000=W147)*(水保局全省災害資料!$U$2:$U$2000=X147), 0, 1), 0)), "")</f>
        <v>27</v>
      </c>
      <c r="AU147">
        <f>IFERROR(INDEX(水保局全省災害資料!$U$2:$U$2000, MATCH(1, INDEX((水保局全省災害資料!$T$2:$T$2000=W147)*(水保局全省災害資料!$U$2:$U$2000=X147), 0, 1), 0)), "")</f>
        <v>403.7</v>
      </c>
      <c r="AV147" t="str">
        <f>IFERROR(INDEX(水保局全省災害資料!$B$2:$B$2000, MATCH(1, INDEX((水保局全省災害資料!$T$2:$T$2000=W147)*(水保局全省災害資料!$U$2:$U$2000=X147), 0, 1), 0)), "")</f>
        <v xml:space="preserve">土石流 </v>
      </c>
    </row>
    <row r="148" spans="1:48">
      <c r="A148" t="s">
        <v>272</v>
      </c>
      <c r="B148" t="s">
        <v>693</v>
      </c>
      <c r="C148" t="s">
        <v>694</v>
      </c>
      <c r="D148" t="s">
        <v>695</v>
      </c>
      <c r="F148" t="s">
        <v>48</v>
      </c>
      <c r="G148">
        <v>100</v>
      </c>
      <c r="H148" t="s">
        <v>300</v>
      </c>
      <c r="I148" s="13">
        <v>40818.791666666664</v>
      </c>
      <c r="M148" t="str">
        <f>IF(SUMIFS(水保局全省災害資料!$X:$X, 水保局全省災害資料!$E:$E, A148, 水保局全省災害資料!$F:$F, B148, 水保局全省災害資料!$N:$N, H148)=0, "", SUMIFS(水保局全省災害資料!$X:$X, 水保局全省災害資料!$E:$E, A148, 水保局全省災害資料!$F:$F, B148, 水保局全省災害資料!$N:$N, H148))</f>
        <v/>
      </c>
      <c r="P148" t="s">
        <v>51</v>
      </c>
      <c r="S148">
        <v>600</v>
      </c>
      <c r="T148" t="s">
        <v>696</v>
      </c>
      <c r="U148" t="s">
        <v>697</v>
      </c>
      <c r="V148">
        <v>480.5</v>
      </c>
      <c r="W148">
        <v>29</v>
      </c>
      <c r="X148">
        <v>323.5</v>
      </c>
      <c r="Y148">
        <v>74.5</v>
      </c>
      <c r="Z148">
        <v>112</v>
      </c>
      <c r="AA148">
        <v>202</v>
      </c>
      <c r="AB148">
        <v>284.5</v>
      </c>
      <c r="AC148" t="s">
        <v>63</v>
      </c>
      <c r="AD148" t="s">
        <v>63</v>
      </c>
      <c r="AE148" t="s">
        <v>63</v>
      </c>
      <c r="AF148" t="s">
        <v>63</v>
      </c>
      <c r="AG148" t="s">
        <v>63</v>
      </c>
      <c r="AH148">
        <v>27</v>
      </c>
      <c r="AI148">
        <v>74.5</v>
      </c>
      <c r="AJ148">
        <v>127</v>
      </c>
      <c r="AK148">
        <v>211.5</v>
      </c>
      <c r="AL148">
        <v>387</v>
      </c>
      <c r="AM148" t="s">
        <v>63</v>
      </c>
      <c r="AN148" t="s">
        <v>63</v>
      </c>
      <c r="AO148" t="s">
        <v>63</v>
      </c>
      <c r="AP148" t="s">
        <v>63</v>
      </c>
      <c r="AQ148" t="s">
        <v>55</v>
      </c>
      <c r="AR148">
        <v>23</v>
      </c>
      <c r="AS148">
        <f>IFERROR(INDEX(水保局全省災害資料!$X$2:$X$2000, MATCH(1, INDEX((水保局全省災害資料!$T$2:$T$2000=W148)*(水保局全省災害資料!$U$2:$U$2000=X148), 0, 1), 0)), "")</f>
        <v>0</v>
      </c>
      <c r="AT148">
        <f>IFERROR(INDEX(水保局全省災害資料!$T$2:$T$2000, MATCH(1, INDEX((水保局全省災害資料!$T$2:$T$2000=W148)*(水保局全省災害資料!$U$2:$U$2000=X148), 0, 1), 0)), "")</f>
        <v>29</v>
      </c>
      <c r="AU148">
        <f>IFERROR(INDEX(水保局全省災害資料!$U$2:$U$2000, MATCH(1, INDEX((水保局全省災害資料!$T$2:$T$2000=W148)*(水保局全省災害資料!$U$2:$U$2000=X148), 0, 1), 0)), "")</f>
        <v>323.5</v>
      </c>
      <c r="AV148" t="str">
        <f>IFERROR(INDEX(水保局全省災害資料!$B$2:$B$2000, MATCH(1, INDEX((水保局全省災害資料!$T$2:$T$2000=W148)*(水保局全省災害資料!$U$2:$U$2000=X148), 0, 1), 0)), "")</f>
        <v>崩塌、土石流</v>
      </c>
    </row>
    <row r="149" spans="1:48">
      <c r="A149" t="s">
        <v>272</v>
      </c>
      <c r="B149" t="s">
        <v>284</v>
      </c>
      <c r="C149" t="s">
        <v>698</v>
      </c>
      <c r="D149" t="s">
        <v>699</v>
      </c>
      <c r="E149" t="s">
        <v>700</v>
      </c>
      <c r="F149" t="s">
        <v>127</v>
      </c>
      <c r="G149">
        <v>103</v>
      </c>
      <c r="H149" t="s">
        <v>701</v>
      </c>
      <c r="I149" s="13">
        <v>41843</v>
      </c>
      <c r="M149" t="str">
        <f>IF(SUMIFS(水保局全省災害資料!$X:$X, 水保局全省災害資料!$E:$E, A149, 水保局全省災害資料!$F:$F, B149, 水保局全省災害資料!$N:$N, H149)=0, "", SUMIFS(水保局全省災害資料!$X:$X, 水保局全省災害資料!$E:$E, A149, 水保局全省災害資料!$F:$F, B149, 水保局全省災害資料!$N:$N, H149))</f>
        <v/>
      </c>
      <c r="P149" t="s">
        <v>51</v>
      </c>
      <c r="S149">
        <v>500</v>
      </c>
      <c r="T149" t="s">
        <v>702</v>
      </c>
      <c r="U149" t="s">
        <v>703</v>
      </c>
      <c r="V149">
        <v>519</v>
      </c>
      <c r="W149">
        <v>74.5</v>
      </c>
      <c r="X149">
        <v>543.5</v>
      </c>
      <c r="Y149">
        <v>173.5</v>
      </c>
      <c r="Z149">
        <v>274.5</v>
      </c>
      <c r="AA149">
        <v>321.5</v>
      </c>
      <c r="AB149">
        <v>327.5</v>
      </c>
      <c r="AC149" t="s">
        <v>55</v>
      </c>
      <c r="AD149" t="s">
        <v>56</v>
      </c>
      <c r="AE149" t="s">
        <v>57</v>
      </c>
      <c r="AF149" t="s">
        <v>56</v>
      </c>
      <c r="AG149" t="s">
        <v>54</v>
      </c>
      <c r="AH149">
        <v>74.5</v>
      </c>
      <c r="AI149">
        <v>194</v>
      </c>
      <c r="AJ149">
        <v>320</v>
      </c>
      <c r="AK149">
        <v>459</v>
      </c>
      <c r="AL149">
        <v>519</v>
      </c>
      <c r="AM149" t="s">
        <v>55</v>
      </c>
      <c r="AN149" t="s">
        <v>57</v>
      </c>
      <c r="AO149" t="s">
        <v>87</v>
      </c>
      <c r="AP149" t="s">
        <v>64</v>
      </c>
      <c r="AQ149" t="s">
        <v>58</v>
      </c>
      <c r="AR149">
        <v>14</v>
      </c>
      <c r="AS149">
        <f>IFERROR(INDEX(水保局全省災害資料!$X$2:$X$2000, MATCH(1, INDEX((水保局全省災害資料!$T$2:$T$2000=W149)*(水保局全省災害資料!$U$2:$U$2000=X149), 0, 1), 0)), "")</f>
        <v>0</v>
      </c>
      <c r="AT149">
        <f>IFERROR(INDEX(水保局全省災害資料!$T$2:$T$2000, MATCH(1, INDEX((水保局全省災害資料!$T$2:$T$2000=W149)*(水保局全省災害資料!$U$2:$U$2000=X149), 0, 1), 0)), "")</f>
        <v>74.5</v>
      </c>
      <c r="AU149">
        <f>IFERROR(INDEX(水保局全省災害資料!$U$2:$U$2000, MATCH(1, INDEX((水保局全省災害資料!$T$2:$T$2000=W149)*(水保局全省災害資料!$U$2:$U$2000=X149), 0, 1), 0)), "")</f>
        <v>543.5</v>
      </c>
      <c r="AV149" t="str">
        <f>IFERROR(INDEX(水保局全省災害資料!$B$2:$B$2000, MATCH(1, INDEX((水保局全省災害資料!$T$2:$T$2000=W149)*(水保局全省災害資料!$U$2:$U$2000=X149), 0, 1), 0)), "")</f>
        <v>土石流</v>
      </c>
    </row>
    <row r="150" spans="1:48">
      <c r="A150" t="s">
        <v>76</v>
      </c>
      <c r="B150" t="s">
        <v>118</v>
      </c>
      <c r="C150" t="s">
        <v>125</v>
      </c>
      <c r="D150" t="s">
        <v>710</v>
      </c>
      <c r="E150" t="s">
        <v>711</v>
      </c>
      <c r="F150" t="s">
        <v>127</v>
      </c>
      <c r="G150">
        <v>113</v>
      </c>
      <c r="H150" t="s">
        <v>59</v>
      </c>
      <c r="I150" s="13">
        <v>45499.458333333336</v>
      </c>
      <c r="M150" t="str">
        <f>IF(SUMIFS(水保局全省災害資料!$X:$X, 水保局全省災害資料!$E:$E, A150, 水保局全省災害資料!$F:$F, B150, 水保局全省災害資料!$N:$N, H150)=0, "", SUMIFS(水保局全省災害資料!$X:$X, 水保局全省災害資料!$E:$E, A150, 水保局全省災害資料!$F:$F, B150, 水保局全省災害資料!$N:$N, H150))</f>
        <v/>
      </c>
      <c r="P150" t="s">
        <v>51</v>
      </c>
      <c r="S150">
        <v>300</v>
      </c>
      <c r="T150" t="s">
        <v>128</v>
      </c>
      <c r="U150" t="s">
        <v>104</v>
      </c>
      <c r="V150">
        <v>83</v>
      </c>
      <c r="W150">
        <v>6.5</v>
      </c>
      <c r="X150">
        <v>519.20000000000005</v>
      </c>
      <c r="Y150">
        <v>26.5</v>
      </c>
      <c r="Z150">
        <v>37</v>
      </c>
      <c r="AA150">
        <v>44.5</v>
      </c>
      <c r="AB150">
        <v>169.5</v>
      </c>
      <c r="AC150" t="s">
        <v>63</v>
      </c>
      <c r="AD150" t="s">
        <v>63</v>
      </c>
      <c r="AE150" t="s">
        <v>63</v>
      </c>
      <c r="AF150" t="s">
        <v>63</v>
      </c>
      <c r="AG150" t="s">
        <v>63</v>
      </c>
      <c r="AH150">
        <v>11</v>
      </c>
      <c r="AI150">
        <v>26.5</v>
      </c>
      <c r="AJ150">
        <v>49</v>
      </c>
      <c r="AK150">
        <v>77</v>
      </c>
      <c r="AL150">
        <v>83</v>
      </c>
      <c r="AM150" t="s">
        <v>63</v>
      </c>
      <c r="AN150" t="s">
        <v>63</v>
      </c>
      <c r="AO150" t="s">
        <v>63</v>
      </c>
      <c r="AP150" t="s">
        <v>63</v>
      </c>
      <c r="AQ150" t="s">
        <v>63</v>
      </c>
      <c r="AR150">
        <v>6</v>
      </c>
      <c r="AS150">
        <f>IFERROR(INDEX(水保局全省災害資料!$X$2:$X$2000, MATCH(1, INDEX((水保局全省災害資料!$T$2:$T$2000=W150)*(水保局全省災害資料!$U$2:$U$2000=X150), 0, 1), 0)), "")</f>
        <v>0</v>
      </c>
      <c r="AT150">
        <f>IFERROR(INDEX(水保局全省災害資料!$T$2:$T$2000, MATCH(1, INDEX((水保局全省災害資料!$T$2:$T$2000=W150)*(水保局全省災害資料!$U$2:$U$2000=X150), 0, 1), 0)), "")</f>
        <v>6.5</v>
      </c>
      <c r="AU150">
        <f>IFERROR(INDEX(水保局全省災害資料!$U$2:$U$2000, MATCH(1, INDEX((水保局全省災害資料!$T$2:$T$2000=W150)*(水保局全省災害資料!$U$2:$U$2000=X150), 0, 1), 0)), "")</f>
        <v>519.20000000000005</v>
      </c>
      <c r="AV150" t="str">
        <f>IFERROR(INDEX(水保局全省災害資料!$B$2:$B$2000, MATCH(1, INDEX((水保局全省災害資料!$T$2:$T$2000=W150)*(水保局全省災害資料!$U$2:$U$2000=X150), 0, 1), 0)), "")</f>
        <v>土石流</v>
      </c>
    </row>
    <row r="151" spans="1:48">
      <c r="A151" t="s">
        <v>3634</v>
      </c>
      <c r="B151" t="s">
        <v>3635</v>
      </c>
      <c r="C151" t="s">
        <v>3784</v>
      </c>
      <c r="D151" s="5"/>
      <c r="E151" t="s">
        <v>3969</v>
      </c>
      <c r="F151" t="s">
        <v>3757</v>
      </c>
      <c r="G151">
        <v>95</v>
      </c>
      <c r="H151" t="s">
        <v>110</v>
      </c>
      <c r="I151" s="13">
        <v>38878.208333333336</v>
      </c>
      <c r="S151" s="4">
        <v>250</v>
      </c>
      <c r="T151" t="s">
        <v>4372</v>
      </c>
      <c r="U151" t="s">
        <v>4373</v>
      </c>
      <c r="W151">
        <v>8.5</v>
      </c>
      <c r="X151">
        <v>286.7</v>
      </c>
      <c r="AU151">
        <v>286.7</v>
      </c>
      <c r="AV151" t="s">
        <v>3757</v>
      </c>
    </row>
    <row r="152" spans="1:48">
      <c r="A152" t="s">
        <v>76</v>
      </c>
      <c r="B152" t="s">
        <v>77</v>
      </c>
      <c r="C152" t="s">
        <v>3785</v>
      </c>
      <c r="D152" s="5"/>
      <c r="E152" t="s">
        <v>3970</v>
      </c>
      <c r="F152" t="s">
        <v>3585</v>
      </c>
      <c r="G152">
        <v>95</v>
      </c>
      <c r="H152" t="s">
        <v>110</v>
      </c>
      <c r="I152" s="13">
        <v>38877.208333333336</v>
      </c>
      <c r="S152" s="16" t="s">
        <v>857</v>
      </c>
      <c r="T152" t="s">
        <v>855</v>
      </c>
      <c r="U152" t="s">
        <v>4374</v>
      </c>
      <c r="W152">
        <v>25.5</v>
      </c>
      <c r="X152">
        <v>436.4</v>
      </c>
      <c r="AU152">
        <v>436.4</v>
      </c>
      <c r="AV152" t="s">
        <v>3585</v>
      </c>
    </row>
    <row r="153" spans="1:48">
      <c r="A153" t="s">
        <v>76</v>
      </c>
      <c r="B153" t="s">
        <v>118</v>
      </c>
      <c r="C153" t="s">
        <v>430</v>
      </c>
      <c r="D153" s="5"/>
      <c r="E153" t="s">
        <v>3971</v>
      </c>
      <c r="F153" t="s">
        <v>3585</v>
      </c>
      <c r="G153">
        <v>95</v>
      </c>
      <c r="H153" t="s">
        <v>110</v>
      </c>
      <c r="I153" s="13">
        <v>38877.208333333336</v>
      </c>
      <c r="S153" s="16" t="s">
        <v>857</v>
      </c>
      <c r="T153" t="s">
        <v>105</v>
      </c>
      <c r="U153" t="s">
        <v>106</v>
      </c>
      <c r="W153">
        <v>13.5</v>
      </c>
      <c r="X153">
        <v>71.3</v>
      </c>
      <c r="AU153">
        <v>71.3</v>
      </c>
      <c r="AV153" t="s">
        <v>3585</v>
      </c>
    </row>
    <row r="154" spans="1:48">
      <c r="A154" t="s">
        <v>3634</v>
      </c>
      <c r="B154" t="s">
        <v>3636</v>
      </c>
      <c r="C154" t="s">
        <v>3786</v>
      </c>
      <c r="D154" s="5"/>
      <c r="E154" t="s">
        <v>3972</v>
      </c>
      <c r="F154" t="s">
        <v>3585</v>
      </c>
      <c r="G154">
        <v>95</v>
      </c>
      <c r="H154" t="s">
        <v>110</v>
      </c>
      <c r="I154" s="13">
        <v>38878.333333333336</v>
      </c>
      <c r="S154" s="16" t="s">
        <v>857</v>
      </c>
      <c r="T154" t="s">
        <v>1375</v>
      </c>
      <c r="U154" t="s">
        <v>4375</v>
      </c>
      <c r="W154">
        <v>51</v>
      </c>
      <c r="X154">
        <v>261.60000000000002</v>
      </c>
      <c r="AU154">
        <v>261.60000000000002</v>
      </c>
      <c r="AV154" t="s">
        <v>3585</v>
      </c>
    </row>
    <row r="155" spans="1:48">
      <c r="A155" t="s">
        <v>174</v>
      </c>
      <c r="B155" t="s">
        <v>3637</v>
      </c>
      <c r="C155" t="s">
        <v>3787</v>
      </c>
      <c r="D155" s="5"/>
      <c r="E155" t="s">
        <v>3973</v>
      </c>
      <c r="F155" t="s">
        <v>3585</v>
      </c>
      <c r="G155">
        <v>95</v>
      </c>
      <c r="H155" t="s">
        <v>110</v>
      </c>
      <c r="I155" s="13">
        <v>38877.708333333336</v>
      </c>
      <c r="S155" s="16" t="s">
        <v>857</v>
      </c>
      <c r="T155" t="s">
        <v>873</v>
      </c>
      <c r="U155" t="s">
        <v>4376</v>
      </c>
      <c r="W155">
        <v>1</v>
      </c>
      <c r="X155">
        <v>250.7</v>
      </c>
      <c r="AU155">
        <v>250.7</v>
      </c>
      <c r="AV155" t="s">
        <v>3585</v>
      </c>
    </row>
    <row r="156" spans="1:48">
      <c r="A156" t="s">
        <v>76</v>
      </c>
      <c r="B156" t="s">
        <v>77</v>
      </c>
      <c r="C156" t="s">
        <v>3788</v>
      </c>
      <c r="D156" s="5"/>
      <c r="E156" t="s">
        <v>3974</v>
      </c>
      <c r="F156" t="s">
        <v>3777</v>
      </c>
      <c r="G156">
        <v>95</v>
      </c>
      <c r="H156" t="s">
        <v>110</v>
      </c>
      <c r="I156" s="13">
        <v>38877.625</v>
      </c>
      <c r="S156" s="16" t="s">
        <v>857</v>
      </c>
      <c r="T156" t="s">
        <v>1129</v>
      </c>
      <c r="U156" t="s">
        <v>4377</v>
      </c>
      <c r="W156">
        <v>9</v>
      </c>
      <c r="X156">
        <v>529.4</v>
      </c>
      <c r="AU156">
        <v>529.4</v>
      </c>
      <c r="AV156" t="s">
        <v>3777</v>
      </c>
    </row>
    <row r="157" spans="1:48">
      <c r="A157" t="s">
        <v>65</v>
      </c>
      <c r="B157" t="s">
        <v>3638</v>
      </c>
      <c r="C157" t="s">
        <v>3789</v>
      </c>
      <c r="D157" s="5"/>
      <c r="E157" t="s">
        <v>3975</v>
      </c>
      <c r="F157" t="s">
        <v>3757</v>
      </c>
      <c r="G157">
        <v>96</v>
      </c>
      <c r="H157" t="s">
        <v>3639</v>
      </c>
      <c r="I157" s="13">
        <v>39241.583333333336</v>
      </c>
      <c r="S157" s="16" t="s">
        <v>857</v>
      </c>
      <c r="T157" t="s">
        <v>886</v>
      </c>
      <c r="U157" t="s">
        <v>4378</v>
      </c>
      <c r="W157">
        <v>20.5</v>
      </c>
      <c r="X157">
        <v>387.8</v>
      </c>
      <c r="AU157">
        <v>387.8</v>
      </c>
      <c r="AV157" t="s">
        <v>3757</v>
      </c>
    </row>
    <row r="158" spans="1:48">
      <c r="A158" t="s">
        <v>76</v>
      </c>
      <c r="B158" t="s">
        <v>98</v>
      </c>
      <c r="C158" t="s">
        <v>402</v>
      </c>
      <c r="D158" s="5"/>
      <c r="E158" t="s">
        <v>3976</v>
      </c>
      <c r="F158" t="s">
        <v>3757</v>
      </c>
      <c r="G158">
        <v>96</v>
      </c>
      <c r="H158" t="s">
        <v>3639</v>
      </c>
      <c r="I158" s="13">
        <v>39240.666666666664</v>
      </c>
      <c r="S158" s="16">
        <v>250</v>
      </c>
      <c r="T158" t="s">
        <v>891</v>
      </c>
      <c r="U158" t="s">
        <v>4379</v>
      </c>
      <c r="W158">
        <v>30</v>
      </c>
      <c r="X158">
        <v>155.69999999999999</v>
      </c>
      <c r="AU158">
        <v>155.69999999999999</v>
      </c>
      <c r="AV158" t="s">
        <v>3757</v>
      </c>
    </row>
    <row r="159" spans="1:48">
      <c r="A159" t="s">
        <v>318</v>
      </c>
      <c r="B159" t="s">
        <v>3640</v>
      </c>
      <c r="C159" t="s">
        <v>3790</v>
      </c>
      <c r="D159" s="5"/>
      <c r="E159" t="s">
        <v>3977</v>
      </c>
      <c r="F159" t="s">
        <v>3585</v>
      </c>
      <c r="G159">
        <v>96</v>
      </c>
      <c r="H159" t="s">
        <v>3639</v>
      </c>
      <c r="I159" s="13">
        <v>39241.375</v>
      </c>
      <c r="S159" s="16">
        <v>500</v>
      </c>
      <c r="T159" t="s">
        <v>899</v>
      </c>
      <c r="U159" t="s">
        <v>4380</v>
      </c>
      <c r="W159">
        <v>4.5</v>
      </c>
      <c r="X159">
        <v>230.3</v>
      </c>
      <c r="AU159">
        <v>230.3</v>
      </c>
      <c r="AV159" t="s">
        <v>3585</v>
      </c>
    </row>
    <row r="160" spans="1:48">
      <c r="A160" t="s">
        <v>318</v>
      </c>
      <c r="B160" t="s">
        <v>3641</v>
      </c>
      <c r="C160" t="s">
        <v>3791</v>
      </c>
      <c r="D160" s="5"/>
      <c r="E160" t="s">
        <v>3978</v>
      </c>
      <c r="F160" t="s">
        <v>3585</v>
      </c>
      <c r="G160">
        <v>96</v>
      </c>
      <c r="H160" t="s">
        <v>3639</v>
      </c>
      <c r="I160" s="13">
        <v>39243.25</v>
      </c>
      <c r="S160" s="16" t="s">
        <v>857</v>
      </c>
      <c r="T160" t="s">
        <v>905</v>
      </c>
      <c r="U160" t="s">
        <v>4381</v>
      </c>
      <c r="W160">
        <v>1</v>
      </c>
      <c r="X160">
        <v>232.6</v>
      </c>
      <c r="AU160">
        <v>232.6</v>
      </c>
      <c r="AV160" t="s">
        <v>3585</v>
      </c>
    </row>
    <row r="161" spans="1:48">
      <c r="A161" t="s">
        <v>76</v>
      </c>
      <c r="B161" t="s">
        <v>3642</v>
      </c>
      <c r="C161" t="s">
        <v>3792</v>
      </c>
      <c r="D161" s="5"/>
      <c r="E161" t="s">
        <v>3979</v>
      </c>
      <c r="F161" t="s">
        <v>3585</v>
      </c>
      <c r="G161">
        <v>96</v>
      </c>
      <c r="H161" t="s">
        <v>3639</v>
      </c>
      <c r="I161" s="13">
        <v>39240.666666666664</v>
      </c>
      <c r="S161" s="16">
        <v>250</v>
      </c>
      <c r="T161" t="s">
        <v>911</v>
      </c>
      <c r="U161" t="s">
        <v>4382</v>
      </c>
      <c r="W161">
        <v>26.5</v>
      </c>
      <c r="X161">
        <v>232.1</v>
      </c>
      <c r="AU161">
        <v>232.1</v>
      </c>
      <c r="AV161" t="s">
        <v>3585</v>
      </c>
    </row>
    <row r="162" spans="1:48">
      <c r="A162" t="s">
        <v>3643</v>
      </c>
      <c r="B162" t="s">
        <v>3644</v>
      </c>
      <c r="C162" t="s">
        <v>3793</v>
      </c>
      <c r="D162" s="5"/>
      <c r="E162" t="s">
        <v>3980</v>
      </c>
      <c r="F162" t="s">
        <v>3585</v>
      </c>
      <c r="G162">
        <v>96</v>
      </c>
      <c r="H162" t="s">
        <v>3639</v>
      </c>
      <c r="I162" s="13">
        <v>39241.333333333336</v>
      </c>
      <c r="S162" s="16" t="s">
        <v>857</v>
      </c>
      <c r="T162" t="s">
        <v>918</v>
      </c>
      <c r="U162" t="s">
        <v>4383</v>
      </c>
      <c r="W162">
        <v>13</v>
      </c>
      <c r="X162">
        <v>192.9</v>
      </c>
      <c r="AU162">
        <v>192.9</v>
      </c>
      <c r="AV162" t="s">
        <v>3585</v>
      </c>
    </row>
    <row r="163" spans="1:48">
      <c r="A163" t="s">
        <v>617</v>
      </c>
      <c r="B163" t="s">
        <v>630</v>
      </c>
      <c r="C163" t="s">
        <v>631</v>
      </c>
      <c r="D163" s="18" t="s">
        <v>925</v>
      </c>
      <c r="E163" t="s">
        <v>3981</v>
      </c>
      <c r="F163" t="s">
        <v>3398</v>
      </c>
      <c r="G163">
        <v>96</v>
      </c>
      <c r="H163" t="s">
        <v>607</v>
      </c>
      <c r="I163" s="13">
        <v>39303.083333333336</v>
      </c>
      <c r="S163" s="16">
        <v>450</v>
      </c>
      <c r="T163" t="s">
        <v>634</v>
      </c>
      <c r="U163" t="s">
        <v>635</v>
      </c>
      <c r="W163">
        <v>55</v>
      </c>
      <c r="X163">
        <v>316.2</v>
      </c>
      <c r="AU163">
        <v>316.2</v>
      </c>
      <c r="AV163" t="s">
        <v>3398</v>
      </c>
    </row>
    <row r="164" spans="1:48">
      <c r="A164" t="s">
        <v>265</v>
      </c>
      <c r="B164" t="s">
        <v>3645</v>
      </c>
      <c r="C164" t="s">
        <v>3794</v>
      </c>
      <c r="D164" s="5" t="s">
        <v>939</v>
      </c>
      <c r="E164" t="s">
        <v>3982</v>
      </c>
      <c r="F164" t="s">
        <v>3398</v>
      </c>
      <c r="G164">
        <v>96</v>
      </c>
      <c r="H164" t="s">
        <v>607</v>
      </c>
      <c r="I164" s="13">
        <v>39307.791666666664</v>
      </c>
      <c r="S164" s="16" t="s">
        <v>857</v>
      </c>
      <c r="T164" t="s">
        <v>608</v>
      </c>
      <c r="U164" t="s">
        <v>609</v>
      </c>
      <c r="W164">
        <v>71</v>
      </c>
      <c r="X164">
        <v>1104.4000000000001</v>
      </c>
      <c r="AU164">
        <v>1104.4000000000001</v>
      </c>
      <c r="AV164" t="s">
        <v>3398</v>
      </c>
    </row>
    <row r="165" spans="1:48">
      <c r="A165" t="s">
        <v>213</v>
      </c>
      <c r="B165" t="s">
        <v>214</v>
      </c>
      <c r="C165" t="s">
        <v>3795</v>
      </c>
      <c r="D165" s="5"/>
      <c r="E165" t="s">
        <v>3983</v>
      </c>
      <c r="F165" t="s">
        <v>3585</v>
      </c>
      <c r="G165">
        <v>96</v>
      </c>
      <c r="H165" t="s">
        <v>607</v>
      </c>
      <c r="I165" s="13">
        <v>39308.125</v>
      </c>
      <c r="S165" s="16" t="s">
        <v>857</v>
      </c>
      <c r="T165" t="s">
        <v>218</v>
      </c>
      <c r="U165" t="s">
        <v>219</v>
      </c>
      <c r="W165">
        <v>4</v>
      </c>
      <c r="X165">
        <v>658.7</v>
      </c>
      <c r="AU165">
        <v>658.7</v>
      </c>
      <c r="AV165" t="s">
        <v>3585</v>
      </c>
    </row>
    <row r="166" spans="1:48">
      <c r="A166" t="s">
        <v>76</v>
      </c>
      <c r="B166" t="s">
        <v>448</v>
      </c>
      <c r="C166" t="s">
        <v>468</v>
      </c>
      <c r="D166" s="19"/>
      <c r="E166" t="s">
        <v>3984</v>
      </c>
      <c r="F166" t="s">
        <v>3585</v>
      </c>
      <c r="G166">
        <v>96</v>
      </c>
      <c r="H166" t="s">
        <v>607</v>
      </c>
      <c r="I166" s="13">
        <v>39307.291666666664</v>
      </c>
      <c r="S166" s="16">
        <v>350</v>
      </c>
      <c r="T166" t="s">
        <v>950</v>
      </c>
      <c r="U166" t="s">
        <v>4384</v>
      </c>
      <c r="W166">
        <v>43.5</v>
      </c>
      <c r="X166">
        <v>195.3</v>
      </c>
      <c r="AU166">
        <v>195.3</v>
      </c>
      <c r="AV166" t="s">
        <v>3585</v>
      </c>
    </row>
    <row r="167" spans="1:48">
      <c r="A167" t="s">
        <v>76</v>
      </c>
      <c r="B167" t="s">
        <v>486</v>
      </c>
      <c r="C167" t="s">
        <v>3796</v>
      </c>
      <c r="D167" s="5"/>
      <c r="E167" t="s">
        <v>3985</v>
      </c>
      <c r="F167" t="s">
        <v>3585</v>
      </c>
      <c r="G167">
        <v>96</v>
      </c>
      <c r="H167" t="s">
        <v>607</v>
      </c>
      <c r="I167" s="13" t="s">
        <v>955</v>
      </c>
      <c r="S167" s="16" t="s">
        <v>857</v>
      </c>
      <c r="T167" t="s">
        <v>957</v>
      </c>
      <c r="U167" t="s">
        <v>4385</v>
      </c>
      <c r="W167">
        <v>6</v>
      </c>
      <c r="X167">
        <v>60.7</v>
      </c>
      <c r="AU167">
        <v>60.7</v>
      </c>
      <c r="AV167" t="s">
        <v>3585</v>
      </c>
    </row>
    <row r="168" spans="1:48">
      <c r="A168" t="s">
        <v>265</v>
      </c>
      <c r="B168" t="s">
        <v>600</v>
      </c>
      <c r="C168" t="s">
        <v>605</v>
      </c>
      <c r="D168" s="5"/>
      <c r="E168" t="s">
        <v>3986</v>
      </c>
      <c r="F168" t="s">
        <v>3585</v>
      </c>
      <c r="G168">
        <v>96</v>
      </c>
      <c r="H168" t="s">
        <v>607</v>
      </c>
      <c r="I168" s="13">
        <v>39307.791666666664</v>
      </c>
      <c r="S168" s="16">
        <v>550</v>
      </c>
      <c r="T168" t="s">
        <v>608</v>
      </c>
      <c r="U168" t="s">
        <v>609</v>
      </c>
      <c r="W168">
        <v>71</v>
      </c>
      <c r="X168">
        <v>1104.4000000000001</v>
      </c>
      <c r="AU168">
        <v>1104.4000000000001</v>
      </c>
      <c r="AV168" t="s">
        <v>3585</v>
      </c>
    </row>
    <row r="169" spans="1:48">
      <c r="A169" t="s">
        <v>265</v>
      </c>
      <c r="B169" t="s">
        <v>600</v>
      </c>
      <c r="C169" t="s">
        <v>605</v>
      </c>
      <c r="D169" s="19"/>
      <c r="E169" t="s">
        <v>3987</v>
      </c>
      <c r="F169" t="s">
        <v>3585</v>
      </c>
      <c r="G169">
        <v>96</v>
      </c>
      <c r="H169" t="s">
        <v>607</v>
      </c>
      <c r="I169" s="13">
        <v>39307.791666666664</v>
      </c>
      <c r="S169" s="16" t="s">
        <v>964</v>
      </c>
      <c r="T169" t="s">
        <v>608</v>
      </c>
      <c r="U169" t="s">
        <v>609</v>
      </c>
      <c r="W169">
        <v>71</v>
      </c>
      <c r="X169">
        <v>1104.4000000000001</v>
      </c>
      <c r="AU169">
        <v>1104.4000000000001</v>
      </c>
      <c r="AV169" t="s">
        <v>3585</v>
      </c>
    </row>
    <row r="170" spans="1:48">
      <c r="A170" t="s">
        <v>265</v>
      </c>
      <c r="B170" t="s">
        <v>3645</v>
      </c>
      <c r="C170" t="s">
        <v>3794</v>
      </c>
      <c r="D170" s="19"/>
      <c r="E170" t="s">
        <v>3988</v>
      </c>
      <c r="F170" t="s">
        <v>3585</v>
      </c>
      <c r="G170">
        <v>96</v>
      </c>
      <c r="H170" t="s">
        <v>607</v>
      </c>
      <c r="I170" s="13" t="s">
        <v>966</v>
      </c>
      <c r="S170" s="16" t="s">
        <v>857</v>
      </c>
      <c r="T170" t="s">
        <v>608</v>
      </c>
      <c r="U170" t="s">
        <v>609</v>
      </c>
      <c r="W170">
        <v>139</v>
      </c>
      <c r="X170">
        <v>1068.5</v>
      </c>
      <c r="AU170">
        <v>1068.5</v>
      </c>
      <c r="AV170" t="s">
        <v>3585</v>
      </c>
    </row>
    <row r="171" spans="1:48">
      <c r="A171" t="s">
        <v>265</v>
      </c>
      <c r="B171" t="s">
        <v>3645</v>
      </c>
      <c r="C171" t="s">
        <v>3794</v>
      </c>
      <c r="D171" s="5"/>
      <c r="E171" t="s">
        <v>3989</v>
      </c>
      <c r="F171" t="s">
        <v>3585</v>
      </c>
      <c r="G171">
        <v>96</v>
      </c>
      <c r="H171" t="s">
        <v>607</v>
      </c>
      <c r="I171" s="13" t="s">
        <v>966</v>
      </c>
      <c r="S171" s="16" t="s">
        <v>970</v>
      </c>
      <c r="T171" t="s">
        <v>608</v>
      </c>
      <c r="U171" t="s">
        <v>609</v>
      </c>
      <c r="W171">
        <v>139</v>
      </c>
      <c r="X171">
        <v>1068.5</v>
      </c>
      <c r="AU171">
        <v>1068.5</v>
      </c>
      <c r="AV171" t="s">
        <v>3585</v>
      </c>
    </row>
    <row r="172" spans="1:48">
      <c r="A172" t="s">
        <v>265</v>
      </c>
      <c r="B172" t="s">
        <v>3646</v>
      </c>
      <c r="C172" t="s">
        <v>3797</v>
      </c>
      <c r="D172" s="5"/>
      <c r="E172" t="s">
        <v>3990</v>
      </c>
      <c r="F172" t="s">
        <v>3585</v>
      </c>
      <c r="G172">
        <v>96</v>
      </c>
      <c r="H172" t="s">
        <v>607</v>
      </c>
      <c r="I172" s="13">
        <v>39307.666666666664</v>
      </c>
      <c r="S172" s="16" t="s">
        <v>975</v>
      </c>
      <c r="T172" t="s">
        <v>608</v>
      </c>
      <c r="U172" t="s">
        <v>609</v>
      </c>
      <c r="W172">
        <v>112.5</v>
      </c>
      <c r="X172">
        <v>846.7</v>
      </c>
      <c r="AU172">
        <v>846.7</v>
      </c>
      <c r="AV172" t="s">
        <v>3585</v>
      </c>
    </row>
    <row r="173" spans="1:48">
      <c r="A173" t="s">
        <v>265</v>
      </c>
      <c r="B173" t="s">
        <v>3646</v>
      </c>
      <c r="C173" t="s">
        <v>3797</v>
      </c>
      <c r="D173" s="5"/>
      <c r="E173" t="s">
        <v>3990</v>
      </c>
      <c r="F173" t="s">
        <v>3585</v>
      </c>
      <c r="G173">
        <v>96</v>
      </c>
      <c r="H173" t="s">
        <v>607</v>
      </c>
      <c r="I173" s="13">
        <v>39307.666666666664</v>
      </c>
      <c r="S173" s="16" t="s">
        <v>857</v>
      </c>
      <c r="T173" t="s">
        <v>4386</v>
      </c>
      <c r="U173" t="s">
        <v>609</v>
      </c>
      <c r="W173">
        <v>112.5</v>
      </c>
      <c r="X173">
        <v>846.7</v>
      </c>
      <c r="AU173">
        <v>846.7</v>
      </c>
      <c r="AV173" t="s">
        <v>3585</v>
      </c>
    </row>
    <row r="174" spans="1:48">
      <c r="A174" t="s">
        <v>220</v>
      </c>
      <c r="B174" t="s">
        <v>3647</v>
      </c>
      <c r="C174" t="s">
        <v>3798</v>
      </c>
      <c r="D174" s="5"/>
      <c r="E174" t="s">
        <v>3991</v>
      </c>
      <c r="F174" t="s">
        <v>3585</v>
      </c>
      <c r="G174">
        <v>96</v>
      </c>
      <c r="H174" t="s">
        <v>607</v>
      </c>
      <c r="I174" s="13">
        <v>39309.458333333336</v>
      </c>
      <c r="S174" s="16" t="s">
        <v>975</v>
      </c>
      <c r="T174" t="s">
        <v>982</v>
      </c>
      <c r="U174" t="s">
        <v>4387</v>
      </c>
      <c r="W174">
        <v>42.5</v>
      </c>
      <c r="X174">
        <v>558</v>
      </c>
      <c r="AU174">
        <v>558</v>
      </c>
      <c r="AV174" t="s">
        <v>3585</v>
      </c>
    </row>
    <row r="175" spans="1:48">
      <c r="A175" t="s">
        <v>272</v>
      </c>
      <c r="B175" t="s">
        <v>704</v>
      </c>
      <c r="C175" t="s">
        <v>3799</v>
      </c>
      <c r="D175" s="5"/>
      <c r="E175" t="s">
        <v>3992</v>
      </c>
      <c r="F175" t="s">
        <v>3585</v>
      </c>
      <c r="G175">
        <v>96</v>
      </c>
      <c r="H175" t="s">
        <v>3648</v>
      </c>
      <c r="I175" s="13">
        <v>39370.041666666664</v>
      </c>
      <c r="S175" s="16" t="s">
        <v>857</v>
      </c>
      <c r="T175" t="s">
        <v>990</v>
      </c>
      <c r="U175" t="s">
        <v>3483</v>
      </c>
      <c r="W175">
        <v>0</v>
      </c>
      <c r="X175">
        <v>6.5</v>
      </c>
      <c r="AU175">
        <v>6.5</v>
      </c>
      <c r="AV175" t="s">
        <v>3585</v>
      </c>
    </row>
    <row r="176" spans="1:48">
      <c r="A176" t="s">
        <v>174</v>
      </c>
      <c r="B176" t="s">
        <v>3637</v>
      </c>
      <c r="C176" t="s">
        <v>3787</v>
      </c>
      <c r="D176" s="19"/>
      <c r="E176" t="s">
        <v>3993</v>
      </c>
      <c r="F176" t="s">
        <v>3585</v>
      </c>
      <c r="G176">
        <v>96</v>
      </c>
      <c r="H176" t="s">
        <v>3648</v>
      </c>
      <c r="I176" s="13">
        <v>39224.25</v>
      </c>
      <c r="S176" s="16" t="s">
        <v>857</v>
      </c>
      <c r="T176" t="s">
        <v>873</v>
      </c>
      <c r="U176" t="s">
        <v>4376</v>
      </c>
      <c r="W176">
        <v>0</v>
      </c>
      <c r="X176">
        <v>66.400000000000006</v>
      </c>
      <c r="AU176">
        <v>66.400000000000006</v>
      </c>
      <c r="AV176" t="s">
        <v>3585</v>
      </c>
    </row>
    <row r="177" spans="1:48">
      <c r="A177" t="s">
        <v>65</v>
      </c>
      <c r="B177" t="s">
        <v>3649</v>
      </c>
      <c r="C177" t="s">
        <v>3800</v>
      </c>
      <c r="D177" s="5"/>
      <c r="E177" t="s">
        <v>3994</v>
      </c>
      <c r="F177" t="s">
        <v>3757</v>
      </c>
      <c r="G177">
        <v>96</v>
      </c>
      <c r="H177" t="s">
        <v>3650</v>
      </c>
      <c r="I177" s="13">
        <v>39362.666666666664</v>
      </c>
      <c r="S177" s="16" t="s">
        <v>857</v>
      </c>
      <c r="T177" t="s">
        <v>886</v>
      </c>
      <c r="U177" t="s">
        <v>4378</v>
      </c>
      <c r="W177">
        <v>34</v>
      </c>
      <c r="X177">
        <v>128</v>
      </c>
      <c r="AU177">
        <v>128</v>
      </c>
      <c r="AV177" t="s">
        <v>3757</v>
      </c>
    </row>
    <row r="178" spans="1:48">
      <c r="A178" t="s">
        <v>3588</v>
      </c>
      <c r="B178" t="s">
        <v>3651</v>
      </c>
      <c r="C178" t="s">
        <v>3801</v>
      </c>
      <c r="D178" s="5"/>
      <c r="E178" t="s">
        <v>3995</v>
      </c>
      <c r="F178" t="s">
        <v>3585</v>
      </c>
      <c r="G178">
        <v>96</v>
      </c>
      <c r="H178" t="s">
        <v>3650</v>
      </c>
      <c r="I178" s="13">
        <v>39361.625</v>
      </c>
      <c r="S178" s="16" t="s">
        <v>857</v>
      </c>
      <c r="T178" t="s">
        <v>1005</v>
      </c>
      <c r="U178" t="s">
        <v>4388</v>
      </c>
      <c r="W178">
        <v>33</v>
      </c>
      <c r="X178">
        <v>205.3</v>
      </c>
      <c r="AU178">
        <v>205.3</v>
      </c>
      <c r="AV178" t="s">
        <v>3585</v>
      </c>
    </row>
    <row r="179" spans="1:48">
      <c r="A179" t="s">
        <v>318</v>
      </c>
      <c r="B179" t="s">
        <v>3652</v>
      </c>
      <c r="C179" t="s">
        <v>3802</v>
      </c>
      <c r="D179" s="5"/>
      <c r="E179" t="s">
        <v>3996</v>
      </c>
      <c r="F179" t="s">
        <v>3585</v>
      </c>
      <c r="G179">
        <v>96</v>
      </c>
      <c r="H179" t="s">
        <v>3650</v>
      </c>
      <c r="I179" s="13">
        <v>39361.645833333336</v>
      </c>
      <c r="S179" s="16" t="s">
        <v>857</v>
      </c>
      <c r="T179" t="s">
        <v>1011</v>
      </c>
      <c r="U179" t="s">
        <v>4389</v>
      </c>
      <c r="W179">
        <v>49.5</v>
      </c>
      <c r="X179">
        <v>305.5</v>
      </c>
      <c r="AU179">
        <v>305.5</v>
      </c>
      <c r="AV179" t="s">
        <v>3585</v>
      </c>
    </row>
    <row r="180" spans="1:48">
      <c r="A180" t="s">
        <v>318</v>
      </c>
      <c r="B180" t="s">
        <v>3653</v>
      </c>
      <c r="C180" t="s">
        <v>3803</v>
      </c>
      <c r="D180" s="5"/>
      <c r="E180" t="s">
        <v>3997</v>
      </c>
      <c r="F180" t="s">
        <v>3585</v>
      </c>
      <c r="G180">
        <v>96</v>
      </c>
      <c r="H180" t="s">
        <v>3650</v>
      </c>
      <c r="I180" s="13">
        <v>39362.041666666664</v>
      </c>
      <c r="S180" s="16" t="s">
        <v>975</v>
      </c>
      <c r="T180" t="s">
        <v>4390</v>
      </c>
      <c r="U180" t="s">
        <v>4391</v>
      </c>
      <c r="W180">
        <v>0</v>
      </c>
      <c r="X180">
        <v>222.1</v>
      </c>
      <c r="AU180">
        <v>222.1</v>
      </c>
      <c r="AV180" t="s">
        <v>3585</v>
      </c>
    </row>
    <row r="181" spans="1:48">
      <c r="A181" t="s">
        <v>3634</v>
      </c>
      <c r="B181" t="s">
        <v>3654</v>
      </c>
      <c r="C181" t="s">
        <v>3466</v>
      </c>
      <c r="D181" s="22" t="s">
        <v>1022</v>
      </c>
      <c r="E181" t="s">
        <v>3998</v>
      </c>
      <c r="F181" t="s">
        <v>3398</v>
      </c>
      <c r="G181">
        <v>96</v>
      </c>
      <c r="H181" t="s">
        <v>3655</v>
      </c>
      <c r="I181" s="13">
        <v>39343.708333333336</v>
      </c>
      <c r="S181" s="16">
        <v>500</v>
      </c>
      <c r="T181" t="s">
        <v>367</v>
      </c>
      <c r="U181" t="s">
        <v>368</v>
      </c>
      <c r="W181">
        <v>20</v>
      </c>
      <c r="X181">
        <v>662.5</v>
      </c>
      <c r="AU181">
        <v>662.5</v>
      </c>
      <c r="AV181" t="s">
        <v>3398</v>
      </c>
    </row>
    <row r="182" spans="1:48">
      <c r="A182" t="s">
        <v>3634</v>
      </c>
      <c r="B182" t="s">
        <v>3656</v>
      </c>
      <c r="C182" t="s">
        <v>3804</v>
      </c>
      <c r="D182" s="5"/>
      <c r="E182" t="s">
        <v>3999</v>
      </c>
      <c r="F182" t="s">
        <v>3757</v>
      </c>
      <c r="G182">
        <v>96</v>
      </c>
      <c r="H182" t="s">
        <v>3655</v>
      </c>
      <c r="I182" s="13">
        <v>39344.041666666664</v>
      </c>
      <c r="S182" s="16" t="s">
        <v>857</v>
      </c>
      <c r="T182" t="s">
        <v>1030</v>
      </c>
      <c r="U182" t="s">
        <v>4392</v>
      </c>
      <c r="W182">
        <v>5.5</v>
      </c>
      <c r="X182">
        <v>311.60000000000002</v>
      </c>
      <c r="AU182">
        <v>311.60000000000002</v>
      </c>
      <c r="AV182" t="s">
        <v>3757</v>
      </c>
    </row>
    <row r="183" spans="1:48">
      <c r="A183" t="s">
        <v>346</v>
      </c>
      <c r="B183" t="s">
        <v>347</v>
      </c>
      <c r="C183" t="s">
        <v>3805</v>
      </c>
      <c r="D183" s="5"/>
      <c r="E183" t="s">
        <v>4000</v>
      </c>
      <c r="F183" t="s">
        <v>3585</v>
      </c>
      <c r="G183">
        <v>96</v>
      </c>
      <c r="H183" t="s">
        <v>3655</v>
      </c>
      <c r="I183" s="13">
        <v>39343.458333333336</v>
      </c>
      <c r="S183" s="16" t="s">
        <v>964</v>
      </c>
      <c r="T183" t="s">
        <v>1037</v>
      </c>
      <c r="U183" t="s">
        <v>4393</v>
      </c>
      <c r="W183">
        <v>22</v>
      </c>
      <c r="X183">
        <v>181</v>
      </c>
      <c r="AU183">
        <v>181</v>
      </c>
      <c r="AV183" t="s">
        <v>3585</v>
      </c>
    </row>
    <row r="184" spans="1:48">
      <c r="A184" t="s">
        <v>346</v>
      </c>
      <c r="B184" t="s">
        <v>347</v>
      </c>
      <c r="C184" t="s">
        <v>3806</v>
      </c>
      <c r="D184" s="5"/>
      <c r="E184" t="s">
        <v>4001</v>
      </c>
      <c r="F184" t="s">
        <v>3585</v>
      </c>
      <c r="G184">
        <v>96</v>
      </c>
      <c r="H184" t="s">
        <v>3655</v>
      </c>
      <c r="I184" s="13">
        <v>39343.458333333336</v>
      </c>
      <c r="S184" s="16" t="s">
        <v>857</v>
      </c>
      <c r="T184" t="s">
        <v>1037</v>
      </c>
      <c r="U184" t="s">
        <v>4393</v>
      </c>
      <c r="W184">
        <v>22</v>
      </c>
      <c r="X184">
        <v>181</v>
      </c>
      <c r="AU184">
        <v>181</v>
      </c>
      <c r="AV184" t="s">
        <v>3585</v>
      </c>
    </row>
    <row r="185" spans="1:48">
      <c r="A185" t="s">
        <v>220</v>
      </c>
      <c r="B185" t="s">
        <v>556</v>
      </c>
      <c r="C185" t="s">
        <v>564</v>
      </c>
      <c r="D185" s="18" t="s">
        <v>1045</v>
      </c>
      <c r="E185" t="s">
        <v>4002</v>
      </c>
      <c r="F185" t="s">
        <v>3398</v>
      </c>
      <c r="G185">
        <v>96</v>
      </c>
      <c r="H185" t="s">
        <v>229</v>
      </c>
      <c r="I185" s="13">
        <v>39313</v>
      </c>
      <c r="S185" s="4">
        <v>500</v>
      </c>
      <c r="T185" t="s">
        <v>559</v>
      </c>
      <c r="U185" t="s">
        <v>560</v>
      </c>
      <c r="W185">
        <v>90.5</v>
      </c>
      <c r="X185">
        <v>539.79999999999995</v>
      </c>
      <c r="AU185">
        <v>539.79999999999995</v>
      </c>
      <c r="AV185" t="s">
        <v>3398</v>
      </c>
    </row>
    <row r="186" spans="1:48">
      <c r="A186" t="s">
        <v>220</v>
      </c>
      <c r="B186" t="s">
        <v>221</v>
      </c>
      <c r="C186" t="s">
        <v>222</v>
      </c>
      <c r="D186" s="18" t="s">
        <v>1051</v>
      </c>
      <c r="E186" t="s">
        <v>4003</v>
      </c>
      <c r="F186" t="s">
        <v>3398</v>
      </c>
      <c r="G186">
        <v>96</v>
      </c>
      <c r="H186" t="s">
        <v>229</v>
      </c>
      <c r="I186" s="13">
        <v>39314.5</v>
      </c>
      <c r="S186" s="4">
        <v>450</v>
      </c>
      <c r="T186" t="s">
        <v>225</v>
      </c>
      <c r="U186" t="s">
        <v>226</v>
      </c>
      <c r="W186">
        <v>33</v>
      </c>
      <c r="X186">
        <v>940.3</v>
      </c>
      <c r="AU186">
        <v>940.3</v>
      </c>
      <c r="AV186" t="s">
        <v>3398</v>
      </c>
    </row>
    <row r="187" spans="1:48">
      <c r="A187" t="s">
        <v>76</v>
      </c>
      <c r="B187" t="s">
        <v>3657</v>
      </c>
      <c r="C187" t="s">
        <v>3807</v>
      </c>
      <c r="D187" s="5"/>
      <c r="E187" t="s">
        <v>4004</v>
      </c>
      <c r="F187" t="s">
        <v>3757</v>
      </c>
      <c r="G187">
        <v>96</v>
      </c>
      <c r="H187" t="s">
        <v>229</v>
      </c>
      <c r="I187" s="13">
        <v>39313.708333333336</v>
      </c>
      <c r="S187" s="16" t="s">
        <v>857</v>
      </c>
      <c r="T187" t="s">
        <v>1058</v>
      </c>
      <c r="U187" t="s">
        <v>4394</v>
      </c>
      <c r="W187">
        <v>14</v>
      </c>
      <c r="X187">
        <v>182.4</v>
      </c>
      <c r="AU187">
        <v>182.4</v>
      </c>
      <c r="AV187" t="s">
        <v>3757</v>
      </c>
    </row>
    <row r="188" spans="1:48">
      <c r="A188" t="s">
        <v>183</v>
      </c>
      <c r="B188" t="s">
        <v>504</v>
      </c>
      <c r="C188" t="s">
        <v>3808</v>
      </c>
      <c r="D188" s="5"/>
      <c r="E188" t="s">
        <v>4005</v>
      </c>
      <c r="F188" t="s">
        <v>3757</v>
      </c>
      <c r="G188">
        <v>96</v>
      </c>
      <c r="H188" t="s">
        <v>229</v>
      </c>
      <c r="I188" s="13">
        <v>39314.666666666664</v>
      </c>
      <c r="S188" s="4">
        <v>450</v>
      </c>
      <c r="T188" t="s">
        <v>1065</v>
      </c>
      <c r="U188" t="s">
        <v>4395</v>
      </c>
      <c r="W188">
        <v>1</v>
      </c>
      <c r="X188">
        <v>541.1</v>
      </c>
      <c r="AU188">
        <v>541.1</v>
      </c>
      <c r="AV188" t="s">
        <v>3757</v>
      </c>
    </row>
    <row r="189" spans="1:48">
      <c r="A189" t="s">
        <v>183</v>
      </c>
      <c r="B189" t="s">
        <v>184</v>
      </c>
      <c r="C189" t="s">
        <v>3809</v>
      </c>
      <c r="D189" s="19"/>
      <c r="E189" t="s">
        <v>4006</v>
      </c>
      <c r="F189" t="s">
        <v>3757</v>
      </c>
      <c r="G189">
        <v>96</v>
      </c>
      <c r="H189" t="s">
        <v>229</v>
      </c>
      <c r="I189" s="13">
        <v>39312.958333333336</v>
      </c>
      <c r="S189" s="4">
        <v>450</v>
      </c>
      <c r="T189" t="s">
        <v>1071</v>
      </c>
      <c r="U189" t="s">
        <v>4396</v>
      </c>
      <c r="W189">
        <v>61</v>
      </c>
      <c r="X189">
        <v>431.3</v>
      </c>
      <c r="AU189">
        <v>431.3</v>
      </c>
      <c r="AV189" t="s">
        <v>3757</v>
      </c>
    </row>
    <row r="190" spans="1:48">
      <c r="A190" t="s">
        <v>3634</v>
      </c>
      <c r="B190" t="s">
        <v>3636</v>
      </c>
      <c r="C190" t="s">
        <v>3810</v>
      </c>
      <c r="D190" s="19"/>
      <c r="E190" t="s">
        <v>4007</v>
      </c>
      <c r="F190" t="s">
        <v>3462</v>
      </c>
      <c r="G190">
        <v>96</v>
      </c>
      <c r="H190" t="s">
        <v>3650</v>
      </c>
      <c r="I190" s="13">
        <v>39362.416666666664</v>
      </c>
      <c r="S190" s="16" t="s">
        <v>857</v>
      </c>
      <c r="T190" t="s">
        <v>1078</v>
      </c>
      <c r="U190" t="s">
        <v>4397</v>
      </c>
      <c r="W190">
        <v>8</v>
      </c>
      <c r="X190">
        <v>254.5</v>
      </c>
      <c r="AU190">
        <v>254.5</v>
      </c>
      <c r="AV190" t="s">
        <v>3462</v>
      </c>
    </row>
    <row r="191" spans="1:48">
      <c r="A191" t="s">
        <v>65</v>
      </c>
      <c r="B191" t="s">
        <v>3658</v>
      </c>
      <c r="C191" t="s">
        <v>3811</v>
      </c>
      <c r="D191" s="19"/>
      <c r="E191" t="s">
        <v>4008</v>
      </c>
      <c r="F191" t="s">
        <v>3585</v>
      </c>
      <c r="G191">
        <v>96</v>
      </c>
      <c r="H191" t="s">
        <v>3650</v>
      </c>
      <c r="I191" s="13">
        <v>39361.958333333336</v>
      </c>
      <c r="S191" s="16" t="s">
        <v>857</v>
      </c>
      <c r="T191" t="s">
        <v>1084</v>
      </c>
      <c r="U191" t="s">
        <v>4398</v>
      </c>
      <c r="W191">
        <v>5.5</v>
      </c>
      <c r="X191">
        <v>74.400000000000006</v>
      </c>
      <c r="AU191">
        <v>74.400000000000006</v>
      </c>
      <c r="AV191" t="s">
        <v>3585</v>
      </c>
    </row>
    <row r="192" spans="1:48">
      <c r="A192" t="s">
        <v>183</v>
      </c>
      <c r="B192" t="s">
        <v>504</v>
      </c>
      <c r="C192" t="s">
        <v>505</v>
      </c>
      <c r="D192" s="19"/>
      <c r="E192" t="s">
        <v>4009</v>
      </c>
      <c r="F192" t="s">
        <v>3462</v>
      </c>
      <c r="G192">
        <v>96</v>
      </c>
      <c r="H192" t="s">
        <v>3659</v>
      </c>
      <c r="I192" s="13">
        <v>39327.791666666664</v>
      </c>
      <c r="S192" s="16">
        <v>450</v>
      </c>
      <c r="T192" t="s">
        <v>507</v>
      </c>
      <c r="U192" t="s">
        <v>4399</v>
      </c>
      <c r="W192">
        <v>66.5</v>
      </c>
      <c r="X192">
        <v>139.6</v>
      </c>
      <c r="AU192">
        <v>139.6</v>
      </c>
      <c r="AV192" t="s">
        <v>3462</v>
      </c>
    </row>
    <row r="193" spans="1:48">
      <c r="A193" t="s">
        <v>183</v>
      </c>
      <c r="B193" t="s">
        <v>504</v>
      </c>
      <c r="C193" t="s">
        <v>3812</v>
      </c>
      <c r="D193" s="19"/>
      <c r="E193" t="s">
        <v>4010</v>
      </c>
      <c r="F193" t="s">
        <v>3462</v>
      </c>
      <c r="G193">
        <v>96</v>
      </c>
      <c r="H193" t="s">
        <v>3650</v>
      </c>
      <c r="I193" s="13">
        <v>39361.791666666664</v>
      </c>
      <c r="S193" s="16" t="s">
        <v>970</v>
      </c>
      <c r="T193" t="s">
        <v>507</v>
      </c>
      <c r="U193" t="s">
        <v>4399</v>
      </c>
      <c r="W193">
        <v>56.5</v>
      </c>
      <c r="X193">
        <v>457.5</v>
      </c>
      <c r="AU193">
        <v>457.5</v>
      </c>
      <c r="AV193" t="s">
        <v>3462</v>
      </c>
    </row>
    <row r="194" spans="1:48">
      <c r="A194" t="s">
        <v>76</v>
      </c>
      <c r="B194" t="s">
        <v>448</v>
      </c>
      <c r="C194" t="s">
        <v>457</v>
      </c>
      <c r="D194" s="22" t="s">
        <v>1096</v>
      </c>
      <c r="E194" t="s">
        <v>4011</v>
      </c>
      <c r="F194" t="s">
        <v>3462</v>
      </c>
      <c r="G194">
        <v>96</v>
      </c>
      <c r="H194" t="s">
        <v>607</v>
      </c>
      <c r="I194" s="13">
        <v>39307.25</v>
      </c>
      <c r="S194" s="16" t="s">
        <v>975</v>
      </c>
      <c r="T194" t="s">
        <v>451</v>
      </c>
      <c r="U194" t="s">
        <v>452</v>
      </c>
      <c r="W194">
        <v>38</v>
      </c>
      <c r="X194">
        <v>156.5</v>
      </c>
      <c r="AU194">
        <v>156.5</v>
      </c>
      <c r="AV194" t="s">
        <v>3462</v>
      </c>
    </row>
    <row r="195" spans="1:48">
      <c r="A195" t="s">
        <v>213</v>
      </c>
      <c r="B195" t="s">
        <v>3660</v>
      </c>
      <c r="C195" t="s">
        <v>3813</v>
      </c>
      <c r="D195" s="19"/>
      <c r="E195" t="s">
        <v>4012</v>
      </c>
      <c r="F195" t="s">
        <v>3462</v>
      </c>
      <c r="G195">
        <v>96</v>
      </c>
      <c r="H195" t="s">
        <v>607</v>
      </c>
      <c r="I195" s="13">
        <v>39307.583333333336</v>
      </c>
      <c r="S195" s="16" t="s">
        <v>857</v>
      </c>
      <c r="T195" t="s">
        <v>1103</v>
      </c>
      <c r="U195" t="s">
        <v>4400</v>
      </c>
      <c r="W195">
        <v>61</v>
      </c>
      <c r="X195">
        <v>453.1</v>
      </c>
      <c r="AU195">
        <v>453.1</v>
      </c>
      <c r="AV195" t="s">
        <v>3462</v>
      </c>
    </row>
    <row r="196" spans="1:48">
      <c r="A196" t="s">
        <v>213</v>
      </c>
      <c r="B196" t="s">
        <v>3661</v>
      </c>
      <c r="C196" t="s">
        <v>3814</v>
      </c>
      <c r="D196" s="19"/>
      <c r="E196" t="s">
        <v>4013</v>
      </c>
      <c r="F196" t="s">
        <v>3462</v>
      </c>
      <c r="G196">
        <v>96</v>
      </c>
      <c r="H196" t="s">
        <v>607</v>
      </c>
      <c r="I196" s="13">
        <v>39307</v>
      </c>
      <c r="S196" s="16" t="s">
        <v>857</v>
      </c>
      <c r="T196" t="s">
        <v>1109</v>
      </c>
      <c r="U196" t="s">
        <v>4401</v>
      </c>
      <c r="W196">
        <v>4.5</v>
      </c>
      <c r="X196">
        <v>216.5</v>
      </c>
      <c r="AU196">
        <v>216.5</v>
      </c>
      <c r="AV196" t="s">
        <v>3462</v>
      </c>
    </row>
    <row r="197" spans="1:48">
      <c r="A197" t="s">
        <v>65</v>
      </c>
      <c r="B197" t="s">
        <v>3638</v>
      </c>
      <c r="C197" t="s">
        <v>3815</v>
      </c>
      <c r="D197" s="19"/>
      <c r="E197" t="s">
        <v>4014</v>
      </c>
      <c r="F197" t="s">
        <v>3462</v>
      </c>
      <c r="G197">
        <v>96</v>
      </c>
      <c r="H197" t="s">
        <v>607</v>
      </c>
      <c r="I197" s="13">
        <v>39305.625</v>
      </c>
      <c r="S197" s="16" t="s">
        <v>975</v>
      </c>
      <c r="T197" t="s">
        <v>1114</v>
      </c>
      <c r="U197" t="s">
        <v>4402</v>
      </c>
      <c r="W197">
        <v>5</v>
      </c>
      <c r="X197">
        <v>32.9</v>
      </c>
      <c r="AU197">
        <v>32.9</v>
      </c>
      <c r="AV197" t="s">
        <v>3462</v>
      </c>
    </row>
    <row r="198" spans="1:48">
      <c r="A198" t="s">
        <v>213</v>
      </c>
      <c r="B198" t="s">
        <v>3661</v>
      </c>
      <c r="C198" t="s">
        <v>3816</v>
      </c>
      <c r="D198" s="19"/>
      <c r="E198" t="s">
        <v>4015</v>
      </c>
      <c r="F198" t="s">
        <v>3462</v>
      </c>
      <c r="G198">
        <v>96</v>
      </c>
      <c r="H198" t="s">
        <v>607</v>
      </c>
      <c r="I198" s="13">
        <v>39303</v>
      </c>
      <c r="S198" s="16" t="s">
        <v>857</v>
      </c>
      <c r="T198" t="s">
        <v>1109</v>
      </c>
      <c r="U198" t="s">
        <v>4401</v>
      </c>
      <c r="W198" t="s">
        <v>857</v>
      </c>
      <c r="X198">
        <v>482.4</v>
      </c>
      <c r="AU198">
        <v>482.4</v>
      </c>
      <c r="AV198" t="s">
        <v>3462</v>
      </c>
    </row>
    <row r="199" spans="1:48">
      <c r="A199" t="s">
        <v>65</v>
      </c>
      <c r="B199" t="s">
        <v>3638</v>
      </c>
      <c r="C199" t="s">
        <v>3817</v>
      </c>
      <c r="D199" s="22" t="s">
        <v>1120</v>
      </c>
      <c r="E199" t="s">
        <v>4016</v>
      </c>
      <c r="F199" t="s">
        <v>3462</v>
      </c>
      <c r="G199">
        <v>96</v>
      </c>
      <c r="H199" t="s">
        <v>3639</v>
      </c>
      <c r="I199" s="13">
        <v>39242.625</v>
      </c>
      <c r="S199" s="16">
        <v>250</v>
      </c>
      <c r="T199" t="s">
        <v>1122</v>
      </c>
      <c r="U199" t="s">
        <v>4403</v>
      </c>
      <c r="W199">
        <v>1</v>
      </c>
      <c r="X199">
        <v>477.5</v>
      </c>
      <c r="AU199">
        <v>477.5</v>
      </c>
      <c r="AV199" t="s">
        <v>3462</v>
      </c>
    </row>
    <row r="200" spans="1:48">
      <c r="A200" t="s">
        <v>76</v>
      </c>
      <c r="B200" t="s">
        <v>486</v>
      </c>
      <c r="C200" t="s">
        <v>3796</v>
      </c>
      <c r="D200" s="19"/>
      <c r="E200" t="s">
        <v>3985</v>
      </c>
      <c r="F200" t="s">
        <v>3585</v>
      </c>
      <c r="G200">
        <v>96</v>
      </c>
      <c r="H200" t="s">
        <v>607</v>
      </c>
      <c r="I200" s="13" t="s">
        <v>1124</v>
      </c>
      <c r="S200" s="16" t="s">
        <v>857</v>
      </c>
      <c r="T200" t="s">
        <v>957</v>
      </c>
      <c r="U200" t="s">
        <v>4385</v>
      </c>
      <c r="W200">
        <v>6</v>
      </c>
      <c r="X200">
        <v>60.7</v>
      </c>
      <c r="AU200">
        <v>60.7</v>
      </c>
      <c r="AV200" t="s">
        <v>3585</v>
      </c>
    </row>
    <row r="201" spans="1:48">
      <c r="A201" t="s">
        <v>76</v>
      </c>
      <c r="B201" t="s">
        <v>77</v>
      </c>
      <c r="C201" t="s">
        <v>3788</v>
      </c>
      <c r="D201" s="19"/>
      <c r="E201" t="s">
        <v>4017</v>
      </c>
      <c r="F201" t="s">
        <v>3585</v>
      </c>
      <c r="G201">
        <v>96</v>
      </c>
      <c r="H201" t="s">
        <v>3639</v>
      </c>
      <c r="I201" s="13">
        <v>39242.166666666664</v>
      </c>
      <c r="S201" s="16" t="s">
        <v>857</v>
      </c>
      <c r="T201" t="s">
        <v>1129</v>
      </c>
      <c r="U201" t="s">
        <v>4377</v>
      </c>
      <c r="W201">
        <v>11.5</v>
      </c>
      <c r="X201">
        <v>371.7</v>
      </c>
      <c r="AU201">
        <v>371.7</v>
      </c>
      <c r="AV201" t="s">
        <v>3585</v>
      </c>
    </row>
    <row r="202" spans="1:48">
      <c r="A202" t="s">
        <v>346</v>
      </c>
      <c r="B202" t="s">
        <v>347</v>
      </c>
      <c r="C202" t="s">
        <v>3818</v>
      </c>
      <c r="D202" s="19" t="s">
        <v>1132</v>
      </c>
      <c r="E202" t="s">
        <v>4018</v>
      </c>
      <c r="F202" t="s">
        <v>3462</v>
      </c>
      <c r="G202">
        <v>96</v>
      </c>
      <c r="H202" t="s">
        <v>3639</v>
      </c>
      <c r="I202" s="13">
        <v>39241.75</v>
      </c>
      <c r="S202" s="16" t="s">
        <v>857</v>
      </c>
      <c r="T202" t="s">
        <v>1134</v>
      </c>
      <c r="U202" t="s">
        <v>4404</v>
      </c>
      <c r="W202">
        <v>1</v>
      </c>
      <c r="X202">
        <v>133</v>
      </c>
      <c r="AU202">
        <v>133</v>
      </c>
      <c r="AV202" t="s">
        <v>3462</v>
      </c>
    </row>
    <row r="203" spans="1:48">
      <c r="A203" t="s">
        <v>3634</v>
      </c>
      <c r="B203" t="s">
        <v>3662</v>
      </c>
      <c r="C203" t="s">
        <v>3819</v>
      </c>
      <c r="D203" s="19"/>
      <c r="E203" t="s">
        <v>4019</v>
      </c>
      <c r="F203" t="s">
        <v>3462</v>
      </c>
      <c r="G203">
        <v>96</v>
      </c>
      <c r="H203" t="s">
        <v>3639</v>
      </c>
      <c r="I203" s="13">
        <v>39241.333333333336</v>
      </c>
      <c r="S203" s="16" t="s">
        <v>975</v>
      </c>
      <c r="T203" t="s">
        <v>1140</v>
      </c>
      <c r="U203" t="s">
        <v>4405</v>
      </c>
      <c r="W203">
        <v>6</v>
      </c>
      <c r="X203">
        <v>248.4</v>
      </c>
      <c r="AU203">
        <v>248.4</v>
      </c>
      <c r="AV203" t="s">
        <v>3462</v>
      </c>
    </row>
    <row r="204" spans="1:48">
      <c r="A204" t="s">
        <v>3634</v>
      </c>
      <c r="B204" t="s">
        <v>3663</v>
      </c>
      <c r="C204" t="s">
        <v>3820</v>
      </c>
      <c r="D204" s="19"/>
      <c r="E204" t="s">
        <v>4020</v>
      </c>
      <c r="F204" t="s">
        <v>3462</v>
      </c>
      <c r="G204">
        <v>96</v>
      </c>
      <c r="H204" t="s">
        <v>3639</v>
      </c>
      <c r="I204" s="13">
        <v>39241.5</v>
      </c>
      <c r="S204" s="16" t="s">
        <v>975</v>
      </c>
      <c r="T204" t="s">
        <v>1146</v>
      </c>
      <c r="U204" t="s">
        <v>4406</v>
      </c>
      <c r="W204">
        <v>22.5</v>
      </c>
      <c r="X204">
        <v>319.2</v>
      </c>
      <c r="AU204">
        <v>319.2</v>
      </c>
      <c r="AV204" t="s">
        <v>3462</v>
      </c>
    </row>
    <row r="205" spans="1:48">
      <c r="A205" t="s">
        <v>3634</v>
      </c>
      <c r="B205" t="s">
        <v>3663</v>
      </c>
      <c r="C205" t="s">
        <v>3821</v>
      </c>
      <c r="D205" s="19"/>
      <c r="E205" t="s">
        <v>4021</v>
      </c>
      <c r="F205" t="s">
        <v>3462</v>
      </c>
      <c r="G205">
        <v>96</v>
      </c>
      <c r="H205" t="s">
        <v>3639</v>
      </c>
      <c r="I205" s="13">
        <v>39241.625</v>
      </c>
      <c r="S205" s="16">
        <v>350</v>
      </c>
      <c r="T205" t="s">
        <v>1151</v>
      </c>
      <c r="U205" t="s">
        <v>4407</v>
      </c>
      <c r="W205">
        <v>28.5</v>
      </c>
      <c r="X205">
        <v>399</v>
      </c>
      <c r="AU205">
        <v>399</v>
      </c>
      <c r="AV205" t="s">
        <v>3462</v>
      </c>
    </row>
    <row r="206" spans="1:48">
      <c r="A206" t="s">
        <v>3634</v>
      </c>
      <c r="B206" t="s">
        <v>3663</v>
      </c>
      <c r="C206" t="s">
        <v>3821</v>
      </c>
      <c r="D206" s="22" t="s">
        <v>1154</v>
      </c>
      <c r="E206" t="s">
        <v>4022</v>
      </c>
      <c r="F206" t="s">
        <v>3462</v>
      </c>
      <c r="G206">
        <v>96</v>
      </c>
      <c r="H206" t="s">
        <v>3639</v>
      </c>
      <c r="I206" s="13">
        <v>39241.625</v>
      </c>
      <c r="S206" s="16">
        <v>350</v>
      </c>
      <c r="T206" t="s">
        <v>1156</v>
      </c>
      <c r="U206" t="s">
        <v>4407</v>
      </c>
      <c r="W206">
        <v>28.5</v>
      </c>
      <c r="X206">
        <v>399</v>
      </c>
      <c r="AU206">
        <v>399</v>
      </c>
      <c r="AV206" t="s">
        <v>3462</v>
      </c>
    </row>
    <row r="207" spans="1:48">
      <c r="A207" t="s">
        <v>76</v>
      </c>
      <c r="B207" t="s">
        <v>3642</v>
      </c>
      <c r="C207" t="s">
        <v>3822</v>
      </c>
      <c r="D207" s="19"/>
      <c r="E207" t="s">
        <v>4023</v>
      </c>
      <c r="F207" t="s">
        <v>3585</v>
      </c>
      <c r="G207">
        <v>96</v>
      </c>
      <c r="H207" t="s">
        <v>3639</v>
      </c>
      <c r="I207" s="13">
        <v>39241.666666666664</v>
      </c>
      <c r="S207" s="16">
        <v>250</v>
      </c>
      <c r="T207" t="s">
        <v>1160</v>
      </c>
      <c r="U207" t="s">
        <v>4408</v>
      </c>
      <c r="W207">
        <v>9.5</v>
      </c>
      <c r="X207">
        <v>337.3</v>
      </c>
      <c r="AU207">
        <v>337.3</v>
      </c>
      <c r="AV207" t="s">
        <v>3585</v>
      </c>
    </row>
    <row r="208" spans="1:48">
      <c r="A208" t="s">
        <v>76</v>
      </c>
      <c r="B208" t="s">
        <v>3642</v>
      </c>
      <c r="C208" t="s">
        <v>3822</v>
      </c>
      <c r="D208" s="19"/>
      <c r="E208" t="s">
        <v>4024</v>
      </c>
      <c r="F208" t="s">
        <v>3757</v>
      </c>
      <c r="G208">
        <v>96</v>
      </c>
      <c r="H208" t="s">
        <v>3639</v>
      </c>
      <c r="I208" s="13">
        <v>39241.625</v>
      </c>
      <c r="S208" s="16">
        <v>250</v>
      </c>
      <c r="T208" t="s">
        <v>1160</v>
      </c>
      <c r="U208" t="s">
        <v>4408</v>
      </c>
      <c r="W208">
        <v>10.5</v>
      </c>
      <c r="X208">
        <v>326</v>
      </c>
      <c r="AU208">
        <v>326</v>
      </c>
      <c r="AV208" t="s">
        <v>3757</v>
      </c>
    </row>
    <row r="209" spans="1:48">
      <c r="A209" t="s">
        <v>76</v>
      </c>
      <c r="B209" t="s">
        <v>77</v>
      </c>
      <c r="C209" t="s">
        <v>379</v>
      </c>
      <c r="D209" s="19"/>
      <c r="E209" t="s">
        <v>4025</v>
      </c>
      <c r="F209" t="s">
        <v>3585</v>
      </c>
      <c r="G209">
        <v>96</v>
      </c>
      <c r="H209" t="s">
        <v>3639</v>
      </c>
      <c r="I209" s="13">
        <v>39237.291666666664</v>
      </c>
      <c r="S209" s="16">
        <v>250</v>
      </c>
      <c r="T209" t="s">
        <v>377</v>
      </c>
      <c r="U209" t="s">
        <v>378</v>
      </c>
      <c r="W209">
        <v>3.5</v>
      </c>
      <c r="X209">
        <v>47.8</v>
      </c>
      <c r="AU209">
        <v>47.8</v>
      </c>
      <c r="AV209" t="s">
        <v>3585</v>
      </c>
    </row>
    <row r="210" spans="1:48">
      <c r="A210" t="s">
        <v>76</v>
      </c>
      <c r="B210" t="s">
        <v>77</v>
      </c>
      <c r="C210" t="s">
        <v>379</v>
      </c>
      <c r="D210" s="19" t="s">
        <v>1171</v>
      </c>
      <c r="E210" t="s">
        <v>4026</v>
      </c>
      <c r="F210" t="s">
        <v>3778</v>
      </c>
      <c r="G210">
        <v>96</v>
      </c>
      <c r="H210" t="s">
        <v>3639</v>
      </c>
      <c r="I210" s="13">
        <v>39237.833333333336</v>
      </c>
      <c r="S210" s="16">
        <v>250</v>
      </c>
      <c r="T210" t="s">
        <v>377</v>
      </c>
      <c r="U210" t="s">
        <v>378</v>
      </c>
      <c r="W210">
        <v>3.5</v>
      </c>
      <c r="X210">
        <v>77.900000000000006</v>
      </c>
      <c r="AU210">
        <v>77.900000000000006</v>
      </c>
      <c r="AV210" t="s">
        <v>3778</v>
      </c>
    </row>
    <row r="211" spans="1:48">
      <c r="A211" t="s">
        <v>213</v>
      </c>
      <c r="B211" t="s">
        <v>3664</v>
      </c>
      <c r="C211" t="s">
        <v>3823</v>
      </c>
      <c r="D211" s="19" t="s">
        <v>1176</v>
      </c>
      <c r="E211" t="s">
        <v>4027</v>
      </c>
      <c r="F211" t="s">
        <v>3398</v>
      </c>
      <c r="G211">
        <v>97</v>
      </c>
      <c r="H211" t="s">
        <v>124</v>
      </c>
      <c r="I211" s="13">
        <v>39647.791666666664</v>
      </c>
      <c r="S211" s="16">
        <v>500</v>
      </c>
      <c r="T211" t="s">
        <v>1179</v>
      </c>
      <c r="U211" t="s">
        <v>4409</v>
      </c>
      <c r="W211">
        <v>48</v>
      </c>
      <c r="X211">
        <v>261</v>
      </c>
      <c r="AU211">
        <v>261</v>
      </c>
      <c r="AV211" t="s">
        <v>3398</v>
      </c>
    </row>
    <row r="212" spans="1:48">
      <c r="A212" t="s">
        <v>213</v>
      </c>
      <c r="B212" t="s">
        <v>3664</v>
      </c>
      <c r="C212" t="s">
        <v>3823</v>
      </c>
      <c r="D212" s="5" t="s">
        <v>1182</v>
      </c>
      <c r="E212" t="s">
        <v>4028</v>
      </c>
      <c r="F212" t="s">
        <v>3398</v>
      </c>
      <c r="G212">
        <v>97</v>
      </c>
      <c r="H212" t="s">
        <v>124</v>
      </c>
      <c r="I212" s="13">
        <v>39647.791666666664</v>
      </c>
      <c r="S212" s="16">
        <v>500</v>
      </c>
      <c r="T212" t="s">
        <v>1184</v>
      </c>
      <c r="U212" t="s">
        <v>4409</v>
      </c>
      <c r="W212">
        <v>48</v>
      </c>
      <c r="X212">
        <v>261</v>
      </c>
      <c r="AU212">
        <v>261</v>
      </c>
      <c r="AV212" t="s">
        <v>3398</v>
      </c>
    </row>
    <row r="213" spans="1:48">
      <c r="A213" t="s">
        <v>213</v>
      </c>
      <c r="B213" t="s">
        <v>3665</v>
      </c>
      <c r="C213" t="s">
        <v>3824</v>
      </c>
      <c r="D213" s="5" t="s">
        <v>1188</v>
      </c>
      <c r="E213" t="s">
        <v>4029</v>
      </c>
      <c r="F213" t="s">
        <v>3398</v>
      </c>
      <c r="G213">
        <v>97</v>
      </c>
      <c r="H213" t="s">
        <v>124</v>
      </c>
      <c r="I213" s="13">
        <v>39647</v>
      </c>
      <c r="S213" s="16">
        <v>550</v>
      </c>
      <c r="T213" t="s">
        <v>1191</v>
      </c>
      <c r="U213" t="s">
        <v>4410</v>
      </c>
      <c r="W213">
        <v>91.5</v>
      </c>
      <c r="X213">
        <v>734.1</v>
      </c>
      <c r="AU213">
        <v>734.1</v>
      </c>
      <c r="AV213" t="s">
        <v>3398</v>
      </c>
    </row>
    <row r="214" spans="1:48">
      <c r="A214" t="s">
        <v>213</v>
      </c>
      <c r="B214" t="s">
        <v>3665</v>
      </c>
      <c r="C214" t="s">
        <v>3825</v>
      </c>
      <c r="D214" s="5" t="s">
        <v>1195</v>
      </c>
      <c r="E214" t="s">
        <v>4030</v>
      </c>
      <c r="F214" t="s">
        <v>3398</v>
      </c>
      <c r="G214">
        <v>97</v>
      </c>
      <c r="H214" t="s">
        <v>124</v>
      </c>
      <c r="I214" s="13">
        <v>39646.833333333336</v>
      </c>
      <c r="S214" s="16" t="s">
        <v>857</v>
      </c>
      <c r="T214" t="s">
        <v>1197</v>
      </c>
      <c r="U214" t="s">
        <v>4410</v>
      </c>
      <c r="W214">
        <v>93</v>
      </c>
      <c r="X214">
        <v>374.9</v>
      </c>
      <c r="AU214">
        <v>374.9</v>
      </c>
      <c r="AV214" t="s">
        <v>3398</v>
      </c>
    </row>
    <row r="215" spans="1:48">
      <c r="A215" t="s">
        <v>220</v>
      </c>
      <c r="B215" t="s">
        <v>221</v>
      </c>
      <c r="C215" t="s">
        <v>238</v>
      </c>
      <c r="D215" s="19" t="s">
        <v>1237</v>
      </c>
      <c r="E215" t="s">
        <v>4031</v>
      </c>
      <c r="F215" t="s">
        <v>3462</v>
      </c>
      <c r="G215">
        <v>97</v>
      </c>
      <c r="H215" t="s">
        <v>124</v>
      </c>
      <c r="I215" s="13">
        <v>39647.083333333336</v>
      </c>
      <c r="S215" s="16">
        <v>450</v>
      </c>
      <c r="T215" t="s">
        <v>233</v>
      </c>
      <c r="U215" t="s">
        <v>234</v>
      </c>
      <c r="W215">
        <v>17</v>
      </c>
      <c r="X215">
        <v>420.9</v>
      </c>
      <c r="AU215">
        <v>420.9</v>
      </c>
      <c r="AV215" t="s">
        <v>3462</v>
      </c>
    </row>
    <row r="216" spans="1:48">
      <c r="A216" t="s">
        <v>65</v>
      </c>
      <c r="B216" t="s">
        <v>3666</v>
      </c>
      <c r="C216" t="s">
        <v>3826</v>
      </c>
      <c r="D216" s="5"/>
      <c r="E216" t="s">
        <v>4032</v>
      </c>
      <c r="F216" t="s">
        <v>3758</v>
      </c>
      <c r="G216">
        <v>97</v>
      </c>
      <c r="H216" t="s">
        <v>124</v>
      </c>
      <c r="I216" s="13">
        <v>39647.25</v>
      </c>
      <c r="S216" s="16">
        <v>350</v>
      </c>
      <c r="T216" t="s">
        <v>1122</v>
      </c>
      <c r="U216" t="s">
        <v>4403</v>
      </c>
      <c r="W216">
        <v>86.5</v>
      </c>
      <c r="X216">
        <v>245.8</v>
      </c>
      <c r="AU216">
        <v>245.8</v>
      </c>
      <c r="AV216" t="s">
        <v>3758</v>
      </c>
    </row>
    <row r="217" spans="1:48">
      <c r="A217" t="s">
        <v>220</v>
      </c>
      <c r="B217" t="s">
        <v>556</v>
      </c>
      <c r="C217" t="s">
        <v>564</v>
      </c>
      <c r="D217" s="5"/>
      <c r="E217" t="s">
        <v>4033</v>
      </c>
      <c r="F217" t="s">
        <v>3754</v>
      </c>
      <c r="G217">
        <v>97</v>
      </c>
      <c r="H217" t="s">
        <v>124</v>
      </c>
      <c r="I217" s="13">
        <v>39646.958333333336</v>
      </c>
      <c r="S217" s="16">
        <v>500</v>
      </c>
      <c r="T217" t="s">
        <v>559</v>
      </c>
      <c r="U217" t="s">
        <v>560</v>
      </c>
      <c r="W217">
        <v>139</v>
      </c>
      <c r="X217">
        <v>538.9</v>
      </c>
      <c r="AU217">
        <v>538.9</v>
      </c>
      <c r="AV217" t="s">
        <v>3754</v>
      </c>
    </row>
    <row r="218" spans="1:48">
      <c r="A218" t="s">
        <v>65</v>
      </c>
      <c r="B218" t="s">
        <v>3525</v>
      </c>
      <c r="C218" t="s">
        <v>3827</v>
      </c>
      <c r="D218" s="5" t="s">
        <v>1261</v>
      </c>
      <c r="E218" t="s">
        <v>4034</v>
      </c>
      <c r="F218" t="s">
        <v>3752</v>
      </c>
      <c r="G218">
        <v>97</v>
      </c>
      <c r="H218" t="s">
        <v>124</v>
      </c>
      <c r="I218" s="13">
        <v>39647.333333333336</v>
      </c>
      <c r="S218" s="16">
        <v>450</v>
      </c>
      <c r="T218" t="s">
        <v>1263</v>
      </c>
      <c r="U218" t="s">
        <v>3529</v>
      </c>
      <c r="W218">
        <v>146.5</v>
      </c>
      <c r="X218">
        <v>490.7</v>
      </c>
      <c r="AU218">
        <v>490.7</v>
      </c>
      <c r="AV218" t="s">
        <v>3752</v>
      </c>
    </row>
    <row r="219" spans="1:48">
      <c r="A219" t="s">
        <v>76</v>
      </c>
      <c r="B219" t="s">
        <v>3657</v>
      </c>
      <c r="C219" t="s">
        <v>3796</v>
      </c>
      <c r="D219" s="5"/>
      <c r="E219" t="s">
        <v>4035</v>
      </c>
      <c r="F219" t="s">
        <v>3757</v>
      </c>
      <c r="G219">
        <v>97</v>
      </c>
      <c r="H219" t="s">
        <v>124</v>
      </c>
      <c r="I219" s="13">
        <v>39647.083333333336</v>
      </c>
      <c r="S219" s="16" t="s">
        <v>970</v>
      </c>
      <c r="T219" t="s">
        <v>1267</v>
      </c>
      <c r="U219" t="s">
        <v>4411</v>
      </c>
      <c r="W219">
        <v>97.5</v>
      </c>
      <c r="X219">
        <v>261.60000000000002</v>
      </c>
      <c r="AU219">
        <v>261.60000000000002</v>
      </c>
      <c r="AV219" t="s">
        <v>3757</v>
      </c>
    </row>
    <row r="220" spans="1:48">
      <c r="A220" t="s">
        <v>76</v>
      </c>
      <c r="B220" t="s">
        <v>77</v>
      </c>
      <c r="C220" t="s">
        <v>3785</v>
      </c>
      <c r="D220" s="5"/>
      <c r="E220" t="s">
        <v>4036</v>
      </c>
      <c r="F220" t="s">
        <v>3757</v>
      </c>
      <c r="G220">
        <v>97</v>
      </c>
      <c r="H220" t="s">
        <v>124</v>
      </c>
      <c r="I220" s="13">
        <v>39647.25</v>
      </c>
      <c r="S220" s="16" t="s">
        <v>964</v>
      </c>
      <c r="T220" t="s">
        <v>1271</v>
      </c>
      <c r="U220" t="s">
        <v>4374</v>
      </c>
      <c r="W220">
        <v>33</v>
      </c>
      <c r="X220">
        <v>158</v>
      </c>
      <c r="AU220">
        <v>158</v>
      </c>
      <c r="AV220" t="s">
        <v>3757</v>
      </c>
    </row>
    <row r="221" spans="1:48">
      <c r="A221" t="s">
        <v>183</v>
      </c>
      <c r="B221" t="s">
        <v>184</v>
      </c>
      <c r="C221" t="s">
        <v>185</v>
      </c>
      <c r="D221" s="5"/>
      <c r="E221" t="s">
        <v>4037</v>
      </c>
      <c r="F221" t="s">
        <v>3757</v>
      </c>
      <c r="G221">
        <v>97</v>
      </c>
      <c r="H221" t="s">
        <v>124</v>
      </c>
      <c r="I221" s="13">
        <v>39647.083333333336</v>
      </c>
      <c r="S221" s="16" t="s">
        <v>857</v>
      </c>
      <c r="T221" t="s">
        <v>1071</v>
      </c>
      <c r="U221" t="s">
        <v>4396</v>
      </c>
      <c r="W221">
        <v>102</v>
      </c>
      <c r="X221">
        <v>396.4</v>
      </c>
      <c r="AU221">
        <v>396.4</v>
      </c>
      <c r="AV221" t="s">
        <v>3757</v>
      </c>
    </row>
    <row r="222" spans="1:48">
      <c r="A222" t="s">
        <v>213</v>
      </c>
      <c r="B222" t="s">
        <v>3665</v>
      </c>
      <c r="C222" t="s">
        <v>3828</v>
      </c>
      <c r="D222" s="18" t="s">
        <v>1281</v>
      </c>
      <c r="E222" t="s">
        <v>4038</v>
      </c>
      <c r="F222" t="s">
        <v>3398</v>
      </c>
      <c r="G222">
        <v>97</v>
      </c>
      <c r="H222" t="s">
        <v>124</v>
      </c>
      <c r="I222" s="13">
        <v>39646.708333333336</v>
      </c>
      <c r="S222" s="16">
        <v>550</v>
      </c>
      <c r="T222" t="s">
        <v>1191</v>
      </c>
      <c r="U222" t="s">
        <v>4410</v>
      </c>
      <c r="W222">
        <v>63.5</v>
      </c>
      <c r="X222">
        <v>181.8</v>
      </c>
      <c r="AU222">
        <v>181.8</v>
      </c>
      <c r="AV222" t="s">
        <v>3398</v>
      </c>
    </row>
    <row r="223" spans="1:48">
      <c r="A223" t="s">
        <v>76</v>
      </c>
      <c r="B223" t="s">
        <v>482</v>
      </c>
      <c r="C223" t="s">
        <v>483</v>
      </c>
      <c r="D223" s="5" t="s">
        <v>1292</v>
      </c>
      <c r="E223" t="s">
        <v>4039</v>
      </c>
      <c r="F223" t="s">
        <v>3759</v>
      </c>
      <c r="G223">
        <v>97</v>
      </c>
      <c r="H223" t="s">
        <v>124</v>
      </c>
      <c r="I223" s="13">
        <v>39647.125</v>
      </c>
      <c r="S223" s="16">
        <v>350</v>
      </c>
      <c r="T223" t="s">
        <v>1294</v>
      </c>
      <c r="U223" t="s">
        <v>4412</v>
      </c>
      <c r="W223">
        <v>83.5</v>
      </c>
      <c r="X223">
        <v>360.4</v>
      </c>
      <c r="AU223">
        <v>360.4</v>
      </c>
      <c r="AV223" t="s">
        <v>3759</v>
      </c>
    </row>
    <row r="224" spans="1:48">
      <c r="A224" t="s">
        <v>76</v>
      </c>
      <c r="B224" t="s">
        <v>98</v>
      </c>
      <c r="C224" t="s">
        <v>415</v>
      </c>
      <c r="D224" s="5" t="s">
        <v>1298</v>
      </c>
      <c r="E224" t="s">
        <v>4040</v>
      </c>
      <c r="F224" t="s">
        <v>3759</v>
      </c>
      <c r="G224">
        <v>97</v>
      </c>
      <c r="H224" t="s">
        <v>124</v>
      </c>
      <c r="I224" s="13">
        <v>39647.166666666664</v>
      </c>
      <c r="S224" s="16">
        <v>250</v>
      </c>
      <c r="T224" t="s">
        <v>105</v>
      </c>
      <c r="U224" t="s">
        <v>106</v>
      </c>
      <c r="W224">
        <v>46</v>
      </c>
      <c r="X224">
        <v>276.8</v>
      </c>
      <c r="AU224">
        <v>276.8</v>
      </c>
      <c r="AV224" t="s">
        <v>3759</v>
      </c>
    </row>
    <row r="225" spans="1:48">
      <c r="A225" t="s">
        <v>220</v>
      </c>
      <c r="B225" t="s">
        <v>575</v>
      </c>
      <c r="C225" t="s">
        <v>576</v>
      </c>
      <c r="D225" s="5" t="s">
        <v>1304</v>
      </c>
      <c r="E225" t="s">
        <v>4041</v>
      </c>
      <c r="F225" t="s">
        <v>3398</v>
      </c>
      <c r="G225">
        <v>97</v>
      </c>
      <c r="H225" t="s">
        <v>124</v>
      </c>
      <c r="I225" s="13">
        <v>39647.041666666664</v>
      </c>
      <c r="S225" s="16">
        <v>550</v>
      </c>
      <c r="T225" t="s">
        <v>1306</v>
      </c>
      <c r="U225" t="s">
        <v>4413</v>
      </c>
      <c r="W225">
        <v>92.5</v>
      </c>
      <c r="X225">
        <v>443</v>
      </c>
      <c r="AU225">
        <v>443</v>
      </c>
      <c r="AV225" t="s">
        <v>3398</v>
      </c>
    </row>
    <row r="226" spans="1:48">
      <c r="A226" t="s">
        <v>220</v>
      </c>
      <c r="B226" t="s">
        <v>556</v>
      </c>
      <c r="C226" t="s">
        <v>561</v>
      </c>
      <c r="D226" s="5" t="s">
        <v>1310</v>
      </c>
      <c r="E226" t="s">
        <v>4042</v>
      </c>
      <c r="F226" t="s">
        <v>3759</v>
      </c>
      <c r="G226">
        <v>97</v>
      </c>
      <c r="H226" t="s">
        <v>124</v>
      </c>
      <c r="I226" s="13">
        <v>39646.916666666664</v>
      </c>
      <c r="S226" s="16">
        <v>500</v>
      </c>
      <c r="T226" t="s">
        <v>559</v>
      </c>
      <c r="U226" t="s">
        <v>560</v>
      </c>
      <c r="W226">
        <v>130</v>
      </c>
      <c r="X226">
        <v>382.5</v>
      </c>
      <c r="AU226">
        <v>382.5</v>
      </c>
      <c r="AV226" t="s">
        <v>3759</v>
      </c>
    </row>
    <row r="227" spans="1:48">
      <c r="A227" t="s">
        <v>213</v>
      </c>
      <c r="B227" t="s">
        <v>3665</v>
      </c>
      <c r="C227" t="s">
        <v>3824</v>
      </c>
      <c r="D227" s="5" t="s">
        <v>1313</v>
      </c>
      <c r="E227" t="s">
        <v>4043</v>
      </c>
      <c r="F227" t="s">
        <v>3462</v>
      </c>
      <c r="G227">
        <v>97</v>
      </c>
      <c r="H227" t="s">
        <v>124</v>
      </c>
      <c r="I227" s="13">
        <v>39646.875</v>
      </c>
      <c r="S227" s="16">
        <v>450</v>
      </c>
      <c r="T227" t="s">
        <v>1191</v>
      </c>
      <c r="U227" t="s">
        <v>4410</v>
      </c>
      <c r="W227">
        <v>86</v>
      </c>
      <c r="X227">
        <v>451.7</v>
      </c>
      <c r="AU227">
        <v>451.7</v>
      </c>
      <c r="AV227" t="s">
        <v>3462</v>
      </c>
    </row>
    <row r="228" spans="1:48">
      <c r="A228" t="s">
        <v>220</v>
      </c>
      <c r="B228" t="s">
        <v>221</v>
      </c>
      <c r="C228" t="s">
        <v>248</v>
      </c>
      <c r="D228" s="5" t="s">
        <v>1318</v>
      </c>
      <c r="E228" t="s">
        <v>4044</v>
      </c>
      <c r="F228" t="s">
        <v>3462</v>
      </c>
      <c r="G228">
        <v>97</v>
      </c>
      <c r="H228" t="s">
        <v>124</v>
      </c>
      <c r="I228" s="13">
        <v>39648.708333333336</v>
      </c>
      <c r="S228" s="16">
        <v>450</v>
      </c>
      <c r="T228" t="s">
        <v>225</v>
      </c>
      <c r="U228" t="s">
        <v>226</v>
      </c>
      <c r="W228">
        <v>20</v>
      </c>
      <c r="X228">
        <v>865.4</v>
      </c>
      <c r="AU228">
        <v>865.4</v>
      </c>
      <c r="AV228" t="s">
        <v>3462</v>
      </c>
    </row>
    <row r="229" spans="1:48">
      <c r="A229" t="s">
        <v>76</v>
      </c>
      <c r="B229" t="s">
        <v>3667</v>
      </c>
      <c r="C229" t="s">
        <v>3829</v>
      </c>
      <c r="D229" s="5"/>
      <c r="E229" t="s">
        <v>4045</v>
      </c>
      <c r="F229" t="s">
        <v>3760</v>
      </c>
      <c r="G229">
        <v>97</v>
      </c>
      <c r="H229" t="s">
        <v>124</v>
      </c>
      <c r="I229" s="13">
        <v>39648.291666666664</v>
      </c>
      <c r="S229" s="16">
        <v>400</v>
      </c>
      <c r="T229" t="s">
        <v>1058</v>
      </c>
      <c r="U229" t="s">
        <v>4394</v>
      </c>
      <c r="W229">
        <v>6</v>
      </c>
      <c r="X229">
        <v>371.3</v>
      </c>
      <c r="AU229">
        <v>371.3</v>
      </c>
      <c r="AV229" t="s">
        <v>3760</v>
      </c>
    </row>
    <row r="230" spans="1:48">
      <c r="A230" t="s">
        <v>65</v>
      </c>
      <c r="B230" t="s">
        <v>3638</v>
      </c>
      <c r="C230" t="s">
        <v>3817</v>
      </c>
      <c r="D230" s="5"/>
      <c r="E230" t="s">
        <v>4046</v>
      </c>
      <c r="F230" t="s">
        <v>3585</v>
      </c>
      <c r="G230">
        <v>97</v>
      </c>
      <c r="H230" t="s">
        <v>124</v>
      </c>
      <c r="I230" s="13">
        <v>39647.458333333336</v>
      </c>
      <c r="S230" s="16">
        <v>300</v>
      </c>
      <c r="T230" t="s">
        <v>1328</v>
      </c>
      <c r="U230" t="s">
        <v>4414</v>
      </c>
      <c r="W230">
        <v>10.5</v>
      </c>
      <c r="X230">
        <v>383.7</v>
      </c>
      <c r="AU230">
        <v>383.7</v>
      </c>
      <c r="AV230" t="s">
        <v>3585</v>
      </c>
    </row>
    <row r="231" spans="1:48">
      <c r="A231" t="s">
        <v>220</v>
      </c>
      <c r="B231" t="s">
        <v>556</v>
      </c>
      <c r="C231" t="s">
        <v>564</v>
      </c>
      <c r="D231" s="5" t="s">
        <v>1332</v>
      </c>
      <c r="E231" t="s">
        <v>4047</v>
      </c>
      <c r="F231" t="s">
        <v>3398</v>
      </c>
      <c r="G231">
        <v>97</v>
      </c>
      <c r="H231" t="s">
        <v>124</v>
      </c>
      <c r="I231" s="13">
        <v>39646.958333333336</v>
      </c>
      <c r="S231" s="16">
        <v>500</v>
      </c>
      <c r="T231" t="s">
        <v>559</v>
      </c>
      <c r="U231" t="s">
        <v>560</v>
      </c>
      <c r="W231">
        <v>139</v>
      </c>
      <c r="X231">
        <v>538</v>
      </c>
      <c r="AU231">
        <v>538</v>
      </c>
      <c r="AV231" t="s">
        <v>3398</v>
      </c>
    </row>
    <row r="232" spans="1:48">
      <c r="A232" t="s">
        <v>76</v>
      </c>
      <c r="B232" t="s">
        <v>3657</v>
      </c>
      <c r="C232" t="s">
        <v>3830</v>
      </c>
      <c r="D232" s="5"/>
      <c r="E232" t="s">
        <v>4048</v>
      </c>
      <c r="F232" t="s">
        <v>3762</v>
      </c>
      <c r="G232">
        <v>97</v>
      </c>
      <c r="H232" t="s">
        <v>124</v>
      </c>
      <c r="I232" s="13">
        <v>39647.208333333336</v>
      </c>
      <c r="S232" s="16">
        <v>350</v>
      </c>
      <c r="T232" t="s">
        <v>1342</v>
      </c>
      <c r="U232" t="s">
        <v>424</v>
      </c>
      <c r="W232">
        <v>30.5</v>
      </c>
      <c r="X232">
        <v>217.7</v>
      </c>
      <c r="AU232">
        <v>217.7</v>
      </c>
      <c r="AV232" t="s">
        <v>3762</v>
      </c>
    </row>
    <row r="233" spans="1:48">
      <c r="A233" t="s">
        <v>220</v>
      </c>
      <c r="B233" t="s">
        <v>556</v>
      </c>
      <c r="C233" t="s">
        <v>564</v>
      </c>
      <c r="D233" s="5" t="s">
        <v>1332</v>
      </c>
      <c r="E233" t="s">
        <v>4049</v>
      </c>
      <c r="F233" t="s">
        <v>3762</v>
      </c>
      <c r="G233">
        <v>97</v>
      </c>
      <c r="H233" t="s">
        <v>124</v>
      </c>
      <c r="I233" s="13">
        <v>39646.916666666664</v>
      </c>
      <c r="S233" s="16">
        <v>500</v>
      </c>
      <c r="T233" t="s">
        <v>559</v>
      </c>
      <c r="U233" t="s">
        <v>560</v>
      </c>
      <c r="W233">
        <v>130</v>
      </c>
      <c r="X233">
        <v>382.5</v>
      </c>
      <c r="AU233">
        <v>382.5</v>
      </c>
      <c r="AV233" t="s">
        <v>3762</v>
      </c>
    </row>
    <row r="234" spans="1:48">
      <c r="A234" t="s">
        <v>220</v>
      </c>
      <c r="B234" t="s">
        <v>221</v>
      </c>
      <c r="C234" t="s">
        <v>222</v>
      </c>
      <c r="D234" s="5"/>
      <c r="E234" t="s">
        <v>4050</v>
      </c>
      <c r="F234" t="s">
        <v>3762</v>
      </c>
      <c r="G234">
        <v>97</v>
      </c>
      <c r="H234" t="s">
        <v>124</v>
      </c>
      <c r="I234" s="13">
        <v>39646.916666666664</v>
      </c>
      <c r="S234" s="16">
        <v>450</v>
      </c>
      <c r="T234" t="s">
        <v>225</v>
      </c>
      <c r="U234" t="s">
        <v>226</v>
      </c>
      <c r="W234">
        <v>109.5</v>
      </c>
      <c r="X234">
        <v>310.39999999999998</v>
      </c>
      <c r="AU234">
        <v>310.39999999999998</v>
      </c>
      <c r="AV234" t="s">
        <v>3762</v>
      </c>
    </row>
    <row r="235" spans="1:48">
      <c r="A235" t="s">
        <v>44</v>
      </c>
      <c r="B235" t="s">
        <v>3668</v>
      </c>
      <c r="C235" t="s">
        <v>3831</v>
      </c>
      <c r="D235" s="19" t="s">
        <v>1348</v>
      </c>
      <c r="E235" t="s">
        <v>4051</v>
      </c>
      <c r="F235" t="s">
        <v>3398</v>
      </c>
      <c r="G235">
        <v>97</v>
      </c>
      <c r="H235" t="s">
        <v>84</v>
      </c>
      <c r="I235" s="13">
        <v>39705.083333333336</v>
      </c>
      <c r="S235" s="16">
        <v>550</v>
      </c>
      <c r="T235" t="s">
        <v>1354</v>
      </c>
      <c r="U235" t="s">
        <v>4415</v>
      </c>
      <c r="W235">
        <v>84.5</v>
      </c>
      <c r="X235">
        <v>425</v>
      </c>
      <c r="AU235">
        <v>425</v>
      </c>
      <c r="AV235" t="s">
        <v>3398</v>
      </c>
    </row>
    <row r="236" spans="1:48">
      <c r="A236" t="s">
        <v>3634</v>
      </c>
      <c r="B236" t="s">
        <v>3669</v>
      </c>
      <c r="C236" t="s">
        <v>3832</v>
      </c>
      <c r="D236" s="5"/>
      <c r="E236" t="s">
        <v>4052</v>
      </c>
      <c r="F236" t="s">
        <v>3757</v>
      </c>
      <c r="G236">
        <v>97</v>
      </c>
      <c r="H236" t="s">
        <v>84</v>
      </c>
      <c r="I236" s="13">
        <v>39706.041666666664</v>
      </c>
      <c r="S236" s="16" t="s">
        <v>857</v>
      </c>
      <c r="T236" t="s">
        <v>1375</v>
      </c>
      <c r="U236" t="s">
        <v>4375</v>
      </c>
      <c r="W236">
        <v>26</v>
      </c>
      <c r="X236">
        <v>158</v>
      </c>
      <c r="AU236">
        <v>158</v>
      </c>
      <c r="AV236" t="s">
        <v>3757</v>
      </c>
    </row>
    <row r="237" spans="1:48">
      <c r="A237" t="s">
        <v>3634</v>
      </c>
      <c r="B237" t="s">
        <v>3670</v>
      </c>
      <c r="C237" t="s">
        <v>3833</v>
      </c>
      <c r="D237" s="5"/>
      <c r="E237" t="s">
        <v>4053</v>
      </c>
      <c r="F237" t="s">
        <v>3757</v>
      </c>
      <c r="G237">
        <v>97</v>
      </c>
      <c r="H237" t="s">
        <v>84</v>
      </c>
      <c r="I237" s="13">
        <v>39706.625</v>
      </c>
      <c r="S237" s="16">
        <v>450</v>
      </c>
      <c r="T237" t="s">
        <v>1380</v>
      </c>
      <c r="U237" t="s">
        <v>4416</v>
      </c>
      <c r="W237">
        <v>1</v>
      </c>
      <c r="X237">
        <v>813.2</v>
      </c>
      <c r="AU237">
        <v>813.2</v>
      </c>
      <c r="AV237" t="s">
        <v>3757</v>
      </c>
    </row>
    <row r="238" spans="1:48">
      <c r="A238" t="s">
        <v>3634</v>
      </c>
      <c r="B238" t="s">
        <v>3671</v>
      </c>
      <c r="C238" t="s">
        <v>3834</v>
      </c>
      <c r="D238" s="5"/>
      <c r="E238" t="s">
        <v>4054</v>
      </c>
      <c r="F238" t="s">
        <v>3757</v>
      </c>
      <c r="G238">
        <v>97</v>
      </c>
      <c r="H238" t="s">
        <v>84</v>
      </c>
      <c r="I238" s="13">
        <v>39705.833333333336</v>
      </c>
      <c r="S238" s="16">
        <v>500</v>
      </c>
      <c r="T238" t="s">
        <v>1386</v>
      </c>
      <c r="U238" t="s">
        <v>4416</v>
      </c>
      <c r="W238">
        <v>50.5</v>
      </c>
      <c r="X238">
        <v>611.29999999999995</v>
      </c>
      <c r="AU238">
        <v>611.29999999999995</v>
      </c>
      <c r="AV238" t="s">
        <v>3757</v>
      </c>
    </row>
    <row r="239" spans="1:48">
      <c r="A239" t="s">
        <v>352</v>
      </c>
      <c r="B239" t="s">
        <v>3672</v>
      </c>
      <c r="C239" t="s">
        <v>3835</v>
      </c>
      <c r="D239" s="5"/>
      <c r="E239" t="s">
        <v>4055</v>
      </c>
      <c r="F239" t="s">
        <v>3757</v>
      </c>
      <c r="G239">
        <v>97</v>
      </c>
      <c r="H239" t="s">
        <v>84</v>
      </c>
      <c r="I239" s="13">
        <v>39705.375</v>
      </c>
      <c r="S239" s="16">
        <v>450</v>
      </c>
      <c r="T239" t="s">
        <v>1391</v>
      </c>
      <c r="U239" t="s">
        <v>4417</v>
      </c>
      <c r="W239">
        <v>52.5</v>
      </c>
      <c r="X239">
        <v>382.5</v>
      </c>
      <c r="AU239">
        <v>382.5</v>
      </c>
      <c r="AV239" t="s">
        <v>3757</v>
      </c>
    </row>
    <row r="240" spans="1:48">
      <c r="A240" t="s">
        <v>183</v>
      </c>
      <c r="B240" t="s">
        <v>504</v>
      </c>
      <c r="C240" t="s">
        <v>505</v>
      </c>
      <c r="D240" s="5"/>
      <c r="E240" t="s">
        <v>4056</v>
      </c>
      <c r="F240" t="s">
        <v>3757</v>
      </c>
      <c r="G240">
        <v>97</v>
      </c>
      <c r="H240" t="s">
        <v>84</v>
      </c>
      <c r="I240" s="13">
        <v>39705.166666666664</v>
      </c>
      <c r="S240" s="16" t="s">
        <v>857</v>
      </c>
      <c r="T240" t="s">
        <v>507</v>
      </c>
      <c r="U240" t="s">
        <v>4418</v>
      </c>
      <c r="W240">
        <v>46</v>
      </c>
      <c r="X240">
        <v>531.6</v>
      </c>
      <c r="AU240">
        <v>531.6</v>
      </c>
      <c r="AV240" t="s">
        <v>3757</v>
      </c>
    </row>
    <row r="241" spans="1:48">
      <c r="A241" t="s">
        <v>3588</v>
      </c>
      <c r="B241" t="s">
        <v>3589</v>
      </c>
      <c r="C241" t="s">
        <v>3836</v>
      </c>
      <c r="D241" s="5"/>
      <c r="E241" t="s">
        <v>4057</v>
      </c>
      <c r="F241" t="s">
        <v>3761</v>
      </c>
      <c r="G241">
        <v>97</v>
      </c>
      <c r="H241" t="s">
        <v>84</v>
      </c>
      <c r="I241" s="13">
        <v>39719.875</v>
      </c>
      <c r="S241" s="16" t="s">
        <v>857</v>
      </c>
      <c r="T241" t="s">
        <v>1401</v>
      </c>
      <c r="U241" t="s">
        <v>4419</v>
      </c>
      <c r="W241">
        <v>3.5</v>
      </c>
      <c r="X241">
        <v>395.6</v>
      </c>
      <c r="AU241">
        <v>395.6</v>
      </c>
      <c r="AV241" t="s">
        <v>3761</v>
      </c>
    </row>
    <row r="242" spans="1:48">
      <c r="A242" t="s">
        <v>76</v>
      </c>
      <c r="B242" t="s">
        <v>118</v>
      </c>
      <c r="C242" t="s">
        <v>125</v>
      </c>
      <c r="D242" s="11" t="s">
        <v>1405</v>
      </c>
      <c r="E242" t="s">
        <v>4058</v>
      </c>
      <c r="F242" t="s">
        <v>3759</v>
      </c>
      <c r="G242">
        <v>97</v>
      </c>
      <c r="H242" t="s">
        <v>84</v>
      </c>
      <c r="I242" s="13">
        <v>39705.291666666664</v>
      </c>
      <c r="S242" s="16">
        <v>250</v>
      </c>
      <c r="T242" t="s">
        <v>103</v>
      </c>
      <c r="U242" t="s">
        <v>104</v>
      </c>
      <c r="W242">
        <v>38</v>
      </c>
      <c r="X242">
        <v>347.6</v>
      </c>
      <c r="AU242">
        <v>347.6</v>
      </c>
      <c r="AV242" t="s">
        <v>3759</v>
      </c>
    </row>
    <row r="243" spans="1:48">
      <c r="A243" t="s">
        <v>76</v>
      </c>
      <c r="B243" t="s">
        <v>77</v>
      </c>
      <c r="C243" t="s">
        <v>78</v>
      </c>
      <c r="D243" s="11" t="s">
        <v>1408</v>
      </c>
      <c r="E243" t="s">
        <v>4059</v>
      </c>
      <c r="F243" t="s">
        <v>3462</v>
      </c>
      <c r="G243">
        <v>97</v>
      </c>
      <c r="H243" t="s">
        <v>84</v>
      </c>
      <c r="I243" s="13">
        <v>39706.291666666664</v>
      </c>
      <c r="S243" s="16">
        <v>250</v>
      </c>
      <c r="T243" t="s">
        <v>85</v>
      </c>
      <c r="U243" t="s">
        <v>86</v>
      </c>
      <c r="W243">
        <v>71.5</v>
      </c>
      <c r="X243">
        <v>862.2</v>
      </c>
      <c r="AU243">
        <v>862.2</v>
      </c>
      <c r="AV243" t="s">
        <v>3462</v>
      </c>
    </row>
    <row r="244" spans="1:48">
      <c r="A244" t="s">
        <v>76</v>
      </c>
      <c r="B244" t="s">
        <v>77</v>
      </c>
      <c r="C244" t="s">
        <v>78</v>
      </c>
      <c r="D244" s="11" t="s">
        <v>1411</v>
      </c>
      <c r="E244" t="s">
        <v>4060</v>
      </c>
      <c r="F244" t="s">
        <v>3462</v>
      </c>
      <c r="G244">
        <v>97</v>
      </c>
      <c r="H244" t="s">
        <v>84</v>
      </c>
      <c r="I244" s="13">
        <v>39706.5</v>
      </c>
      <c r="S244" s="16">
        <v>250</v>
      </c>
      <c r="T244" t="s">
        <v>82</v>
      </c>
      <c r="U244" t="s">
        <v>83</v>
      </c>
      <c r="W244">
        <v>46.5</v>
      </c>
      <c r="X244">
        <v>849.8</v>
      </c>
      <c r="AU244">
        <v>849.8</v>
      </c>
      <c r="AV244" t="s">
        <v>3462</v>
      </c>
    </row>
    <row r="245" spans="1:48">
      <c r="A245" t="s">
        <v>76</v>
      </c>
      <c r="B245" t="s">
        <v>98</v>
      </c>
      <c r="C245" t="s">
        <v>369</v>
      </c>
      <c r="D245" s="11" t="s">
        <v>1416</v>
      </c>
      <c r="E245" t="s">
        <v>4061</v>
      </c>
      <c r="F245" t="s">
        <v>3462</v>
      </c>
      <c r="G245">
        <v>97</v>
      </c>
      <c r="H245" t="s">
        <v>84</v>
      </c>
      <c r="I245" s="13">
        <v>39705.458333333336</v>
      </c>
      <c r="S245" s="16">
        <v>250</v>
      </c>
      <c r="T245" t="s">
        <v>891</v>
      </c>
      <c r="U245" t="s">
        <v>4379</v>
      </c>
      <c r="W245">
        <v>50</v>
      </c>
      <c r="X245">
        <v>428.6</v>
      </c>
      <c r="AU245">
        <v>428.6</v>
      </c>
      <c r="AV245" t="s">
        <v>3462</v>
      </c>
    </row>
    <row r="246" spans="1:48">
      <c r="A246" t="s">
        <v>3634</v>
      </c>
      <c r="B246" t="s">
        <v>3670</v>
      </c>
      <c r="C246" t="s">
        <v>3837</v>
      </c>
      <c r="D246" s="11" t="s">
        <v>1420</v>
      </c>
      <c r="E246" t="s">
        <v>4062</v>
      </c>
      <c r="F246" t="s">
        <v>3462</v>
      </c>
      <c r="G246">
        <v>97</v>
      </c>
      <c r="H246" t="s">
        <v>84</v>
      </c>
      <c r="I246" s="13">
        <v>39705.75</v>
      </c>
      <c r="S246" s="16">
        <v>450</v>
      </c>
      <c r="T246" t="s">
        <v>1030</v>
      </c>
      <c r="U246" t="s">
        <v>4392</v>
      </c>
      <c r="W246">
        <v>30.5</v>
      </c>
      <c r="X246">
        <v>516.4</v>
      </c>
      <c r="AU246">
        <v>516.4</v>
      </c>
      <c r="AV246" t="s">
        <v>3462</v>
      </c>
    </row>
    <row r="247" spans="1:48">
      <c r="A247" t="s">
        <v>76</v>
      </c>
      <c r="B247" t="s">
        <v>77</v>
      </c>
      <c r="C247" t="s">
        <v>395</v>
      </c>
      <c r="D247" s="11" t="s">
        <v>1426</v>
      </c>
      <c r="E247" t="s">
        <v>4063</v>
      </c>
      <c r="F247" t="s">
        <v>3779</v>
      </c>
      <c r="G247">
        <v>97</v>
      </c>
      <c r="H247" t="s">
        <v>84</v>
      </c>
      <c r="I247" s="13">
        <v>39706.458333333336</v>
      </c>
      <c r="S247" s="16">
        <v>250</v>
      </c>
      <c r="T247" t="s">
        <v>96</v>
      </c>
      <c r="U247" t="s">
        <v>97</v>
      </c>
      <c r="W247">
        <v>47</v>
      </c>
      <c r="X247">
        <v>938.2</v>
      </c>
      <c r="AU247">
        <v>938.2</v>
      </c>
      <c r="AV247" t="s">
        <v>3779</v>
      </c>
    </row>
    <row r="248" spans="1:48">
      <c r="A248" t="s">
        <v>65</v>
      </c>
      <c r="B248" t="s">
        <v>3525</v>
      </c>
      <c r="C248" t="s">
        <v>3526</v>
      </c>
      <c r="D248" s="5"/>
      <c r="E248" t="s">
        <v>4064</v>
      </c>
      <c r="F248" t="s">
        <v>3585</v>
      </c>
      <c r="G248">
        <v>97</v>
      </c>
      <c r="H248" t="s">
        <v>84</v>
      </c>
      <c r="I248" s="13">
        <v>39706.458333333336</v>
      </c>
      <c r="S248" s="16">
        <v>450</v>
      </c>
      <c r="T248" t="s">
        <v>1263</v>
      </c>
      <c r="U248" t="s">
        <v>3529</v>
      </c>
      <c r="W248">
        <v>40</v>
      </c>
      <c r="X248">
        <v>416.9</v>
      </c>
      <c r="AU248">
        <v>416.9</v>
      </c>
      <c r="AV248" t="s">
        <v>3585</v>
      </c>
    </row>
    <row r="249" spans="1:48">
      <c r="A249" t="s">
        <v>318</v>
      </c>
      <c r="B249" t="s">
        <v>3673</v>
      </c>
      <c r="C249" t="s">
        <v>3838</v>
      </c>
      <c r="D249" s="5"/>
      <c r="E249" t="s">
        <v>4065</v>
      </c>
      <c r="F249" t="s">
        <v>3585</v>
      </c>
      <c r="G249">
        <v>97</v>
      </c>
      <c r="H249" t="s">
        <v>84</v>
      </c>
      <c r="I249" s="13">
        <v>39705.8125</v>
      </c>
      <c r="S249" s="16" t="s">
        <v>975</v>
      </c>
      <c r="T249" t="s">
        <v>905</v>
      </c>
      <c r="U249" t="s">
        <v>4381</v>
      </c>
      <c r="W249">
        <v>17</v>
      </c>
      <c r="X249">
        <v>302.8</v>
      </c>
      <c r="AU249">
        <v>302.8</v>
      </c>
      <c r="AV249" t="s">
        <v>3585</v>
      </c>
    </row>
    <row r="250" spans="1:48">
      <c r="A250" t="s">
        <v>76</v>
      </c>
      <c r="B250" t="s">
        <v>98</v>
      </c>
      <c r="C250" t="s">
        <v>111</v>
      </c>
      <c r="D250" s="11" t="s">
        <v>1439</v>
      </c>
      <c r="E250" t="s">
        <v>4066</v>
      </c>
      <c r="F250" t="s">
        <v>3585</v>
      </c>
      <c r="G250">
        <v>97</v>
      </c>
      <c r="H250" t="s">
        <v>84</v>
      </c>
      <c r="I250" s="13">
        <v>39705.416666666664</v>
      </c>
      <c r="S250" s="16">
        <v>250</v>
      </c>
      <c r="T250" t="s">
        <v>1441</v>
      </c>
      <c r="U250" t="s">
        <v>4420</v>
      </c>
      <c r="W250">
        <v>29.5</v>
      </c>
      <c r="X250">
        <v>301.2</v>
      </c>
      <c r="AU250">
        <v>301.2</v>
      </c>
      <c r="AV250" t="s">
        <v>3585</v>
      </c>
    </row>
    <row r="251" spans="1:48">
      <c r="A251" t="s">
        <v>272</v>
      </c>
      <c r="B251" t="s">
        <v>667</v>
      </c>
      <c r="C251" t="s">
        <v>668</v>
      </c>
      <c r="D251" s="19" t="s">
        <v>1446</v>
      </c>
      <c r="E251" t="s">
        <v>4067</v>
      </c>
      <c r="F251" t="s">
        <v>3398</v>
      </c>
      <c r="G251">
        <v>97</v>
      </c>
      <c r="H251" t="s">
        <v>648</v>
      </c>
      <c r="I251" s="13">
        <v>39657.416666666664</v>
      </c>
      <c r="S251" s="16">
        <v>450</v>
      </c>
      <c r="T251" t="s">
        <v>670</v>
      </c>
      <c r="U251" t="s">
        <v>671</v>
      </c>
      <c r="W251">
        <v>55</v>
      </c>
      <c r="X251">
        <v>235.6</v>
      </c>
      <c r="AU251">
        <v>235.6</v>
      </c>
      <c r="AV251" t="s">
        <v>3398</v>
      </c>
    </row>
    <row r="252" spans="1:48">
      <c r="A252" t="s">
        <v>76</v>
      </c>
      <c r="B252" t="s">
        <v>3657</v>
      </c>
      <c r="C252" t="s">
        <v>3796</v>
      </c>
      <c r="D252" s="5"/>
      <c r="E252" t="s">
        <v>4035</v>
      </c>
      <c r="F252" t="s">
        <v>3757</v>
      </c>
      <c r="G252">
        <v>97</v>
      </c>
      <c r="H252" t="s">
        <v>648</v>
      </c>
      <c r="I252" s="13">
        <v>39657.708333333336</v>
      </c>
      <c r="S252" s="16" t="s">
        <v>975</v>
      </c>
      <c r="T252" t="s">
        <v>1267</v>
      </c>
      <c r="U252" t="s">
        <v>4411</v>
      </c>
      <c r="W252">
        <v>34.5</v>
      </c>
      <c r="X252">
        <v>120.8</v>
      </c>
      <c r="AU252">
        <v>120.8</v>
      </c>
      <c r="AV252" t="s">
        <v>3757</v>
      </c>
    </row>
    <row r="253" spans="1:48">
      <c r="A253" t="s">
        <v>272</v>
      </c>
      <c r="B253" t="s">
        <v>704</v>
      </c>
      <c r="C253" t="s">
        <v>705</v>
      </c>
      <c r="D253" s="5" t="s">
        <v>1453</v>
      </c>
      <c r="E253" t="s">
        <v>4068</v>
      </c>
      <c r="F253" t="s">
        <v>3462</v>
      </c>
      <c r="G253">
        <v>97</v>
      </c>
      <c r="H253" t="s">
        <v>648</v>
      </c>
      <c r="I253" s="13">
        <v>39657.375</v>
      </c>
      <c r="S253" s="16">
        <v>500</v>
      </c>
      <c r="T253" t="s">
        <v>288</v>
      </c>
      <c r="U253" t="s">
        <v>289</v>
      </c>
      <c r="W253">
        <v>63.5</v>
      </c>
      <c r="X253">
        <v>396.1</v>
      </c>
      <c r="AU253">
        <v>396.1</v>
      </c>
      <c r="AV253" t="s">
        <v>3462</v>
      </c>
    </row>
    <row r="254" spans="1:48">
      <c r="A254" t="s">
        <v>76</v>
      </c>
      <c r="B254" t="s">
        <v>3642</v>
      </c>
      <c r="C254" t="s">
        <v>3839</v>
      </c>
      <c r="D254" s="5"/>
      <c r="E254" t="s">
        <v>4069</v>
      </c>
      <c r="F254" t="s">
        <v>3757</v>
      </c>
      <c r="G254">
        <v>97</v>
      </c>
      <c r="H254" t="s">
        <v>3674</v>
      </c>
      <c r="I254" s="13">
        <v>39642.666666666664</v>
      </c>
      <c r="S254" s="16">
        <v>250</v>
      </c>
      <c r="T254" t="s">
        <v>1160</v>
      </c>
      <c r="U254" t="s">
        <v>4408</v>
      </c>
      <c r="W254">
        <v>0</v>
      </c>
      <c r="X254">
        <v>74</v>
      </c>
      <c r="AU254">
        <v>74</v>
      </c>
      <c r="AV254" t="s">
        <v>3757</v>
      </c>
    </row>
    <row r="255" spans="1:48">
      <c r="A255" t="s">
        <v>3532</v>
      </c>
      <c r="B255" t="s">
        <v>3675</v>
      </c>
      <c r="C255" t="s">
        <v>3796</v>
      </c>
      <c r="D255" s="5"/>
      <c r="E255" t="s">
        <v>4070</v>
      </c>
      <c r="F255" t="s">
        <v>3462</v>
      </c>
      <c r="G255">
        <v>97</v>
      </c>
      <c r="H255" t="s">
        <v>3674</v>
      </c>
      <c r="I255" s="13">
        <v>39639.708333333336</v>
      </c>
      <c r="S255" s="16">
        <v>500</v>
      </c>
      <c r="T255" t="s">
        <v>1465</v>
      </c>
      <c r="U255" t="s">
        <v>4421</v>
      </c>
      <c r="W255">
        <v>64</v>
      </c>
      <c r="X255">
        <v>183</v>
      </c>
      <c r="AU255">
        <v>183</v>
      </c>
      <c r="AV255" t="s">
        <v>3462</v>
      </c>
    </row>
    <row r="256" spans="1:48">
      <c r="A256" t="s">
        <v>76</v>
      </c>
      <c r="B256" t="s">
        <v>486</v>
      </c>
      <c r="C256" t="s">
        <v>3840</v>
      </c>
      <c r="D256" s="5"/>
      <c r="E256" t="s">
        <v>4071</v>
      </c>
      <c r="F256" t="s">
        <v>3757</v>
      </c>
      <c r="G256">
        <v>97</v>
      </c>
      <c r="H256" t="s">
        <v>3674</v>
      </c>
      <c r="I256" s="13">
        <v>39612.541666666664</v>
      </c>
      <c r="S256" s="16" t="s">
        <v>975</v>
      </c>
      <c r="T256" t="s">
        <v>103</v>
      </c>
      <c r="U256" t="s">
        <v>104</v>
      </c>
      <c r="W256">
        <v>0</v>
      </c>
      <c r="X256">
        <v>21.8</v>
      </c>
      <c r="AU256">
        <v>21.8</v>
      </c>
      <c r="AV256" t="s">
        <v>3757</v>
      </c>
    </row>
    <row r="257" spans="1:48">
      <c r="A257" t="s">
        <v>352</v>
      </c>
      <c r="B257" t="s">
        <v>353</v>
      </c>
      <c r="C257" t="s">
        <v>354</v>
      </c>
      <c r="D257" s="5"/>
      <c r="E257" t="s">
        <v>4072</v>
      </c>
      <c r="F257" t="s">
        <v>3757</v>
      </c>
      <c r="G257">
        <v>97</v>
      </c>
      <c r="H257" t="s">
        <v>3674</v>
      </c>
      <c r="I257" s="13">
        <v>39593.666666666664</v>
      </c>
      <c r="S257" s="16">
        <v>250</v>
      </c>
      <c r="T257" t="s">
        <v>358</v>
      </c>
      <c r="U257" t="s">
        <v>359</v>
      </c>
      <c r="W257">
        <v>37</v>
      </c>
      <c r="X257">
        <v>88.9</v>
      </c>
      <c r="AU257">
        <v>88.9</v>
      </c>
      <c r="AV257" t="s">
        <v>3757</v>
      </c>
    </row>
    <row r="258" spans="1:48">
      <c r="A258" t="s">
        <v>76</v>
      </c>
      <c r="B258" t="s">
        <v>118</v>
      </c>
      <c r="C258" t="s">
        <v>3841</v>
      </c>
      <c r="D258" s="5"/>
      <c r="E258" t="s">
        <v>4073</v>
      </c>
      <c r="F258" t="s">
        <v>3585</v>
      </c>
      <c r="G258">
        <v>97</v>
      </c>
      <c r="H258" t="s">
        <v>3676</v>
      </c>
      <c r="I258" s="13" t="s">
        <v>1477</v>
      </c>
      <c r="S258" s="16">
        <v>250</v>
      </c>
      <c r="T258" t="s">
        <v>1479</v>
      </c>
      <c r="U258" t="s">
        <v>4422</v>
      </c>
      <c r="W258" t="s">
        <v>857</v>
      </c>
      <c r="X258">
        <v>3.4</v>
      </c>
      <c r="AU258">
        <v>3.4</v>
      </c>
      <c r="AV258" t="s">
        <v>3585</v>
      </c>
    </row>
    <row r="259" spans="1:48">
      <c r="A259" t="s">
        <v>44</v>
      </c>
      <c r="B259" t="s">
        <v>3677</v>
      </c>
      <c r="C259" t="s">
        <v>3842</v>
      </c>
      <c r="D259" s="5" t="s">
        <v>1485</v>
      </c>
      <c r="E259" t="s">
        <v>4074</v>
      </c>
      <c r="F259" t="s">
        <v>3752</v>
      </c>
      <c r="G259">
        <v>98</v>
      </c>
      <c r="H259" t="s">
        <v>3678</v>
      </c>
      <c r="I259" s="13">
        <v>40091.75</v>
      </c>
      <c r="S259" s="16">
        <v>600</v>
      </c>
      <c r="T259" t="s">
        <v>1488</v>
      </c>
      <c r="U259" t="s">
        <v>4423</v>
      </c>
      <c r="W259">
        <v>29</v>
      </c>
      <c r="X259">
        <v>996</v>
      </c>
      <c r="AU259">
        <v>996</v>
      </c>
      <c r="AV259" t="s">
        <v>3752</v>
      </c>
    </row>
    <row r="260" spans="1:48">
      <c r="A260" t="s">
        <v>44</v>
      </c>
      <c r="B260" t="s">
        <v>292</v>
      </c>
      <c r="C260" t="s">
        <v>298</v>
      </c>
      <c r="D260" s="5" t="s">
        <v>1493</v>
      </c>
      <c r="E260" t="s">
        <v>4075</v>
      </c>
      <c r="F260" t="s">
        <v>3762</v>
      </c>
      <c r="G260">
        <v>98</v>
      </c>
      <c r="H260" t="s">
        <v>3678</v>
      </c>
      <c r="I260" s="13">
        <v>40092.041666666664</v>
      </c>
      <c r="S260" s="16">
        <v>500</v>
      </c>
      <c r="T260" t="s">
        <v>301</v>
      </c>
      <c r="U260" t="s">
        <v>302</v>
      </c>
      <c r="W260">
        <v>61.5</v>
      </c>
      <c r="X260">
        <v>315.89999999999998</v>
      </c>
      <c r="AU260">
        <v>315.89999999999998</v>
      </c>
      <c r="AV260" t="s">
        <v>3762</v>
      </c>
    </row>
    <row r="261" spans="1:48">
      <c r="A261" t="s">
        <v>213</v>
      </c>
      <c r="B261" t="s">
        <v>214</v>
      </c>
      <c r="C261" t="s">
        <v>215</v>
      </c>
      <c r="D261" s="5" t="s">
        <v>1285</v>
      </c>
      <c r="E261" t="s">
        <v>4076</v>
      </c>
      <c r="F261" t="s">
        <v>3398</v>
      </c>
      <c r="G261">
        <v>98</v>
      </c>
      <c r="H261" t="s">
        <v>153</v>
      </c>
      <c r="I261" s="13">
        <v>40033.708333333336</v>
      </c>
      <c r="S261" s="16">
        <v>450</v>
      </c>
      <c r="T261" t="s">
        <v>218</v>
      </c>
      <c r="U261" t="s">
        <v>219</v>
      </c>
      <c r="W261">
        <v>89</v>
      </c>
      <c r="X261">
        <v>653.6</v>
      </c>
      <c r="AU261">
        <v>653.6</v>
      </c>
      <c r="AV261" t="s">
        <v>3398</v>
      </c>
    </row>
    <row r="262" spans="1:48">
      <c r="A262" t="s">
        <v>76</v>
      </c>
      <c r="B262" t="s">
        <v>98</v>
      </c>
      <c r="C262" t="s">
        <v>369</v>
      </c>
      <c r="D262" s="5" t="s">
        <v>1516</v>
      </c>
      <c r="E262" t="s">
        <v>4077</v>
      </c>
      <c r="F262" t="s">
        <v>3398</v>
      </c>
      <c r="G262">
        <v>98</v>
      </c>
      <c r="H262" t="s">
        <v>153</v>
      </c>
      <c r="I262" s="13">
        <v>40033.708333333336</v>
      </c>
      <c r="S262" s="16">
        <v>250</v>
      </c>
      <c r="T262" t="s">
        <v>122</v>
      </c>
      <c r="U262" t="s">
        <v>123</v>
      </c>
      <c r="W262">
        <v>9</v>
      </c>
      <c r="X262">
        <v>45.8</v>
      </c>
      <c r="AU262">
        <v>45.8</v>
      </c>
      <c r="AV262" t="s">
        <v>3398</v>
      </c>
    </row>
    <row r="263" spans="1:48">
      <c r="A263" t="s">
        <v>265</v>
      </c>
      <c r="B263" t="s">
        <v>3679</v>
      </c>
      <c r="C263" t="s">
        <v>3843</v>
      </c>
      <c r="D263" s="5"/>
      <c r="E263" t="s">
        <v>4078</v>
      </c>
      <c r="F263" t="s">
        <v>3398</v>
      </c>
      <c r="G263">
        <v>98</v>
      </c>
      <c r="H263" t="s">
        <v>153</v>
      </c>
      <c r="I263" s="13">
        <v>40033.833333333336</v>
      </c>
      <c r="S263" s="16">
        <v>600</v>
      </c>
      <c r="T263" t="s">
        <v>1527</v>
      </c>
      <c r="U263" t="s">
        <v>4424</v>
      </c>
      <c r="W263">
        <v>8.5</v>
      </c>
      <c r="X263">
        <v>930.7</v>
      </c>
      <c r="AU263">
        <v>930.7</v>
      </c>
      <c r="AV263" t="s">
        <v>3398</v>
      </c>
    </row>
    <row r="264" spans="1:48">
      <c r="A264" t="s">
        <v>183</v>
      </c>
      <c r="B264" t="s">
        <v>184</v>
      </c>
      <c r="C264" t="s">
        <v>185</v>
      </c>
      <c r="D264" s="5" t="s">
        <v>1563</v>
      </c>
      <c r="E264" t="s">
        <v>4079</v>
      </c>
      <c r="F264" t="s">
        <v>3398</v>
      </c>
      <c r="G264">
        <v>98</v>
      </c>
      <c r="H264" t="s">
        <v>153</v>
      </c>
      <c r="I264" s="13">
        <v>40034.125</v>
      </c>
      <c r="S264" s="16">
        <v>450</v>
      </c>
      <c r="T264" t="s">
        <v>1071</v>
      </c>
      <c r="U264" t="s">
        <v>4396</v>
      </c>
      <c r="W264">
        <v>60</v>
      </c>
      <c r="X264">
        <v>1498.6</v>
      </c>
      <c r="AU264">
        <v>1498.6</v>
      </c>
      <c r="AV264" t="s">
        <v>3398</v>
      </c>
    </row>
    <row r="265" spans="1:48">
      <c r="A265" t="s">
        <v>76</v>
      </c>
      <c r="B265" t="s">
        <v>118</v>
      </c>
      <c r="C265" t="s">
        <v>142</v>
      </c>
      <c r="D265" s="5"/>
      <c r="E265" t="s">
        <v>4080</v>
      </c>
      <c r="F265" t="s">
        <v>3398</v>
      </c>
      <c r="G265">
        <v>98</v>
      </c>
      <c r="H265" t="s">
        <v>153</v>
      </c>
      <c r="I265" s="13">
        <v>40033.75</v>
      </c>
      <c r="S265" s="16">
        <v>250</v>
      </c>
      <c r="T265" t="s">
        <v>147</v>
      </c>
      <c r="U265" t="s">
        <v>142</v>
      </c>
      <c r="W265">
        <v>38.5</v>
      </c>
      <c r="X265">
        <v>677.5</v>
      </c>
      <c r="AU265">
        <v>677.5</v>
      </c>
      <c r="AV265" t="s">
        <v>3398</v>
      </c>
    </row>
    <row r="266" spans="1:48">
      <c r="A266" t="s">
        <v>183</v>
      </c>
      <c r="B266" t="s">
        <v>193</v>
      </c>
      <c r="C266" t="s">
        <v>3844</v>
      </c>
      <c r="D266" s="5"/>
      <c r="E266" t="s">
        <v>4081</v>
      </c>
      <c r="F266" t="s">
        <v>3754</v>
      </c>
      <c r="G266">
        <v>98</v>
      </c>
      <c r="H266" t="s">
        <v>153</v>
      </c>
      <c r="I266" s="13">
        <v>40034.041666666664</v>
      </c>
      <c r="S266" s="16">
        <v>300</v>
      </c>
      <c r="T266" t="s">
        <v>520</v>
      </c>
      <c r="U266" t="s">
        <v>4425</v>
      </c>
      <c r="W266">
        <v>71.5</v>
      </c>
      <c r="X266">
        <v>1484.5</v>
      </c>
      <c r="AU266">
        <v>1484.5</v>
      </c>
      <c r="AV266" t="s">
        <v>3754</v>
      </c>
    </row>
    <row r="267" spans="1:48">
      <c r="A267" t="s">
        <v>265</v>
      </c>
      <c r="B267" t="s">
        <v>3680</v>
      </c>
      <c r="C267" t="s">
        <v>3845</v>
      </c>
      <c r="D267" s="5"/>
      <c r="E267" t="s">
        <v>4082</v>
      </c>
      <c r="F267" t="s">
        <v>3757</v>
      </c>
      <c r="G267">
        <v>98</v>
      </c>
      <c r="H267" t="s">
        <v>153</v>
      </c>
      <c r="I267" s="13">
        <v>40033.208333333336</v>
      </c>
      <c r="S267" s="16" t="s">
        <v>1668</v>
      </c>
      <c r="T267" t="s">
        <v>1666</v>
      </c>
      <c r="U267" t="s">
        <v>4426</v>
      </c>
      <c r="W267">
        <v>2.5</v>
      </c>
      <c r="X267">
        <v>315.10000000000002</v>
      </c>
      <c r="AU267">
        <v>315.10000000000002</v>
      </c>
      <c r="AV267" t="s">
        <v>3757</v>
      </c>
    </row>
    <row r="268" spans="1:48">
      <c r="A268" t="s">
        <v>183</v>
      </c>
      <c r="B268" t="s">
        <v>208</v>
      </c>
      <c r="C268" t="s">
        <v>209</v>
      </c>
      <c r="D268" s="5" t="s">
        <v>1671</v>
      </c>
      <c r="E268" t="s">
        <v>4083</v>
      </c>
      <c r="F268" t="s">
        <v>3757</v>
      </c>
      <c r="G268">
        <v>98</v>
      </c>
      <c r="H268" t="s">
        <v>153</v>
      </c>
      <c r="I268" s="13">
        <v>40033.958333333336</v>
      </c>
      <c r="S268" s="16">
        <v>400</v>
      </c>
      <c r="T268" t="s">
        <v>211</v>
      </c>
      <c r="U268" t="s">
        <v>212</v>
      </c>
      <c r="W268">
        <v>51.5</v>
      </c>
      <c r="X268">
        <v>972.5</v>
      </c>
      <c r="AU268">
        <v>972.5</v>
      </c>
      <c r="AV268" t="s">
        <v>3757</v>
      </c>
    </row>
    <row r="269" spans="1:48">
      <c r="A269" t="s">
        <v>183</v>
      </c>
      <c r="B269" t="s">
        <v>208</v>
      </c>
      <c r="C269" t="s">
        <v>525</v>
      </c>
      <c r="D269" s="5"/>
      <c r="E269" t="s">
        <v>4084</v>
      </c>
      <c r="F269" t="s">
        <v>3757</v>
      </c>
      <c r="G269">
        <v>98</v>
      </c>
      <c r="H269" t="s">
        <v>153</v>
      </c>
      <c r="I269" s="13">
        <v>40032.958333333336</v>
      </c>
      <c r="S269" s="16">
        <v>400</v>
      </c>
      <c r="T269" t="s">
        <v>211</v>
      </c>
      <c r="U269" t="s">
        <v>212</v>
      </c>
      <c r="W269">
        <v>14</v>
      </c>
      <c r="X269">
        <v>457.5</v>
      </c>
      <c r="AU269">
        <v>457.5</v>
      </c>
      <c r="AV269" t="s">
        <v>3757</v>
      </c>
    </row>
    <row r="270" spans="1:48">
      <c r="A270" t="s">
        <v>183</v>
      </c>
      <c r="B270" t="s">
        <v>208</v>
      </c>
      <c r="C270" t="s">
        <v>525</v>
      </c>
      <c r="D270" s="5"/>
      <c r="E270" t="s">
        <v>4085</v>
      </c>
      <c r="F270" t="s">
        <v>3757</v>
      </c>
      <c r="G270">
        <v>98</v>
      </c>
      <c r="H270" t="s">
        <v>153</v>
      </c>
      <c r="I270" s="13">
        <v>40033.041666666664</v>
      </c>
      <c r="S270" s="16">
        <v>400</v>
      </c>
      <c r="T270" t="s">
        <v>211</v>
      </c>
      <c r="U270" t="s">
        <v>212</v>
      </c>
      <c r="W270">
        <v>2.5</v>
      </c>
      <c r="X270">
        <v>455.6</v>
      </c>
      <c r="AU270">
        <v>455.6</v>
      </c>
      <c r="AV270" t="s">
        <v>3757</v>
      </c>
    </row>
    <row r="271" spans="1:48">
      <c r="A271" t="s">
        <v>617</v>
      </c>
      <c r="B271" t="s">
        <v>618</v>
      </c>
      <c r="C271" t="s">
        <v>619</v>
      </c>
      <c r="D271" s="5" t="s">
        <v>1679</v>
      </c>
      <c r="E271" t="s">
        <v>4086</v>
      </c>
      <c r="F271" t="s">
        <v>3757</v>
      </c>
      <c r="G271">
        <v>98</v>
      </c>
      <c r="H271" t="s">
        <v>153</v>
      </c>
      <c r="I271" s="13">
        <v>40034.083333333336</v>
      </c>
      <c r="S271" s="16">
        <v>550</v>
      </c>
      <c r="T271" t="s">
        <v>621</v>
      </c>
      <c r="U271" t="s">
        <v>622</v>
      </c>
      <c r="W271">
        <v>52</v>
      </c>
      <c r="X271">
        <v>1300.7</v>
      </c>
      <c r="AU271">
        <v>1300.7</v>
      </c>
      <c r="AV271" t="s">
        <v>3757</v>
      </c>
    </row>
    <row r="272" spans="1:48">
      <c r="A272" t="s">
        <v>265</v>
      </c>
      <c r="B272" t="s">
        <v>610</v>
      </c>
      <c r="C272" t="s">
        <v>3846</v>
      </c>
      <c r="D272" s="5"/>
      <c r="E272" t="s">
        <v>4087</v>
      </c>
      <c r="F272" t="s">
        <v>3763</v>
      </c>
      <c r="G272">
        <v>98</v>
      </c>
      <c r="H272" t="s">
        <v>153</v>
      </c>
      <c r="I272" s="13">
        <v>40033.208333333336</v>
      </c>
      <c r="S272" s="16">
        <v>600</v>
      </c>
      <c r="T272" t="s">
        <v>615</v>
      </c>
      <c r="U272" t="s">
        <v>616</v>
      </c>
      <c r="W272">
        <v>15.5</v>
      </c>
      <c r="X272">
        <v>691</v>
      </c>
      <c r="AU272">
        <v>691</v>
      </c>
      <c r="AV272" t="s">
        <v>3763</v>
      </c>
    </row>
    <row r="273" spans="1:48">
      <c r="A273" t="s">
        <v>265</v>
      </c>
      <c r="B273" t="s">
        <v>3645</v>
      </c>
      <c r="C273" t="s">
        <v>3794</v>
      </c>
      <c r="D273" s="5"/>
      <c r="E273" t="s">
        <v>4088</v>
      </c>
      <c r="F273" t="s">
        <v>3764</v>
      </c>
      <c r="G273">
        <v>98</v>
      </c>
      <c r="H273" t="s">
        <v>153</v>
      </c>
      <c r="I273" s="13">
        <v>40033.333333333336</v>
      </c>
      <c r="S273" s="16">
        <v>550</v>
      </c>
      <c r="T273" t="s">
        <v>1690</v>
      </c>
      <c r="U273" t="s">
        <v>4427</v>
      </c>
      <c r="W273">
        <v>39.5</v>
      </c>
      <c r="X273">
        <v>412.9</v>
      </c>
      <c r="AU273">
        <v>412.9</v>
      </c>
      <c r="AV273" t="s">
        <v>3764</v>
      </c>
    </row>
    <row r="274" spans="1:48">
      <c r="A274" t="s">
        <v>265</v>
      </c>
      <c r="B274" t="s">
        <v>3646</v>
      </c>
      <c r="C274" t="s">
        <v>3847</v>
      </c>
      <c r="D274" s="5"/>
      <c r="E274" t="s">
        <v>4089</v>
      </c>
      <c r="F274" t="s">
        <v>3761</v>
      </c>
      <c r="G274">
        <v>98</v>
      </c>
      <c r="H274" t="s">
        <v>153</v>
      </c>
      <c r="I274" s="13">
        <v>40033.625</v>
      </c>
      <c r="S274" s="16" t="s">
        <v>1668</v>
      </c>
      <c r="T274" t="s">
        <v>1695</v>
      </c>
      <c r="U274" t="s">
        <v>4428</v>
      </c>
      <c r="W274">
        <v>32.5</v>
      </c>
      <c r="X274">
        <v>556.1</v>
      </c>
      <c r="AU274">
        <v>556.1</v>
      </c>
      <c r="AV274" t="s">
        <v>3761</v>
      </c>
    </row>
    <row r="275" spans="1:48">
      <c r="A275" t="s">
        <v>265</v>
      </c>
      <c r="B275" t="s">
        <v>3681</v>
      </c>
      <c r="C275" t="s">
        <v>3848</v>
      </c>
      <c r="D275" s="5"/>
      <c r="E275" t="s">
        <v>4090</v>
      </c>
      <c r="F275" t="s">
        <v>3761</v>
      </c>
      <c r="G275">
        <v>98</v>
      </c>
      <c r="H275" t="s">
        <v>153</v>
      </c>
      <c r="I275" s="13">
        <v>40033.916666666664</v>
      </c>
      <c r="S275" s="16" t="s">
        <v>1668</v>
      </c>
      <c r="T275" t="s">
        <v>1701</v>
      </c>
      <c r="U275" t="s">
        <v>4429</v>
      </c>
      <c r="W275">
        <v>28</v>
      </c>
      <c r="X275">
        <v>728.1</v>
      </c>
      <c r="AU275">
        <v>728.1</v>
      </c>
      <c r="AV275" t="s">
        <v>3761</v>
      </c>
    </row>
    <row r="276" spans="1:48">
      <c r="A276" t="s">
        <v>183</v>
      </c>
      <c r="B276" t="s">
        <v>208</v>
      </c>
      <c r="C276" t="s">
        <v>525</v>
      </c>
      <c r="D276" s="5"/>
      <c r="E276" t="s">
        <v>4091</v>
      </c>
      <c r="F276" t="s">
        <v>3761</v>
      </c>
      <c r="G276">
        <v>98</v>
      </c>
      <c r="H276" t="s">
        <v>153</v>
      </c>
      <c r="I276" s="13">
        <v>40033.791666666664</v>
      </c>
      <c r="S276" s="16">
        <v>400</v>
      </c>
      <c r="T276" t="s">
        <v>211</v>
      </c>
      <c r="U276" t="s">
        <v>212</v>
      </c>
      <c r="W276">
        <v>33.5</v>
      </c>
      <c r="X276">
        <v>814.7</v>
      </c>
      <c r="AU276">
        <v>814.7</v>
      </c>
      <c r="AV276" t="s">
        <v>3761</v>
      </c>
    </row>
    <row r="277" spans="1:48">
      <c r="A277" t="s">
        <v>183</v>
      </c>
      <c r="B277" t="s">
        <v>3682</v>
      </c>
      <c r="C277" t="s">
        <v>3835</v>
      </c>
      <c r="D277" s="5"/>
      <c r="E277" t="s">
        <v>4092</v>
      </c>
      <c r="F277" t="s">
        <v>3761</v>
      </c>
      <c r="G277">
        <v>98</v>
      </c>
      <c r="H277" t="s">
        <v>153</v>
      </c>
      <c r="I277" s="13">
        <v>40032.875</v>
      </c>
      <c r="S277" s="16">
        <v>500</v>
      </c>
      <c r="T277" t="s">
        <v>1071</v>
      </c>
      <c r="U277" t="s">
        <v>4396</v>
      </c>
      <c r="W277">
        <v>15.5</v>
      </c>
      <c r="X277">
        <v>554.70000000000005</v>
      </c>
      <c r="AU277">
        <v>554.70000000000005</v>
      </c>
      <c r="AV277" t="s">
        <v>3761</v>
      </c>
    </row>
    <row r="278" spans="1:48">
      <c r="A278" t="s">
        <v>65</v>
      </c>
      <c r="B278" t="s">
        <v>66</v>
      </c>
      <c r="C278" t="s">
        <v>371</v>
      </c>
      <c r="D278" s="5"/>
      <c r="E278" t="s">
        <v>4093</v>
      </c>
      <c r="F278" t="s">
        <v>3462</v>
      </c>
      <c r="G278">
        <v>98</v>
      </c>
      <c r="H278" t="s">
        <v>153</v>
      </c>
      <c r="I278" s="13">
        <v>40034.708333333336</v>
      </c>
      <c r="S278" s="16">
        <v>300</v>
      </c>
      <c r="T278" t="s">
        <v>1711</v>
      </c>
      <c r="U278" t="s">
        <v>4430</v>
      </c>
      <c r="W278">
        <v>34</v>
      </c>
      <c r="X278">
        <v>706.3</v>
      </c>
      <c r="AU278">
        <v>706.3</v>
      </c>
      <c r="AV278" t="s">
        <v>3462</v>
      </c>
    </row>
    <row r="279" spans="1:48">
      <c r="A279" t="s">
        <v>617</v>
      </c>
      <c r="B279" t="s">
        <v>3683</v>
      </c>
      <c r="C279" t="s">
        <v>3849</v>
      </c>
      <c r="D279" s="5"/>
      <c r="E279" t="s">
        <v>4094</v>
      </c>
      <c r="F279" t="s">
        <v>3462</v>
      </c>
      <c r="G279">
        <v>98</v>
      </c>
      <c r="H279" t="s">
        <v>153</v>
      </c>
      <c r="I279" s="13">
        <v>40033.416666666664</v>
      </c>
      <c r="S279" s="16">
        <v>550</v>
      </c>
      <c r="T279" t="s">
        <v>638</v>
      </c>
      <c r="U279" t="s">
        <v>639</v>
      </c>
      <c r="W279">
        <v>18</v>
      </c>
      <c r="X279">
        <v>333.4</v>
      </c>
      <c r="AU279">
        <v>333.4</v>
      </c>
      <c r="AV279" t="s">
        <v>3462</v>
      </c>
    </row>
    <row r="280" spans="1:48">
      <c r="A280" t="s">
        <v>76</v>
      </c>
      <c r="B280" t="s">
        <v>77</v>
      </c>
      <c r="C280" t="s">
        <v>78</v>
      </c>
      <c r="D280" s="5" t="s">
        <v>1408</v>
      </c>
      <c r="E280" t="s">
        <v>4095</v>
      </c>
      <c r="F280" t="s">
        <v>3462</v>
      </c>
      <c r="G280">
        <v>98</v>
      </c>
      <c r="H280" t="s">
        <v>153</v>
      </c>
      <c r="I280" s="13">
        <v>40033.833333333336</v>
      </c>
      <c r="S280" s="16">
        <v>250</v>
      </c>
      <c r="T280" t="s">
        <v>82</v>
      </c>
      <c r="U280" t="s">
        <v>83</v>
      </c>
      <c r="W280">
        <v>13.5</v>
      </c>
      <c r="X280">
        <v>296</v>
      </c>
      <c r="AU280">
        <v>296</v>
      </c>
      <c r="AV280" t="s">
        <v>3462</v>
      </c>
    </row>
    <row r="281" spans="1:48">
      <c r="A281" t="s">
        <v>76</v>
      </c>
      <c r="B281" t="s">
        <v>77</v>
      </c>
      <c r="C281" t="s">
        <v>78</v>
      </c>
      <c r="D281" s="5" t="s">
        <v>1723</v>
      </c>
      <c r="E281" t="s">
        <v>4096</v>
      </c>
      <c r="F281" t="s">
        <v>3462</v>
      </c>
      <c r="G281">
        <v>98</v>
      </c>
      <c r="H281" t="s">
        <v>153</v>
      </c>
      <c r="I281" s="13">
        <v>40034.5</v>
      </c>
      <c r="S281" s="16">
        <v>250</v>
      </c>
      <c r="T281" t="s">
        <v>82</v>
      </c>
      <c r="U281" t="s">
        <v>83</v>
      </c>
      <c r="W281">
        <v>18</v>
      </c>
      <c r="X281">
        <v>598.20000000000005</v>
      </c>
      <c r="AU281">
        <v>598.20000000000005</v>
      </c>
      <c r="AV281" t="s">
        <v>3462</v>
      </c>
    </row>
    <row r="282" spans="1:48">
      <c r="A282" t="s">
        <v>76</v>
      </c>
      <c r="B282" t="s">
        <v>98</v>
      </c>
      <c r="C282" t="s">
        <v>114</v>
      </c>
      <c r="D282" s="5" t="s">
        <v>1728</v>
      </c>
      <c r="E282" t="s">
        <v>4097</v>
      </c>
      <c r="F282" t="s">
        <v>3462</v>
      </c>
      <c r="G282">
        <v>98</v>
      </c>
      <c r="H282" t="s">
        <v>153</v>
      </c>
      <c r="I282" s="13">
        <v>40034.166666666664</v>
      </c>
      <c r="S282" s="16">
        <v>250</v>
      </c>
      <c r="T282" t="s">
        <v>1730</v>
      </c>
      <c r="U282" t="s">
        <v>4431</v>
      </c>
      <c r="W282">
        <v>18</v>
      </c>
      <c r="X282">
        <v>595</v>
      </c>
      <c r="AU282">
        <v>595</v>
      </c>
      <c r="AV282" t="s">
        <v>3462</v>
      </c>
    </row>
    <row r="283" spans="1:48">
      <c r="A283" t="s">
        <v>76</v>
      </c>
      <c r="B283" t="s">
        <v>118</v>
      </c>
      <c r="C283" t="s">
        <v>142</v>
      </c>
      <c r="D283" s="5"/>
      <c r="E283" t="s">
        <v>4098</v>
      </c>
      <c r="F283" t="s">
        <v>3462</v>
      </c>
      <c r="G283">
        <v>98</v>
      </c>
      <c r="H283" t="s">
        <v>153</v>
      </c>
      <c r="I283" s="13">
        <v>40034.583333333336</v>
      </c>
      <c r="S283" s="16">
        <v>250</v>
      </c>
      <c r="T283" t="s">
        <v>147</v>
      </c>
      <c r="U283" t="s">
        <v>142</v>
      </c>
      <c r="W283">
        <v>33.5</v>
      </c>
      <c r="X283">
        <v>1566.9</v>
      </c>
      <c r="AU283">
        <v>1566.9</v>
      </c>
      <c r="AV283" t="s">
        <v>3462</v>
      </c>
    </row>
    <row r="284" spans="1:48">
      <c r="A284" t="s">
        <v>265</v>
      </c>
      <c r="B284" t="s">
        <v>3679</v>
      </c>
      <c r="C284" t="s">
        <v>3843</v>
      </c>
      <c r="D284" s="5" t="s">
        <v>1738</v>
      </c>
      <c r="E284" t="s">
        <v>4099</v>
      </c>
      <c r="F284" t="s">
        <v>3780</v>
      </c>
      <c r="G284">
        <v>98</v>
      </c>
      <c r="H284" t="s">
        <v>153</v>
      </c>
      <c r="I284" s="13">
        <v>40033.166666666664</v>
      </c>
      <c r="S284" s="16">
        <v>450</v>
      </c>
      <c r="T284" t="s">
        <v>1527</v>
      </c>
      <c r="U284" t="s">
        <v>4424</v>
      </c>
      <c r="W284">
        <v>9.5</v>
      </c>
      <c r="X284">
        <v>1120</v>
      </c>
      <c r="AU284">
        <v>1120</v>
      </c>
      <c r="AV284" t="s">
        <v>3780</v>
      </c>
    </row>
    <row r="285" spans="1:48">
      <c r="A285" t="s">
        <v>265</v>
      </c>
      <c r="B285" t="s">
        <v>3646</v>
      </c>
      <c r="C285" t="s">
        <v>3797</v>
      </c>
      <c r="D285" s="5"/>
      <c r="E285" t="s">
        <v>4100</v>
      </c>
      <c r="F285" t="s">
        <v>3779</v>
      </c>
      <c r="G285">
        <v>98</v>
      </c>
      <c r="H285" t="s">
        <v>153</v>
      </c>
      <c r="I285" s="13">
        <v>40033.125</v>
      </c>
      <c r="S285" s="16" t="s">
        <v>857</v>
      </c>
      <c r="T285" t="s">
        <v>608</v>
      </c>
      <c r="U285" t="s">
        <v>609</v>
      </c>
      <c r="W285">
        <v>53</v>
      </c>
      <c r="X285">
        <v>402.9</v>
      </c>
      <c r="AU285">
        <v>402.9</v>
      </c>
      <c r="AV285" t="s">
        <v>3779</v>
      </c>
    </row>
    <row r="286" spans="1:48">
      <c r="A286" t="s">
        <v>265</v>
      </c>
      <c r="B286" t="s">
        <v>3679</v>
      </c>
      <c r="C286" t="s">
        <v>3850</v>
      </c>
      <c r="D286" s="5"/>
      <c r="E286" t="s">
        <v>4101</v>
      </c>
      <c r="F286" t="s">
        <v>3779</v>
      </c>
      <c r="G286">
        <v>98</v>
      </c>
      <c r="H286" t="s">
        <v>153</v>
      </c>
      <c r="I286" s="13">
        <v>40034</v>
      </c>
      <c r="S286" s="16">
        <v>600</v>
      </c>
      <c r="T286" t="s">
        <v>1527</v>
      </c>
      <c r="U286" t="s">
        <v>4424</v>
      </c>
      <c r="W286">
        <v>34.5</v>
      </c>
      <c r="X286">
        <v>1015.1</v>
      </c>
      <c r="AU286">
        <v>1015.1</v>
      </c>
      <c r="AV286" t="s">
        <v>3779</v>
      </c>
    </row>
    <row r="287" spans="1:48">
      <c r="A287" t="s">
        <v>220</v>
      </c>
      <c r="B287" t="s">
        <v>221</v>
      </c>
      <c r="C287" t="s">
        <v>248</v>
      </c>
      <c r="D287" s="5" t="s">
        <v>1318</v>
      </c>
      <c r="E287" t="s">
        <v>4102</v>
      </c>
      <c r="F287" t="s">
        <v>3779</v>
      </c>
      <c r="G287">
        <v>98</v>
      </c>
      <c r="H287" t="s">
        <v>153</v>
      </c>
      <c r="I287" s="13">
        <v>40033.625</v>
      </c>
      <c r="S287" s="16">
        <v>400</v>
      </c>
      <c r="T287" t="s">
        <v>225</v>
      </c>
      <c r="U287" t="s">
        <v>226</v>
      </c>
      <c r="W287">
        <v>95.5</v>
      </c>
      <c r="X287">
        <v>920.8</v>
      </c>
      <c r="AU287">
        <v>920.8</v>
      </c>
      <c r="AV287" t="s">
        <v>3779</v>
      </c>
    </row>
    <row r="288" spans="1:48">
      <c r="A288" t="s">
        <v>265</v>
      </c>
      <c r="B288" t="s">
        <v>3679</v>
      </c>
      <c r="C288" t="s">
        <v>3851</v>
      </c>
      <c r="D288" s="5"/>
      <c r="E288" t="s">
        <v>4103</v>
      </c>
      <c r="F288" t="s">
        <v>3781</v>
      </c>
      <c r="G288">
        <v>98</v>
      </c>
      <c r="H288" t="s">
        <v>153</v>
      </c>
      <c r="I288" s="13">
        <v>40033.458333333336</v>
      </c>
      <c r="S288" s="16">
        <v>600</v>
      </c>
      <c r="T288" t="s">
        <v>1527</v>
      </c>
      <c r="U288" t="s">
        <v>4424</v>
      </c>
      <c r="W288">
        <v>47.5</v>
      </c>
      <c r="X288">
        <v>797.8</v>
      </c>
      <c r="AU288">
        <v>797.8</v>
      </c>
      <c r="AV288" t="s">
        <v>3781</v>
      </c>
    </row>
    <row r="289" spans="1:48">
      <c r="A289" t="s">
        <v>617</v>
      </c>
      <c r="B289" t="s">
        <v>618</v>
      </c>
      <c r="C289" t="s">
        <v>619</v>
      </c>
      <c r="D289" s="5" t="s">
        <v>1757</v>
      </c>
      <c r="E289" t="s">
        <v>4104</v>
      </c>
      <c r="F289" t="s">
        <v>3585</v>
      </c>
      <c r="G289">
        <v>98</v>
      </c>
      <c r="H289" t="s">
        <v>153</v>
      </c>
      <c r="I289" s="13">
        <v>40033.291666666664</v>
      </c>
      <c r="S289" s="16">
        <v>550</v>
      </c>
      <c r="T289" t="s">
        <v>621</v>
      </c>
      <c r="U289" t="s">
        <v>622</v>
      </c>
      <c r="W289">
        <v>100.5</v>
      </c>
      <c r="X289">
        <v>741</v>
      </c>
      <c r="AU289">
        <v>741</v>
      </c>
      <c r="AV289" t="s">
        <v>3585</v>
      </c>
    </row>
    <row r="290" spans="1:48">
      <c r="A290" t="s">
        <v>76</v>
      </c>
      <c r="B290" t="s">
        <v>3642</v>
      </c>
      <c r="C290" t="s">
        <v>3792</v>
      </c>
      <c r="D290" s="5" t="s">
        <v>1762</v>
      </c>
      <c r="E290" t="s">
        <v>4105</v>
      </c>
      <c r="F290" t="s">
        <v>3585</v>
      </c>
      <c r="G290">
        <v>98</v>
      </c>
      <c r="H290" t="s">
        <v>153</v>
      </c>
      <c r="I290" s="13">
        <v>40034.208333333336</v>
      </c>
      <c r="S290" s="16">
        <v>300</v>
      </c>
      <c r="T290" t="s">
        <v>911</v>
      </c>
      <c r="U290" t="s">
        <v>4382</v>
      </c>
      <c r="W290">
        <v>38</v>
      </c>
      <c r="X290">
        <v>531.9</v>
      </c>
      <c r="AU290">
        <v>531.9</v>
      </c>
      <c r="AV290" t="s">
        <v>3585</v>
      </c>
    </row>
    <row r="291" spans="1:48">
      <c r="A291" t="s">
        <v>76</v>
      </c>
      <c r="B291" t="s">
        <v>98</v>
      </c>
      <c r="C291" t="s">
        <v>369</v>
      </c>
      <c r="D291" s="5" t="s">
        <v>1516</v>
      </c>
      <c r="E291" t="s">
        <v>4106</v>
      </c>
      <c r="F291" t="s">
        <v>3585</v>
      </c>
      <c r="G291">
        <v>98</v>
      </c>
      <c r="H291" t="s">
        <v>153</v>
      </c>
      <c r="I291" s="13">
        <v>40034.083333333336</v>
      </c>
      <c r="S291" s="16">
        <v>250</v>
      </c>
      <c r="T291" t="s">
        <v>122</v>
      </c>
      <c r="U291" t="s">
        <v>123</v>
      </c>
      <c r="W291">
        <v>31.5</v>
      </c>
      <c r="X291">
        <v>433</v>
      </c>
      <c r="AU291">
        <v>433</v>
      </c>
      <c r="AV291" t="s">
        <v>3585</v>
      </c>
    </row>
    <row r="292" spans="1:48">
      <c r="A292" t="s">
        <v>76</v>
      </c>
      <c r="B292" t="s">
        <v>486</v>
      </c>
      <c r="C292" t="s">
        <v>487</v>
      </c>
      <c r="D292" s="5"/>
      <c r="E292" t="s">
        <v>4107</v>
      </c>
      <c r="F292" t="s">
        <v>3585</v>
      </c>
      <c r="G292">
        <v>98</v>
      </c>
      <c r="H292" t="s">
        <v>153</v>
      </c>
      <c r="I292" s="13">
        <v>40034.416666666664</v>
      </c>
      <c r="S292" s="16">
        <v>350</v>
      </c>
      <c r="T292" t="s">
        <v>1769</v>
      </c>
      <c r="U292" t="s">
        <v>4432</v>
      </c>
      <c r="W292">
        <v>57</v>
      </c>
      <c r="X292">
        <v>928</v>
      </c>
      <c r="AU292">
        <v>928</v>
      </c>
      <c r="AV292" t="s">
        <v>3585</v>
      </c>
    </row>
    <row r="293" spans="1:48">
      <c r="A293" t="s">
        <v>265</v>
      </c>
      <c r="B293" t="s">
        <v>3679</v>
      </c>
      <c r="C293" t="s">
        <v>3850</v>
      </c>
      <c r="D293" s="5"/>
      <c r="E293" t="s">
        <v>4108</v>
      </c>
      <c r="F293" t="s">
        <v>3585</v>
      </c>
      <c r="G293">
        <v>98</v>
      </c>
      <c r="H293" t="s">
        <v>153</v>
      </c>
      <c r="I293" s="13">
        <v>40034</v>
      </c>
      <c r="S293" s="16">
        <v>600</v>
      </c>
      <c r="T293" t="s">
        <v>1527</v>
      </c>
      <c r="U293" t="s">
        <v>4424</v>
      </c>
      <c r="W293">
        <v>34.5</v>
      </c>
      <c r="X293">
        <v>1015.1</v>
      </c>
      <c r="AU293">
        <v>1015.1</v>
      </c>
      <c r="AV293" t="s">
        <v>3585</v>
      </c>
    </row>
    <row r="294" spans="1:48">
      <c r="A294" t="s">
        <v>220</v>
      </c>
      <c r="B294" t="s">
        <v>575</v>
      </c>
      <c r="C294" t="s">
        <v>581</v>
      </c>
      <c r="D294" s="5"/>
      <c r="E294" t="s">
        <v>4109</v>
      </c>
      <c r="F294" t="s">
        <v>3585</v>
      </c>
      <c r="G294">
        <v>98</v>
      </c>
      <c r="H294" t="s">
        <v>153</v>
      </c>
      <c r="I294" s="13">
        <v>40034.375</v>
      </c>
      <c r="S294" s="16">
        <v>500</v>
      </c>
      <c r="T294" t="s">
        <v>579</v>
      </c>
      <c r="U294" t="s">
        <v>580</v>
      </c>
      <c r="W294">
        <v>30.5</v>
      </c>
      <c r="X294">
        <v>1403.3</v>
      </c>
      <c r="AU294">
        <v>1403.3</v>
      </c>
      <c r="AV294" t="s">
        <v>3585</v>
      </c>
    </row>
    <row r="295" spans="1:48">
      <c r="A295" t="s">
        <v>220</v>
      </c>
      <c r="B295" t="s">
        <v>556</v>
      </c>
      <c r="C295" t="s">
        <v>569</v>
      </c>
      <c r="D295" s="5"/>
      <c r="E295" t="s">
        <v>4110</v>
      </c>
      <c r="F295" t="s">
        <v>3585</v>
      </c>
      <c r="G295">
        <v>98</v>
      </c>
      <c r="H295" t="s">
        <v>153</v>
      </c>
      <c r="I295" s="13">
        <v>40033.958333333336</v>
      </c>
      <c r="S295" s="16" t="s">
        <v>857</v>
      </c>
      <c r="T295" t="s">
        <v>559</v>
      </c>
      <c r="U295" t="s">
        <v>560</v>
      </c>
      <c r="W295">
        <v>54.5</v>
      </c>
      <c r="X295">
        <v>1411.2</v>
      </c>
      <c r="AU295">
        <v>1411.2</v>
      </c>
      <c r="AV295" t="s">
        <v>3585</v>
      </c>
    </row>
    <row r="296" spans="1:48">
      <c r="A296" t="s">
        <v>220</v>
      </c>
      <c r="B296" t="s">
        <v>221</v>
      </c>
      <c r="C296" t="s">
        <v>248</v>
      </c>
      <c r="D296" s="5"/>
      <c r="E296" t="s">
        <v>4111</v>
      </c>
      <c r="F296" t="s">
        <v>3585</v>
      </c>
      <c r="G296">
        <v>98</v>
      </c>
      <c r="H296" t="s">
        <v>153</v>
      </c>
      <c r="I296" s="13">
        <v>40034.166666666664</v>
      </c>
      <c r="S296" s="16">
        <v>400</v>
      </c>
      <c r="T296" t="s">
        <v>225</v>
      </c>
      <c r="U296" t="s">
        <v>226</v>
      </c>
      <c r="W296">
        <v>27</v>
      </c>
      <c r="X296">
        <v>1525</v>
      </c>
      <c r="AU296">
        <v>1525</v>
      </c>
      <c r="AV296" t="s">
        <v>3585</v>
      </c>
    </row>
    <row r="297" spans="1:48">
      <c r="A297" t="s">
        <v>220</v>
      </c>
      <c r="B297" t="s">
        <v>3684</v>
      </c>
      <c r="C297" t="s">
        <v>3852</v>
      </c>
      <c r="D297" s="5" t="s">
        <v>1788</v>
      </c>
      <c r="E297" t="s">
        <v>4112</v>
      </c>
      <c r="F297" t="s">
        <v>3585</v>
      </c>
      <c r="G297">
        <v>98</v>
      </c>
      <c r="H297" t="s">
        <v>153</v>
      </c>
      <c r="I297" s="13">
        <v>40034.166666666664</v>
      </c>
      <c r="S297" s="16" t="s">
        <v>975</v>
      </c>
      <c r="T297" t="s">
        <v>233</v>
      </c>
      <c r="U297" t="s">
        <v>234</v>
      </c>
      <c r="W297">
        <v>25</v>
      </c>
      <c r="X297">
        <v>993.9</v>
      </c>
      <c r="AU297">
        <v>993.9</v>
      </c>
      <c r="AV297" t="s">
        <v>3585</v>
      </c>
    </row>
    <row r="298" spans="1:48">
      <c r="A298" t="s">
        <v>174</v>
      </c>
      <c r="B298" t="s">
        <v>175</v>
      </c>
      <c r="C298" t="s">
        <v>493</v>
      </c>
      <c r="D298" s="5" t="s">
        <v>1792</v>
      </c>
      <c r="E298" t="s">
        <v>4113</v>
      </c>
      <c r="F298" t="s">
        <v>3585</v>
      </c>
      <c r="G298">
        <v>98</v>
      </c>
      <c r="H298" t="s">
        <v>153</v>
      </c>
      <c r="I298" s="13">
        <v>40034.291666666664</v>
      </c>
      <c r="S298" s="16">
        <v>400</v>
      </c>
      <c r="T298" t="s">
        <v>1794</v>
      </c>
      <c r="U298" t="s">
        <v>4433</v>
      </c>
      <c r="W298">
        <v>10.5</v>
      </c>
      <c r="X298">
        <v>899</v>
      </c>
      <c r="AU298">
        <v>899</v>
      </c>
      <c r="AV298" t="s">
        <v>3585</v>
      </c>
    </row>
    <row r="299" spans="1:48">
      <c r="A299" t="s">
        <v>174</v>
      </c>
      <c r="B299" t="s">
        <v>175</v>
      </c>
      <c r="C299" t="s">
        <v>497</v>
      </c>
      <c r="D299" s="5"/>
      <c r="E299" t="s">
        <v>4114</v>
      </c>
      <c r="F299" t="s">
        <v>3585</v>
      </c>
      <c r="G299">
        <v>98</v>
      </c>
      <c r="H299" t="s">
        <v>153</v>
      </c>
      <c r="I299" s="13">
        <v>40034</v>
      </c>
      <c r="S299" s="16">
        <v>400</v>
      </c>
      <c r="T299" t="s">
        <v>198</v>
      </c>
      <c r="U299" t="s">
        <v>199</v>
      </c>
      <c r="W299">
        <v>68.5</v>
      </c>
      <c r="X299">
        <v>1160.3</v>
      </c>
      <c r="AU299">
        <v>1160.3</v>
      </c>
      <c r="AV299" t="s">
        <v>3585</v>
      </c>
    </row>
    <row r="300" spans="1:48">
      <c r="A300" t="s">
        <v>183</v>
      </c>
      <c r="B300" t="s">
        <v>208</v>
      </c>
      <c r="C300" t="s">
        <v>209</v>
      </c>
      <c r="D300" s="5"/>
      <c r="E300" t="s">
        <v>4115</v>
      </c>
      <c r="F300" t="s">
        <v>3585</v>
      </c>
      <c r="G300">
        <v>98</v>
      </c>
      <c r="H300" t="s">
        <v>153</v>
      </c>
      <c r="I300" s="13">
        <v>40034.083333333336</v>
      </c>
      <c r="S300" s="16">
        <v>400</v>
      </c>
      <c r="T300" t="s">
        <v>211</v>
      </c>
      <c r="U300" t="s">
        <v>212</v>
      </c>
      <c r="W300">
        <v>108</v>
      </c>
      <c r="X300">
        <v>1218.7</v>
      </c>
      <c r="AU300">
        <v>1218.7</v>
      </c>
      <c r="AV300" t="s">
        <v>3585</v>
      </c>
    </row>
    <row r="301" spans="1:48">
      <c r="A301" t="s">
        <v>183</v>
      </c>
      <c r="B301" t="s">
        <v>208</v>
      </c>
      <c r="C301" t="s">
        <v>525</v>
      </c>
      <c r="D301" s="5"/>
      <c r="E301" t="s">
        <v>4116</v>
      </c>
      <c r="F301" t="s">
        <v>3585</v>
      </c>
      <c r="G301">
        <v>98</v>
      </c>
      <c r="H301" t="s">
        <v>153</v>
      </c>
      <c r="I301" s="13">
        <v>40033.958333333336</v>
      </c>
      <c r="S301" s="16">
        <v>400</v>
      </c>
      <c r="T301" t="s">
        <v>211</v>
      </c>
      <c r="U301" t="s">
        <v>212</v>
      </c>
      <c r="W301">
        <v>51.5</v>
      </c>
      <c r="X301">
        <v>972.5</v>
      </c>
      <c r="AU301">
        <v>972.5</v>
      </c>
      <c r="AV301" t="s">
        <v>3585</v>
      </c>
    </row>
    <row r="302" spans="1:48">
      <c r="A302" t="s">
        <v>183</v>
      </c>
      <c r="B302" t="s">
        <v>208</v>
      </c>
      <c r="C302" t="s">
        <v>3853</v>
      </c>
      <c r="D302" s="5"/>
      <c r="E302" t="s">
        <v>4117</v>
      </c>
      <c r="F302" t="s">
        <v>3585</v>
      </c>
      <c r="G302">
        <v>98</v>
      </c>
      <c r="H302" t="s">
        <v>153</v>
      </c>
      <c r="I302" s="13">
        <v>40034.041666666664</v>
      </c>
      <c r="S302" s="16" t="s">
        <v>1668</v>
      </c>
      <c r="T302" t="s">
        <v>211</v>
      </c>
      <c r="U302" t="s">
        <v>212</v>
      </c>
      <c r="W302">
        <v>87.5</v>
      </c>
      <c r="X302">
        <v>1119.5</v>
      </c>
      <c r="AU302">
        <v>1119.5</v>
      </c>
      <c r="AV302" t="s">
        <v>3585</v>
      </c>
    </row>
    <row r="303" spans="1:48">
      <c r="A303" t="s">
        <v>183</v>
      </c>
      <c r="B303" t="s">
        <v>3682</v>
      </c>
      <c r="C303" t="s">
        <v>3854</v>
      </c>
      <c r="D303" s="5" t="s">
        <v>1807</v>
      </c>
      <c r="E303" t="s">
        <v>4118</v>
      </c>
      <c r="F303" t="s">
        <v>3585</v>
      </c>
      <c r="G303">
        <v>98</v>
      </c>
      <c r="H303" t="s">
        <v>153</v>
      </c>
      <c r="I303" s="13">
        <v>40034.041666666664</v>
      </c>
      <c r="S303" s="16" t="s">
        <v>1809</v>
      </c>
      <c r="T303" t="s">
        <v>1071</v>
      </c>
      <c r="U303" t="s">
        <v>4396</v>
      </c>
      <c r="W303">
        <v>56</v>
      </c>
      <c r="X303">
        <v>1395.9</v>
      </c>
      <c r="AU303">
        <v>1395.9</v>
      </c>
      <c r="AV303" t="s">
        <v>3585</v>
      </c>
    </row>
    <row r="304" spans="1:48" ht="31.5">
      <c r="A304" t="s">
        <v>183</v>
      </c>
      <c r="B304" t="s">
        <v>193</v>
      </c>
      <c r="C304" t="s">
        <v>3855</v>
      </c>
      <c r="D304" s="5"/>
      <c r="E304" t="s">
        <v>4119</v>
      </c>
      <c r="F304" t="s">
        <v>3585</v>
      </c>
      <c r="G304">
        <v>98</v>
      </c>
      <c r="H304" t="s">
        <v>153</v>
      </c>
      <c r="I304" s="13" t="s">
        <v>1812</v>
      </c>
      <c r="S304" s="16">
        <v>300</v>
      </c>
      <c r="T304" t="s">
        <v>520</v>
      </c>
      <c r="U304" t="s">
        <v>4425</v>
      </c>
      <c r="W304">
        <v>30.5</v>
      </c>
      <c r="X304">
        <v>555.20000000000005</v>
      </c>
      <c r="AU304">
        <v>555.20000000000005</v>
      </c>
      <c r="AV304" t="s">
        <v>3585</v>
      </c>
    </row>
    <row r="305" spans="1:48">
      <c r="A305" t="s">
        <v>183</v>
      </c>
      <c r="B305" t="s">
        <v>184</v>
      </c>
      <c r="C305" t="s">
        <v>3856</v>
      </c>
      <c r="D305" s="5"/>
      <c r="E305" t="s">
        <v>4120</v>
      </c>
      <c r="F305" t="s">
        <v>3585</v>
      </c>
      <c r="G305">
        <v>98</v>
      </c>
      <c r="H305" t="s">
        <v>153</v>
      </c>
      <c r="I305" s="13">
        <v>40034.166666666664</v>
      </c>
      <c r="S305" s="16" t="s">
        <v>1668</v>
      </c>
      <c r="T305" t="s">
        <v>1071</v>
      </c>
      <c r="U305" t="s">
        <v>4396</v>
      </c>
      <c r="W305">
        <v>50</v>
      </c>
      <c r="X305">
        <v>1546.9</v>
      </c>
      <c r="AU305">
        <v>1546.9</v>
      </c>
      <c r="AV305" t="s">
        <v>3585</v>
      </c>
    </row>
    <row r="306" spans="1:48">
      <c r="A306" t="s">
        <v>76</v>
      </c>
      <c r="B306" t="s">
        <v>118</v>
      </c>
      <c r="C306" t="s">
        <v>142</v>
      </c>
      <c r="D306" s="5"/>
      <c r="E306" t="s">
        <v>4121</v>
      </c>
      <c r="F306" t="s">
        <v>3585</v>
      </c>
      <c r="G306">
        <v>98</v>
      </c>
      <c r="H306" t="s">
        <v>153</v>
      </c>
      <c r="I306" s="13">
        <v>40033.833333333336</v>
      </c>
      <c r="S306" s="16">
        <v>250</v>
      </c>
      <c r="T306" t="s">
        <v>147</v>
      </c>
      <c r="U306" t="s">
        <v>142</v>
      </c>
      <c r="W306">
        <v>46.5</v>
      </c>
      <c r="X306">
        <v>753.4</v>
      </c>
      <c r="AU306">
        <v>753.4</v>
      </c>
      <c r="AV306" t="s">
        <v>3585</v>
      </c>
    </row>
    <row r="307" spans="1:48">
      <c r="A307" t="s">
        <v>76</v>
      </c>
      <c r="B307" t="s">
        <v>118</v>
      </c>
      <c r="C307" t="s">
        <v>142</v>
      </c>
      <c r="D307" s="5"/>
      <c r="E307" t="s">
        <v>4122</v>
      </c>
      <c r="F307" t="s">
        <v>3585</v>
      </c>
      <c r="G307">
        <v>98</v>
      </c>
      <c r="H307" t="s">
        <v>153</v>
      </c>
      <c r="I307" s="13">
        <v>40033.333333333336</v>
      </c>
      <c r="S307" s="16">
        <v>250</v>
      </c>
      <c r="T307" t="s">
        <v>147</v>
      </c>
      <c r="U307" t="s">
        <v>142</v>
      </c>
      <c r="W307">
        <v>21.5</v>
      </c>
      <c r="X307">
        <v>397.9</v>
      </c>
      <c r="AU307">
        <v>397.9</v>
      </c>
      <c r="AV307" t="s">
        <v>3585</v>
      </c>
    </row>
    <row r="308" spans="1:48">
      <c r="A308" t="s">
        <v>174</v>
      </c>
      <c r="B308" t="s">
        <v>175</v>
      </c>
      <c r="C308" t="s">
        <v>497</v>
      </c>
      <c r="D308" s="5" t="s">
        <v>1824</v>
      </c>
      <c r="E308" t="s">
        <v>4123</v>
      </c>
      <c r="F308" t="s">
        <v>3585</v>
      </c>
      <c r="G308">
        <v>98</v>
      </c>
      <c r="H308" t="s">
        <v>153</v>
      </c>
      <c r="I308" s="13">
        <v>40034.125</v>
      </c>
      <c r="S308" s="16">
        <v>400</v>
      </c>
      <c r="T308" t="s">
        <v>198</v>
      </c>
      <c r="U308" t="s">
        <v>199</v>
      </c>
      <c r="W308">
        <v>56</v>
      </c>
      <c r="X308">
        <v>1367.2</v>
      </c>
      <c r="AU308">
        <v>1367.2</v>
      </c>
      <c r="AV308" t="s">
        <v>3585</v>
      </c>
    </row>
    <row r="309" spans="1:48">
      <c r="A309" t="s">
        <v>174</v>
      </c>
      <c r="B309" t="s">
        <v>175</v>
      </c>
      <c r="C309" t="s">
        <v>3857</v>
      </c>
      <c r="D309" s="5"/>
      <c r="E309" t="s">
        <v>4124</v>
      </c>
      <c r="F309" t="s">
        <v>3585</v>
      </c>
      <c r="G309">
        <v>98</v>
      </c>
      <c r="H309" t="s">
        <v>153</v>
      </c>
      <c r="I309" s="13">
        <v>40034.25</v>
      </c>
      <c r="S309" s="16">
        <v>400</v>
      </c>
      <c r="T309" t="s">
        <v>198</v>
      </c>
      <c r="U309" t="s">
        <v>199</v>
      </c>
      <c r="W309">
        <v>30.5</v>
      </c>
      <c r="X309">
        <v>1443</v>
      </c>
      <c r="AU309">
        <v>1443</v>
      </c>
      <c r="AV309" t="s">
        <v>3585</v>
      </c>
    </row>
    <row r="310" spans="1:48">
      <c r="A310" t="s">
        <v>174</v>
      </c>
      <c r="B310" t="s">
        <v>175</v>
      </c>
      <c r="C310" t="s">
        <v>3857</v>
      </c>
      <c r="D310" s="5"/>
      <c r="E310" t="s">
        <v>4125</v>
      </c>
      <c r="F310" t="s">
        <v>3585</v>
      </c>
      <c r="G310">
        <v>98</v>
      </c>
      <c r="H310" t="s">
        <v>153</v>
      </c>
      <c r="I310" s="13">
        <v>40034.25</v>
      </c>
      <c r="S310" s="16">
        <v>400</v>
      </c>
      <c r="T310" t="s">
        <v>198</v>
      </c>
      <c r="U310" t="s">
        <v>199</v>
      </c>
      <c r="W310">
        <v>30.3</v>
      </c>
      <c r="X310">
        <v>1443</v>
      </c>
      <c r="AU310">
        <v>1443</v>
      </c>
      <c r="AV310" t="s">
        <v>3585</v>
      </c>
    </row>
    <row r="311" spans="1:48">
      <c r="A311" t="s">
        <v>174</v>
      </c>
      <c r="B311" t="s">
        <v>175</v>
      </c>
      <c r="C311" t="s">
        <v>3857</v>
      </c>
      <c r="D311" s="5"/>
      <c r="E311" t="s">
        <v>4126</v>
      </c>
      <c r="F311" t="s">
        <v>3585</v>
      </c>
      <c r="G311">
        <v>98</v>
      </c>
      <c r="H311" t="s">
        <v>153</v>
      </c>
      <c r="I311" s="13">
        <v>40034.208333333336</v>
      </c>
      <c r="S311" s="16">
        <v>400</v>
      </c>
      <c r="T311" t="s">
        <v>198</v>
      </c>
      <c r="U311" t="s">
        <v>199</v>
      </c>
      <c r="W311">
        <v>45</v>
      </c>
      <c r="X311">
        <v>1422.6</v>
      </c>
      <c r="AU311">
        <v>1422.6</v>
      </c>
      <c r="AV311" t="s">
        <v>3585</v>
      </c>
    </row>
    <row r="312" spans="1:48">
      <c r="A312" t="s">
        <v>174</v>
      </c>
      <c r="B312" t="s">
        <v>175</v>
      </c>
      <c r="C312" t="s">
        <v>3857</v>
      </c>
      <c r="D312" s="5"/>
      <c r="E312" t="s">
        <v>4127</v>
      </c>
      <c r="F312" t="s">
        <v>3585</v>
      </c>
      <c r="G312">
        <v>98</v>
      </c>
      <c r="H312" t="s">
        <v>153</v>
      </c>
      <c r="I312" s="13">
        <v>40034.25</v>
      </c>
      <c r="S312" s="16">
        <v>400</v>
      </c>
      <c r="T312" t="s">
        <v>198</v>
      </c>
      <c r="U312" t="s">
        <v>199</v>
      </c>
      <c r="W312">
        <v>30.5</v>
      </c>
      <c r="X312">
        <v>1443</v>
      </c>
      <c r="AU312">
        <v>1443</v>
      </c>
      <c r="AV312" t="s">
        <v>3585</v>
      </c>
    </row>
    <row r="313" spans="1:48">
      <c r="A313" t="s">
        <v>183</v>
      </c>
      <c r="B313" t="s">
        <v>208</v>
      </c>
      <c r="C313" t="s">
        <v>525</v>
      </c>
      <c r="D313" s="5"/>
      <c r="E313" t="s">
        <v>4128</v>
      </c>
      <c r="F313" t="s">
        <v>3585</v>
      </c>
      <c r="G313">
        <v>98</v>
      </c>
      <c r="H313" t="s">
        <v>153</v>
      </c>
      <c r="I313" s="13">
        <v>40033.041666666664</v>
      </c>
      <c r="S313" s="16">
        <v>400</v>
      </c>
      <c r="T313" t="s">
        <v>211</v>
      </c>
      <c r="U313" t="s">
        <v>212</v>
      </c>
      <c r="W313">
        <v>2.5</v>
      </c>
      <c r="X313">
        <v>455.6</v>
      </c>
      <c r="AU313">
        <v>455.6</v>
      </c>
      <c r="AV313" t="s">
        <v>3585</v>
      </c>
    </row>
    <row r="314" spans="1:48">
      <c r="A314" t="s">
        <v>183</v>
      </c>
      <c r="B314" t="s">
        <v>208</v>
      </c>
      <c r="C314" t="s">
        <v>525</v>
      </c>
      <c r="D314" s="5"/>
      <c r="E314" t="s">
        <v>4129</v>
      </c>
      <c r="F314" t="s">
        <v>3585</v>
      </c>
      <c r="G314">
        <v>98</v>
      </c>
      <c r="H314" t="s">
        <v>153</v>
      </c>
      <c r="I314" s="13">
        <v>40034.083333333336</v>
      </c>
      <c r="S314" s="16">
        <v>400</v>
      </c>
      <c r="T314" t="s">
        <v>211</v>
      </c>
      <c r="U314" t="s">
        <v>212</v>
      </c>
      <c r="W314">
        <v>108</v>
      </c>
      <c r="X314">
        <v>1218.7</v>
      </c>
      <c r="AU314">
        <v>1218.7</v>
      </c>
      <c r="AV314" t="s">
        <v>3585</v>
      </c>
    </row>
    <row r="315" spans="1:48">
      <c r="A315" t="s">
        <v>183</v>
      </c>
      <c r="B315" t="s">
        <v>208</v>
      </c>
      <c r="C315" t="s">
        <v>525</v>
      </c>
      <c r="D315" s="5"/>
      <c r="E315" t="s">
        <v>4130</v>
      </c>
      <c r="F315" t="s">
        <v>3585</v>
      </c>
      <c r="G315">
        <v>98</v>
      </c>
      <c r="H315" t="s">
        <v>153</v>
      </c>
      <c r="I315" s="13">
        <v>40034.25</v>
      </c>
      <c r="S315" s="16">
        <v>400</v>
      </c>
      <c r="T315" t="s">
        <v>211</v>
      </c>
      <c r="U315" t="s">
        <v>212</v>
      </c>
      <c r="W315">
        <v>24</v>
      </c>
      <c r="X315">
        <v>1342.6</v>
      </c>
      <c r="AU315">
        <v>1342.6</v>
      </c>
      <c r="AV315" t="s">
        <v>3585</v>
      </c>
    </row>
    <row r="316" spans="1:48">
      <c r="A316" t="s">
        <v>183</v>
      </c>
      <c r="B316" t="s">
        <v>193</v>
      </c>
      <c r="C316" t="s">
        <v>3858</v>
      </c>
      <c r="D316" s="5"/>
      <c r="E316" t="s">
        <v>4131</v>
      </c>
      <c r="F316" t="s">
        <v>3585</v>
      </c>
      <c r="G316">
        <v>98</v>
      </c>
      <c r="H316" t="s">
        <v>153</v>
      </c>
      <c r="I316" s="13">
        <v>40032.958333333336</v>
      </c>
      <c r="S316" s="16">
        <v>300</v>
      </c>
      <c r="T316" t="s">
        <v>520</v>
      </c>
      <c r="U316" t="s">
        <v>4425</v>
      </c>
      <c r="W316">
        <v>33.5</v>
      </c>
      <c r="X316">
        <v>522.79999999999995</v>
      </c>
      <c r="AU316">
        <v>522.79999999999995</v>
      </c>
      <c r="AV316" t="s">
        <v>3585</v>
      </c>
    </row>
    <row r="317" spans="1:48">
      <c r="A317" t="s">
        <v>265</v>
      </c>
      <c r="B317" t="s">
        <v>600</v>
      </c>
      <c r="C317" t="s">
        <v>3859</v>
      </c>
      <c r="D317" s="5"/>
      <c r="E317" t="s">
        <v>4132</v>
      </c>
      <c r="F317" t="s">
        <v>3585</v>
      </c>
      <c r="G317">
        <v>98</v>
      </c>
      <c r="H317" t="s">
        <v>153</v>
      </c>
      <c r="I317" s="13">
        <v>40033.041666666664</v>
      </c>
      <c r="S317" s="16" t="s">
        <v>1668</v>
      </c>
      <c r="T317" t="s">
        <v>608</v>
      </c>
      <c r="U317" t="s">
        <v>609</v>
      </c>
      <c r="W317">
        <v>60.5</v>
      </c>
      <c r="X317">
        <v>294.10000000000002</v>
      </c>
      <c r="AU317">
        <v>294.10000000000002</v>
      </c>
      <c r="AV317" t="s">
        <v>3585</v>
      </c>
    </row>
    <row r="318" spans="1:48">
      <c r="A318" t="s">
        <v>265</v>
      </c>
      <c r="B318" t="s">
        <v>3680</v>
      </c>
      <c r="C318" t="s">
        <v>3860</v>
      </c>
      <c r="D318" s="5"/>
      <c r="E318" t="s">
        <v>4133</v>
      </c>
      <c r="F318" t="s">
        <v>3777</v>
      </c>
      <c r="G318">
        <v>98</v>
      </c>
      <c r="H318" t="s">
        <v>153</v>
      </c>
      <c r="I318" s="13">
        <v>40033.375</v>
      </c>
      <c r="S318" s="16">
        <v>600</v>
      </c>
      <c r="T318" t="s">
        <v>1666</v>
      </c>
      <c r="U318" t="s">
        <v>4426</v>
      </c>
      <c r="W318">
        <v>3.5</v>
      </c>
      <c r="X318">
        <v>317.89999999999998</v>
      </c>
      <c r="AU318">
        <v>317.89999999999998</v>
      </c>
      <c r="AV318" t="s">
        <v>3777</v>
      </c>
    </row>
    <row r="319" spans="1:48">
      <c r="A319" t="s">
        <v>183</v>
      </c>
      <c r="B319" t="s">
        <v>208</v>
      </c>
      <c r="C319" t="s">
        <v>209</v>
      </c>
      <c r="D319" s="5"/>
      <c r="E319" t="s">
        <v>4134</v>
      </c>
      <c r="F319" t="s">
        <v>3777</v>
      </c>
      <c r="G319">
        <v>98</v>
      </c>
      <c r="H319" t="s">
        <v>153</v>
      </c>
      <c r="I319" s="13">
        <v>40033.958333333336</v>
      </c>
      <c r="S319" s="16">
        <v>400</v>
      </c>
      <c r="T319" t="s">
        <v>211</v>
      </c>
      <c r="U319" t="s">
        <v>212</v>
      </c>
      <c r="W319">
        <v>51.5</v>
      </c>
      <c r="X319">
        <v>972.5</v>
      </c>
      <c r="AU319">
        <v>972.5</v>
      </c>
      <c r="AV319" t="s">
        <v>3777</v>
      </c>
    </row>
    <row r="320" spans="1:48">
      <c r="A320" t="s">
        <v>183</v>
      </c>
      <c r="B320" t="s">
        <v>193</v>
      </c>
      <c r="C320" t="s">
        <v>511</v>
      </c>
      <c r="D320" s="5" t="s">
        <v>1869</v>
      </c>
      <c r="E320" t="s">
        <v>4135</v>
      </c>
      <c r="F320" t="s">
        <v>3765</v>
      </c>
      <c r="G320">
        <v>98</v>
      </c>
      <c r="H320" t="s">
        <v>153</v>
      </c>
      <c r="I320" s="13">
        <v>40033.916666666664</v>
      </c>
      <c r="S320" s="16" t="s">
        <v>1668</v>
      </c>
      <c r="T320" t="s">
        <v>520</v>
      </c>
      <c r="U320" t="s">
        <v>4425</v>
      </c>
      <c r="W320">
        <v>64</v>
      </c>
      <c r="X320">
        <v>1311.2</v>
      </c>
      <c r="AU320">
        <v>1311.2</v>
      </c>
      <c r="AV320" t="s">
        <v>3765</v>
      </c>
    </row>
    <row r="321" spans="1:48">
      <c r="A321" t="s">
        <v>265</v>
      </c>
      <c r="B321" t="s">
        <v>600</v>
      </c>
      <c r="C321" t="s">
        <v>3861</v>
      </c>
      <c r="D321" s="5"/>
      <c r="E321" t="s">
        <v>4136</v>
      </c>
      <c r="F321" t="s">
        <v>3762</v>
      </c>
      <c r="G321">
        <v>98</v>
      </c>
      <c r="H321" t="s">
        <v>153</v>
      </c>
      <c r="I321" s="13">
        <v>40033.291666666664</v>
      </c>
      <c r="S321" s="16" t="s">
        <v>1668</v>
      </c>
      <c r="T321" t="s">
        <v>603</v>
      </c>
      <c r="U321" t="s">
        <v>604</v>
      </c>
      <c r="W321">
        <v>60</v>
      </c>
      <c r="X321">
        <v>1169</v>
      </c>
      <c r="AU321">
        <v>1169</v>
      </c>
      <c r="AV321" t="s">
        <v>3762</v>
      </c>
    </row>
    <row r="322" spans="1:48">
      <c r="A322" t="s">
        <v>220</v>
      </c>
      <c r="B322" t="s">
        <v>556</v>
      </c>
      <c r="C322" t="s">
        <v>3862</v>
      </c>
      <c r="D322" s="5" t="s">
        <v>1877</v>
      </c>
      <c r="E322" t="s">
        <v>4137</v>
      </c>
      <c r="F322" t="s">
        <v>3762</v>
      </c>
      <c r="G322">
        <v>98</v>
      </c>
      <c r="H322" t="s">
        <v>153</v>
      </c>
      <c r="I322" s="13">
        <v>40034.25</v>
      </c>
      <c r="S322" s="16">
        <v>450</v>
      </c>
      <c r="T322" t="s">
        <v>559</v>
      </c>
      <c r="U322" t="s">
        <v>560</v>
      </c>
      <c r="W322">
        <v>43</v>
      </c>
      <c r="X322">
        <v>1545.1</v>
      </c>
      <c r="AU322">
        <v>1545.1</v>
      </c>
      <c r="AV322" t="s">
        <v>3762</v>
      </c>
    </row>
    <row r="323" spans="1:48">
      <c r="A323" t="s">
        <v>220</v>
      </c>
      <c r="B323" t="s">
        <v>556</v>
      </c>
      <c r="C323" t="s">
        <v>564</v>
      </c>
      <c r="D323" s="5" t="s">
        <v>1332</v>
      </c>
      <c r="E323" t="s">
        <v>4138</v>
      </c>
      <c r="F323" t="s">
        <v>3762</v>
      </c>
      <c r="G323">
        <v>98</v>
      </c>
      <c r="H323" t="s">
        <v>153</v>
      </c>
      <c r="I323" s="13">
        <v>40034.208333333336</v>
      </c>
      <c r="S323" s="16">
        <v>450</v>
      </c>
      <c r="T323" t="s">
        <v>559</v>
      </c>
      <c r="U323" t="s">
        <v>560</v>
      </c>
      <c r="W323">
        <v>22.5</v>
      </c>
      <c r="X323">
        <v>1506.9</v>
      </c>
      <c r="AU323">
        <v>1506.9</v>
      </c>
      <c r="AV323" t="s">
        <v>3762</v>
      </c>
    </row>
    <row r="324" spans="1:48">
      <c r="A324" t="s">
        <v>220</v>
      </c>
      <c r="B324" t="s">
        <v>556</v>
      </c>
      <c r="C324" t="s">
        <v>564</v>
      </c>
      <c r="D324" s="5" t="s">
        <v>1881</v>
      </c>
      <c r="E324" t="s">
        <v>4138</v>
      </c>
      <c r="F324" t="s">
        <v>3762</v>
      </c>
      <c r="G324">
        <v>98</v>
      </c>
      <c r="H324" t="s">
        <v>153</v>
      </c>
      <c r="I324" s="13">
        <v>40034.208333333336</v>
      </c>
      <c r="S324" s="16">
        <v>450</v>
      </c>
      <c r="T324" t="s">
        <v>559</v>
      </c>
      <c r="U324" t="s">
        <v>560</v>
      </c>
      <c r="W324">
        <v>22.5</v>
      </c>
      <c r="X324">
        <v>1506.9</v>
      </c>
      <c r="AU324">
        <v>1506.9</v>
      </c>
      <c r="AV324" t="s">
        <v>3762</v>
      </c>
    </row>
    <row r="325" spans="1:48">
      <c r="A325" t="s">
        <v>174</v>
      </c>
      <c r="B325" t="s">
        <v>175</v>
      </c>
      <c r="C325" t="s">
        <v>497</v>
      </c>
      <c r="D325" s="5" t="s">
        <v>1883</v>
      </c>
      <c r="E325" t="s">
        <v>4139</v>
      </c>
      <c r="F325" t="s">
        <v>3762</v>
      </c>
      <c r="G325">
        <v>98</v>
      </c>
      <c r="H325" t="s">
        <v>153</v>
      </c>
      <c r="I325" s="13">
        <v>40034.25</v>
      </c>
      <c r="S325" s="16">
        <v>400</v>
      </c>
      <c r="T325" t="s">
        <v>198</v>
      </c>
      <c r="U325" t="s">
        <v>199</v>
      </c>
      <c r="W325">
        <v>30.5</v>
      </c>
      <c r="X325">
        <v>1443</v>
      </c>
      <c r="AU325">
        <v>1443</v>
      </c>
      <c r="AV325" t="s">
        <v>3762</v>
      </c>
    </row>
    <row r="326" spans="1:48">
      <c r="A326" t="s">
        <v>213</v>
      </c>
      <c r="B326" t="s">
        <v>3664</v>
      </c>
      <c r="C326" t="s">
        <v>3823</v>
      </c>
      <c r="D326" s="5"/>
      <c r="E326" t="s">
        <v>4140</v>
      </c>
      <c r="F326" t="s">
        <v>3585</v>
      </c>
      <c r="G326">
        <v>98</v>
      </c>
      <c r="H326" t="s">
        <v>153</v>
      </c>
      <c r="I326" s="13">
        <v>40034.041666666664</v>
      </c>
      <c r="S326" s="16">
        <v>450</v>
      </c>
      <c r="T326" t="s">
        <v>1888</v>
      </c>
      <c r="U326" t="s">
        <v>4434</v>
      </c>
      <c r="W326">
        <v>35</v>
      </c>
      <c r="X326">
        <v>1415</v>
      </c>
      <c r="AU326">
        <v>1415</v>
      </c>
      <c r="AV326" t="s">
        <v>3585</v>
      </c>
    </row>
    <row r="327" spans="1:48">
      <c r="A327" t="s">
        <v>213</v>
      </c>
      <c r="B327" t="s">
        <v>3664</v>
      </c>
      <c r="C327" t="s">
        <v>3823</v>
      </c>
      <c r="D327" s="5"/>
      <c r="E327" t="s">
        <v>4141</v>
      </c>
      <c r="F327" t="s">
        <v>3585</v>
      </c>
      <c r="G327">
        <v>98</v>
      </c>
      <c r="H327" t="s">
        <v>153</v>
      </c>
      <c r="I327" s="13">
        <v>40033.25</v>
      </c>
      <c r="S327" s="16">
        <v>450</v>
      </c>
      <c r="T327" t="s">
        <v>1888</v>
      </c>
      <c r="U327" t="s">
        <v>4434</v>
      </c>
      <c r="W327">
        <v>41</v>
      </c>
      <c r="X327">
        <v>650.5</v>
      </c>
      <c r="AU327">
        <v>650.5</v>
      </c>
      <c r="AV327" t="s">
        <v>3585</v>
      </c>
    </row>
    <row r="328" spans="1:48">
      <c r="A328" t="s">
        <v>213</v>
      </c>
      <c r="B328" t="s">
        <v>3664</v>
      </c>
      <c r="C328" t="s">
        <v>3823</v>
      </c>
      <c r="D328" s="5" t="s">
        <v>1894</v>
      </c>
      <c r="E328" t="s">
        <v>4142</v>
      </c>
      <c r="F328" t="s">
        <v>3462</v>
      </c>
      <c r="G328">
        <v>98</v>
      </c>
      <c r="H328" t="s">
        <v>153</v>
      </c>
      <c r="I328" s="13">
        <v>40033.291666666664</v>
      </c>
      <c r="S328" s="16">
        <v>450</v>
      </c>
      <c r="T328" t="s">
        <v>1888</v>
      </c>
      <c r="U328" t="s">
        <v>4434</v>
      </c>
      <c r="W328">
        <v>52.5</v>
      </c>
      <c r="X328">
        <v>701</v>
      </c>
      <c r="AU328">
        <v>701</v>
      </c>
      <c r="AV328" t="s">
        <v>3462</v>
      </c>
    </row>
    <row r="329" spans="1:48">
      <c r="A329" t="s">
        <v>220</v>
      </c>
      <c r="B329" t="s">
        <v>556</v>
      </c>
      <c r="C329" t="s">
        <v>3862</v>
      </c>
      <c r="D329" s="5"/>
      <c r="E329" t="s">
        <v>4143</v>
      </c>
      <c r="F329" t="s">
        <v>3779</v>
      </c>
      <c r="G329">
        <v>98</v>
      </c>
      <c r="H329" t="s">
        <v>153</v>
      </c>
      <c r="I329" s="13">
        <v>40033.791666666664</v>
      </c>
      <c r="S329" s="16">
        <v>450</v>
      </c>
      <c r="T329" t="s">
        <v>559</v>
      </c>
      <c r="U329" t="s">
        <v>560</v>
      </c>
      <c r="W329">
        <v>70</v>
      </c>
      <c r="X329">
        <v>1285.5</v>
      </c>
      <c r="AU329">
        <v>1285.5</v>
      </c>
      <c r="AV329" t="s">
        <v>3779</v>
      </c>
    </row>
    <row r="330" spans="1:48">
      <c r="A330" t="s">
        <v>220</v>
      </c>
      <c r="B330" t="s">
        <v>556</v>
      </c>
      <c r="C330" t="s">
        <v>530</v>
      </c>
      <c r="D330" s="5"/>
      <c r="E330" t="s">
        <v>4144</v>
      </c>
      <c r="F330" t="s">
        <v>3462</v>
      </c>
      <c r="G330">
        <v>98</v>
      </c>
      <c r="H330" t="s">
        <v>153</v>
      </c>
      <c r="I330" s="13">
        <v>40033.25</v>
      </c>
      <c r="S330" s="16">
        <v>450</v>
      </c>
      <c r="T330" t="s">
        <v>533</v>
      </c>
      <c r="U330" t="s">
        <v>534</v>
      </c>
      <c r="W330">
        <v>19.5</v>
      </c>
      <c r="X330">
        <v>497.2</v>
      </c>
      <c r="AU330">
        <v>497.2</v>
      </c>
      <c r="AV330" t="s">
        <v>3462</v>
      </c>
    </row>
    <row r="331" spans="1:48">
      <c r="A331" t="s">
        <v>220</v>
      </c>
      <c r="B331" t="s">
        <v>556</v>
      </c>
      <c r="C331" t="s">
        <v>3862</v>
      </c>
      <c r="D331" s="5"/>
      <c r="E331" t="s">
        <v>4145</v>
      </c>
      <c r="F331" t="s">
        <v>3779</v>
      </c>
      <c r="G331">
        <v>98</v>
      </c>
      <c r="H331" t="s">
        <v>153</v>
      </c>
      <c r="I331" s="13">
        <v>40033.25</v>
      </c>
      <c r="S331" s="16">
        <v>450</v>
      </c>
      <c r="T331" t="s">
        <v>559</v>
      </c>
      <c r="U331" t="s">
        <v>560</v>
      </c>
      <c r="W331">
        <v>42.5</v>
      </c>
      <c r="X331">
        <v>625.9</v>
      </c>
      <c r="AU331">
        <v>625.9</v>
      </c>
      <c r="AV331" t="s">
        <v>3779</v>
      </c>
    </row>
    <row r="332" spans="1:48">
      <c r="A332" t="s">
        <v>220</v>
      </c>
      <c r="B332" t="s">
        <v>221</v>
      </c>
      <c r="C332" t="s">
        <v>248</v>
      </c>
      <c r="D332" s="5"/>
      <c r="E332" t="s">
        <v>4146</v>
      </c>
      <c r="F332" t="s">
        <v>3585</v>
      </c>
      <c r="G332">
        <v>98</v>
      </c>
      <c r="H332" t="s">
        <v>153</v>
      </c>
      <c r="I332" s="13">
        <v>40033.708333333336</v>
      </c>
      <c r="S332" s="16">
        <v>400</v>
      </c>
      <c r="T332" t="s">
        <v>225</v>
      </c>
      <c r="U332" t="s">
        <v>226</v>
      </c>
      <c r="W332">
        <v>71</v>
      </c>
      <c r="X332">
        <v>1046</v>
      </c>
      <c r="AU332">
        <v>1046</v>
      </c>
      <c r="AV332" t="s">
        <v>3585</v>
      </c>
    </row>
    <row r="333" spans="1:48">
      <c r="A333" t="s">
        <v>220</v>
      </c>
      <c r="B333" t="s">
        <v>586</v>
      </c>
      <c r="C333" t="s">
        <v>3497</v>
      </c>
      <c r="D333" s="5"/>
      <c r="E333" t="s">
        <v>4147</v>
      </c>
      <c r="F333" t="s">
        <v>3757</v>
      </c>
      <c r="G333">
        <v>98</v>
      </c>
      <c r="H333" t="s">
        <v>153</v>
      </c>
      <c r="I333" s="13">
        <v>40033.916666666664</v>
      </c>
      <c r="S333" s="16">
        <v>450</v>
      </c>
      <c r="T333" t="s">
        <v>595</v>
      </c>
      <c r="U333" t="s">
        <v>596</v>
      </c>
      <c r="W333">
        <v>88.5</v>
      </c>
      <c r="X333">
        <v>1048.7</v>
      </c>
      <c r="AU333">
        <v>1048.7</v>
      </c>
      <c r="AV333" t="s">
        <v>3757</v>
      </c>
    </row>
    <row r="334" spans="1:48">
      <c r="A334" t="s">
        <v>220</v>
      </c>
      <c r="B334" t="s">
        <v>586</v>
      </c>
      <c r="C334" t="s">
        <v>3497</v>
      </c>
      <c r="D334" s="5"/>
      <c r="E334" t="s">
        <v>4148</v>
      </c>
      <c r="F334" t="s">
        <v>3757</v>
      </c>
      <c r="G334">
        <v>98</v>
      </c>
      <c r="H334" t="s">
        <v>153</v>
      </c>
      <c r="I334" s="13">
        <v>40033.916666666664</v>
      </c>
      <c r="S334" s="16">
        <v>450</v>
      </c>
      <c r="T334" t="s">
        <v>595</v>
      </c>
      <c r="U334" t="s">
        <v>596</v>
      </c>
      <c r="W334">
        <v>88.5</v>
      </c>
      <c r="X334">
        <v>1048.7</v>
      </c>
      <c r="AU334">
        <v>1048.7</v>
      </c>
      <c r="AV334" t="s">
        <v>3757</v>
      </c>
    </row>
    <row r="335" spans="1:48">
      <c r="A335" t="s">
        <v>220</v>
      </c>
      <c r="B335" t="s">
        <v>586</v>
      </c>
      <c r="C335" t="s">
        <v>3497</v>
      </c>
      <c r="D335" s="5"/>
      <c r="E335" t="s">
        <v>4149</v>
      </c>
      <c r="F335" t="s">
        <v>3757</v>
      </c>
      <c r="G335">
        <v>98</v>
      </c>
      <c r="H335" t="s">
        <v>153</v>
      </c>
      <c r="I335" s="13">
        <v>40033.916666666664</v>
      </c>
      <c r="S335" s="16">
        <v>450</v>
      </c>
      <c r="T335" t="s">
        <v>595</v>
      </c>
      <c r="U335" t="s">
        <v>596</v>
      </c>
      <c r="W335">
        <v>88.5</v>
      </c>
      <c r="X335">
        <v>1048.7</v>
      </c>
      <c r="AU335">
        <v>1048.7</v>
      </c>
      <c r="AV335" t="s">
        <v>3757</v>
      </c>
    </row>
    <row r="336" spans="1:48">
      <c r="A336" t="s">
        <v>265</v>
      </c>
      <c r="B336" t="s">
        <v>3645</v>
      </c>
      <c r="C336" t="s">
        <v>3863</v>
      </c>
      <c r="D336" s="5"/>
      <c r="E336" t="s">
        <v>4150</v>
      </c>
      <c r="F336" t="s">
        <v>3585</v>
      </c>
      <c r="G336">
        <v>98</v>
      </c>
      <c r="H336" t="s">
        <v>3685</v>
      </c>
      <c r="I336" s="13">
        <v>40019.625</v>
      </c>
      <c r="S336" s="16">
        <v>550</v>
      </c>
      <c r="T336" t="s">
        <v>1690</v>
      </c>
      <c r="U336" t="s">
        <v>4427</v>
      </c>
      <c r="W336">
        <v>5</v>
      </c>
      <c r="X336">
        <v>35.700000000000003</v>
      </c>
      <c r="AU336">
        <v>35.700000000000003</v>
      </c>
      <c r="AV336" t="s">
        <v>3585</v>
      </c>
    </row>
    <row r="337" spans="1:48">
      <c r="A337" t="s">
        <v>318</v>
      </c>
      <c r="B337" t="s">
        <v>3686</v>
      </c>
      <c r="C337" t="s">
        <v>3864</v>
      </c>
      <c r="D337" s="5"/>
      <c r="E337" t="s">
        <v>4151</v>
      </c>
      <c r="F337" t="s">
        <v>3765</v>
      </c>
      <c r="G337">
        <v>99</v>
      </c>
      <c r="H337" t="s">
        <v>3687</v>
      </c>
      <c r="I337" s="29">
        <v>40445.25</v>
      </c>
      <c r="S337" s="16">
        <v>500</v>
      </c>
      <c r="T337" t="s">
        <v>1940</v>
      </c>
      <c r="U337" t="s">
        <v>4435</v>
      </c>
      <c r="W337">
        <v>4.5</v>
      </c>
      <c r="X337">
        <v>79</v>
      </c>
      <c r="AU337">
        <v>79</v>
      </c>
      <c r="AV337" t="s">
        <v>3765</v>
      </c>
    </row>
    <row r="338" spans="1:48">
      <c r="A338" t="s">
        <v>272</v>
      </c>
      <c r="B338" t="s">
        <v>3688</v>
      </c>
      <c r="C338" t="s">
        <v>3865</v>
      </c>
      <c r="D338" s="5"/>
      <c r="E338" t="s">
        <v>4152</v>
      </c>
      <c r="F338" t="s">
        <v>3462</v>
      </c>
      <c r="G338">
        <v>99</v>
      </c>
      <c r="H338" t="s">
        <v>3689</v>
      </c>
      <c r="I338" s="29">
        <v>40467.833333333336</v>
      </c>
      <c r="S338" s="16">
        <v>400</v>
      </c>
      <c r="T338" t="s">
        <v>1947</v>
      </c>
      <c r="U338" t="s">
        <v>4436</v>
      </c>
      <c r="W338">
        <v>9.5</v>
      </c>
      <c r="X338">
        <v>59</v>
      </c>
      <c r="AU338">
        <v>59</v>
      </c>
      <c r="AV338" t="s">
        <v>3462</v>
      </c>
    </row>
    <row r="339" spans="1:48">
      <c r="A339" t="s">
        <v>272</v>
      </c>
      <c r="B339" t="s">
        <v>667</v>
      </c>
      <c r="C339" t="s">
        <v>668</v>
      </c>
      <c r="D339" s="5" t="s">
        <v>1952</v>
      </c>
      <c r="E339" t="s">
        <v>4153</v>
      </c>
      <c r="F339" t="s">
        <v>3462</v>
      </c>
      <c r="G339">
        <v>99</v>
      </c>
      <c r="H339" t="s">
        <v>3689</v>
      </c>
      <c r="I339" s="29">
        <v>40467.833333333336</v>
      </c>
      <c r="S339" s="16">
        <v>400</v>
      </c>
      <c r="T339" t="s">
        <v>1954</v>
      </c>
      <c r="U339" t="s">
        <v>4437</v>
      </c>
      <c r="W339">
        <v>39</v>
      </c>
      <c r="X339">
        <v>65</v>
      </c>
      <c r="AU339">
        <v>65</v>
      </c>
      <c r="AV339" t="s">
        <v>3462</v>
      </c>
    </row>
    <row r="340" spans="1:48">
      <c r="A340" t="s">
        <v>272</v>
      </c>
      <c r="B340" t="s">
        <v>667</v>
      </c>
      <c r="C340" t="s">
        <v>3866</v>
      </c>
      <c r="D340" s="5"/>
      <c r="E340" t="s">
        <v>4154</v>
      </c>
      <c r="F340" t="s">
        <v>3462</v>
      </c>
      <c r="G340">
        <v>99</v>
      </c>
      <c r="H340" t="s">
        <v>3689</v>
      </c>
      <c r="I340" s="29">
        <v>40467.875</v>
      </c>
      <c r="S340" s="16">
        <v>400</v>
      </c>
      <c r="T340" t="s">
        <v>1959</v>
      </c>
      <c r="U340" t="s">
        <v>4438</v>
      </c>
      <c r="W340">
        <v>78.5</v>
      </c>
      <c r="X340">
        <v>197.5</v>
      </c>
      <c r="AU340">
        <v>197.5</v>
      </c>
      <c r="AV340" t="s">
        <v>3462</v>
      </c>
    </row>
    <row r="341" spans="1:48">
      <c r="A341" t="s">
        <v>272</v>
      </c>
      <c r="B341" t="s">
        <v>3688</v>
      </c>
      <c r="C341" t="s">
        <v>3867</v>
      </c>
      <c r="D341" s="5" t="s">
        <v>1963</v>
      </c>
      <c r="E341" t="s">
        <v>4155</v>
      </c>
      <c r="F341" t="s">
        <v>3780</v>
      </c>
      <c r="G341">
        <v>99</v>
      </c>
      <c r="H341" t="s">
        <v>3689</v>
      </c>
      <c r="I341" s="13">
        <v>40467.833333333336</v>
      </c>
      <c r="S341" s="16">
        <v>400</v>
      </c>
      <c r="T341" t="s">
        <v>1965</v>
      </c>
      <c r="U341" t="s">
        <v>4439</v>
      </c>
      <c r="W341">
        <v>34</v>
      </c>
      <c r="X341">
        <v>98.5</v>
      </c>
      <c r="AU341">
        <v>98.5</v>
      </c>
      <c r="AV341" t="s">
        <v>3780</v>
      </c>
    </row>
    <row r="342" spans="1:48">
      <c r="A342" t="s">
        <v>220</v>
      </c>
      <c r="B342" t="s">
        <v>221</v>
      </c>
      <c r="C342" t="s">
        <v>230</v>
      </c>
      <c r="D342" s="5"/>
      <c r="E342" t="s">
        <v>4156</v>
      </c>
      <c r="F342" t="s">
        <v>3754</v>
      </c>
      <c r="G342">
        <v>99</v>
      </c>
      <c r="H342" t="s">
        <v>237</v>
      </c>
      <c r="I342" s="13">
        <v>40440.833333333336</v>
      </c>
      <c r="S342" s="16">
        <v>200</v>
      </c>
      <c r="T342" t="s">
        <v>233</v>
      </c>
      <c r="U342" t="s">
        <v>234</v>
      </c>
      <c r="W342">
        <v>63</v>
      </c>
      <c r="X342">
        <v>460.5</v>
      </c>
      <c r="AU342">
        <v>460.5</v>
      </c>
      <c r="AV342" t="s">
        <v>3754</v>
      </c>
    </row>
    <row r="343" spans="1:48">
      <c r="A343" t="s">
        <v>265</v>
      </c>
      <c r="B343" t="s">
        <v>3679</v>
      </c>
      <c r="C343" t="s">
        <v>3868</v>
      </c>
      <c r="D343" s="5"/>
      <c r="E343" t="s">
        <v>4157</v>
      </c>
      <c r="F343" t="s">
        <v>3462</v>
      </c>
      <c r="G343">
        <v>99</v>
      </c>
      <c r="H343" t="s">
        <v>237</v>
      </c>
      <c r="I343" s="29">
        <v>40440.916666666664</v>
      </c>
      <c r="S343" s="16" t="s">
        <v>1668</v>
      </c>
      <c r="T343" t="s">
        <v>1527</v>
      </c>
      <c r="U343" t="s">
        <v>4424</v>
      </c>
      <c r="W343">
        <v>52.5</v>
      </c>
      <c r="X343">
        <v>415</v>
      </c>
      <c r="AU343">
        <v>415</v>
      </c>
      <c r="AV343" t="s">
        <v>3462</v>
      </c>
    </row>
    <row r="344" spans="1:48">
      <c r="A344" t="s">
        <v>265</v>
      </c>
      <c r="B344" t="s">
        <v>3679</v>
      </c>
      <c r="C344" t="s">
        <v>3843</v>
      </c>
      <c r="D344" s="5" t="s">
        <v>1984</v>
      </c>
      <c r="E344" t="s">
        <v>4158</v>
      </c>
      <c r="F344" t="s">
        <v>3780</v>
      </c>
      <c r="G344">
        <v>99</v>
      </c>
      <c r="H344" t="s">
        <v>237</v>
      </c>
      <c r="I344" s="29">
        <v>40440.958333333336</v>
      </c>
      <c r="S344" s="16">
        <v>450</v>
      </c>
      <c r="T344" t="s">
        <v>1527</v>
      </c>
      <c r="U344" t="s">
        <v>4424</v>
      </c>
      <c r="W344">
        <v>46.5</v>
      </c>
      <c r="X344">
        <v>507</v>
      </c>
      <c r="AU344">
        <v>507</v>
      </c>
      <c r="AV344" t="s">
        <v>3780</v>
      </c>
    </row>
    <row r="345" spans="1:48">
      <c r="A345" t="s">
        <v>265</v>
      </c>
      <c r="B345" t="s">
        <v>3679</v>
      </c>
      <c r="C345" t="s">
        <v>3851</v>
      </c>
      <c r="D345" s="5"/>
      <c r="E345" t="s">
        <v>4159</v>
      </c>
      <c r="F345" t="s">
        <v>3782</v>
      </c>
      <c r="G345">
        <v>99</v>
      </c>
      <c r="H345" t="s">
        <v>237</v>
      </c>
      <c r="I345" s="29">
        <v>40440.958333333336</v>
      </c>
      <c r="S345" s="16">
        <v>450</v>
      </c>
      <c r="T345" t="s">
        <v>1527</v>
      </c>
      <c r="U345" t="s">
        <v>4424</v>
      </c>
      <c r="W345">
        <v>46.5</v>
      </c>
      <c r="X345">
        <v>507</v>
      </c>
      <c r="AU345">
        <v>507</v>
      </c>
      <c r="AV345" t="s">
        <v>3782</v>
      </c>
    </row>
    <row r="346" spans="1:48">
      <c r="A346" t="s">
        <v>3643</v>
      </c>
      <c r="B346" t="s">
        <v>3690</v>
      </c>
      <c r="C346" t="s">
        <v>3869</v>
      </c>
      <c r="D346" s="5"/>
      <c r="E346" t="s">
        <v>4160</v>
      </c>
      <c r="F346" t="s">
        <v>3757</v>
      </c>
      <c r="G346">
        <v>99</v>
      </c>
      <c r="H346" t="s">
        <v>3691</v>
      </c>
      <c r="I346" s="29">
        <v>40293.606249999997</v>
      </c>
      <c r="S346" s="16" t="s">
        <v>857</v>
      </c>
      <c r="T346" t="s">
        <v>2001</v>
      </c>
      <c r="U346" t="s">
        <v>4383</v>
      </c>
      <c r="W346">
        <v>0</v>
      </c>
      <c r="X346">
        <v>17.5</v>
      </c>
      <c r="AU346">
        <v>17.5</v>
      </c>
      <c r="AV346" t="s">
        <v>3757</v>
      </c>
    </row>
    <row r="347" spans="1:48">
      <c r="A347" t="s">
        <v>44</v>
      </c>
      <c r="B347" t="s">
        <v>308</v>
      </c>
      <c r="C347" t="s">
        <v>312</v>
      </c>
      <c r="D347" s="5"/>
      <c r="E347" t="s">
        <v>4161</v>
      </c>
      <c r="F347" t="s">
        <v>3752</v>
      </c>
      <c r="G347">
        <v>99</v>
      </c>
      <c r="H347" t="s">
        <v>254</v>
      </c>
      <c r="I347" s="13">
        <v>40472.597222222219</v>
      </c>
      <c r="S347" s="16">
        <v>600</v>
      </c>
      <c r="T347" t="s">
        <v>2007</v>
      </c>
      <c r="U347" t="s">
        <v>4440</v>
      </c>
      <c r="W347">
        <v>86</v>
      </c>
      <c r="X347">
        <v>623.5</v>
      </c>
      <c r="AU347">
        <v>623.5</v>
      </c>
      <c r="AV347" t="s">
        <v>3752</v>
      </c>
    </row>
    <row r="348" spans="1:48">
      <c r="A348" t="s">
        <v>44</v>
      </c>
      <c r="B348" t="s">
        <v>3677</v>
      </c>
      <c r="C348" t="s">
        <v>3870</v>
      </c>
      <c r="D348" s="5"/>
      <c r="E348" t="s">
        <v>4162</v>
      </c>
      <c r="F348" t="s">
        <v>3462</v>
      </c>
      <c r="G348">
        <v>99</v>
      </c>
      <c r="H348" t="s">
        <v>254</v>
      </c>
      <c r="I348" s="29">
        <v>40472.5</v>
      </c>
      <c r="S348" s="16">
        <v>600</v>
      </c>
      <c r="T348" t="s">
        <v>1488</v>
      </c>
      <c r="U348" t="s">
        <v>4423</v>
      </c>
      <c r="W348">
        <v>22</v>
      </c>
      <c r="X348">
        <v>347</v>
      </c>
      <c r="AU348">
        <v>347</v>
      </c>
      <c r="AV348" t="s">
        <v>3462</v>
      </c>
    </row>
    <row r="349" spans="1:48">
      <c r="A349" t="s">
        <v>44</v>
      </c>
      <c r="B349" t="s">
        <v>292</v>
      </c>
      <c r="C349" t="s">
        <v>298</v>
      </c>
      <c r="D349" s="5"/>
      <c r="E349" t="s">
        <v>4163</v>
      </c>
      <c r="F349" t="s">
        <v>3462</v>
      </c>
      <c r="G349">
        <v>99</v>
      </c>
      <c r="H349" t="s">
        <v>254</v>
      </c>
      <c r="I349" s="29">
        <v>40472.5</v>
      </c>
      <c r="S349" s="16">
        <v>550</v>
      </c>
      <c r="T349" t="s">
        <v>301</v>
      </c>
      <c r="U349" t="s">
        <v>302</v>
      </c>
      <c r="W349">
        <v>34</v>
      </c>
      <c r="X349">
        <v>581</v>
      </c>
      <c r="AU349">
        <v>581</v>
      </c>
      <c r="AV349" t="s">
        <v>3462</v>
      </c>
    </row>
    <row r="350" spans="1:48">
      <c r="A350" t="s">
        <v>44</v>
      </c>
      <c r="B350" t="s">
        <v>3692</v>
      </c>
      <c r="C350" t="s">
        <v>3871</v>
      </c>
      <c r="D350" s="5" t="s">
        <v>2019</v>
      </c>
      <c r="E350" t="s">
        <v>4164</v>
      </c>
      <c r="F350" t="s">
        <v>3462</v>
      </c>
      <c r="G350">
        <v>99</v>
      </c>
      <c r="H350" t="s">
        <v>254</v>
      </c>
      <c r="I350" s="29">
        <v>40472.5</v>
      </c>
      <c r="S350" s="16">
        <v>600</v>
      </c>
      <c r="T350" t="s">
        <v>2007</v>
      </c>
      <c r="U350" t="s">
        <v>4440</v>
      </c>
      <c r="W350">
        <v>45.5</v>
      </c>
      <c r="X350">
        <v>438</v>
      </c>
      <c r="AU350">
        <v>438</v>
      </c>
      <c r="AV350" t="s">
        <v>3462</v>
      </c>
    </row>
    <row r="351" spans="1:48">
      <c r="A351" t="s">
        <v>44</v>
      </c>
      <c r="B351" t="s">
        <v>3692</v>
      </c>
      <c r="C351" t="s">
        <v>3872</v>
      </c>
      <c r="D351" s="5" t="s">
        <v>2023</v>
      </c>
      <c r="E351" t="s">
        <v>4165</v>
      </c>
      <c r="F351" t="s">
        <v>3462</v>
      </c>
      <c r="G351">
        <v>99</v>
      </c>
      <c r="H351" t="s">
        <v>254</v>
      </c>
      <c r="I351" s="29">
        <v>40472.541666666664</v>
      </c>
      <c r="S351" s="16">
        <v>600</v>
      </c>
      <c r="T351" t="s">
        <v>2007</v>
      </c>
      <c r="U351" t="s">
        <v>4440</v>
      </c>
      <c r="W351">
        <v>75.5</v>
      </c>
      <c r="X351">
        <v>513.5</v>
      </c>
      <c r="AU351">
        <v>513.5</v>
      </c>
      <c r="AV351" t="s">
        <v>3462</v>
      </c>
    </row>
    <row r="352" spans="1:48">
      <c r="A352" t="s">
        <v>44</v>
      </c>
      <c r="B352" t="s">
        <v>308</v>
      </c>
      <c r="C352" t="s">
        <v>3873</v>
      </c>
      <c r="D352" s="5"/>
      <c r="E352" t="s">
        <v>4166</v>
      </c>
      <c r="F352" t="s">
        <v>3462</v>
      </c>
      <c r="G352">
        <v>99</v>
      </c>
      <c r="H352" t="s">
        <v>254</v>
      </c>
      <c r="I352" s="29">
        <v>40472.5</v>
      </c>
      <c r="S352" s="16">
        <v>600</v>
      </c>
      <c r="T352" t="s">
        <v>2007</v>
      </c>
      <c r="U352" t="s">
        <v>4440</v>
      </c>
      <c r="W352">
        <v>45.5</v>
      </c>
      <c r="X352">
        <v>438</v>
      </c>
      <c r="AU352">
        <v>438</v>
      </c>
      <c r="AV352" t="s">
        <v>3462</v>
      </c>
    </row>
    <row r="353" spans="1:48">
      <c r="A353" t="s">
        <v>44</v>
      </c>
      <c r="B353" t="s">
        <v>308</v>
      </c>
      <c r="C353" t="s">
        <v>3874</v>
      </c>
      <c r="D353" s="5"/>
      <c r="E353" t="s">
        <v>4167</v>
      </c>
      <c r="F353" t="s">
        <v>3462</v>
      </c>
      <c r="G353">
        <v>99</v>
      </c>
      <c r="H353" t="s">
        <v>254</v>
      </c>
      <c r="I353" s="29">
        <v>40472.5</v>
      </c>
      <c r="S353" s="16">
        <v>600</v>
      </c>
      <c r="T353" t="s">
        <v>2007</v>
      </c>
      <c r="U353" t="s">
        <v>4440</v>
      </c>
      <c r="W353">
        <v>45.5</v>
      </c>
      <c r="X353">
        <v>438</v>
      </c>
      <c r="AU353">
        <v>438</v>
      </c>
      <c r="AV353" t="s">
        <v>3462</v>
      </c>
    </row>
    <row r="354" spans="1:48">
      <c r="A354" t="s">
        <v>44</v>
      </c>
      <c r="B354" t="s">
        <v>308</v>
      </c>
      <c r="C354" t="s">
        <v>3875</v>
      </c>
      <c r="D354" s="5"/>
      <c r="E354" t="s">
        <v>4168</v>
      </c>
      <c r="F354" t="s">
        <v>3462</v>
      </c>
      <c r="G354">
        <v>99</v>
      </c>
      <c r="H354" t="s">
        <v>254</v>
      </c>
      <c r="I354" s="29">
        <v>40472.416666666664</v>
      </c>
      <c r="S354" s="16">
        <v>600</v>
      </c>
      <c r="T354" t="s">
        <v>2036</v>
      </c>
      <c r="U354" t="s">
        <v>4440</v>
      </c>
      <c r="W354">
        <v>13</v>
      </c>
      <c r="X354">
        <v>338</v>
      </c>
      <c r="AU354">
        <v>338</v>
      </c>
      <c r="AV354" t="s">
        <v>3462</v>
      </c>
    </row>
    <row r="355" spans="1:48">
      <c r="A355" t="s">
        <v>44</v>
      </c>
      <c r="B355" t="s">
        <v>308</v>
      </c>
      <c r="C355" t="s">
        <v>3630</v>
      </c>
      <c r="D355" s="5"/>
      <c r="E355" t="s">
        <v>4169</v>
      </c>
      <c r="F355" t="s">
        <v>3462</v>
      </c>
      <c r="G355">
        <v>99</v>
      </c>
      <c r="H355" t="s">
        <v>254</v>
      </c>
      <c r="I355" s="29">
        <v>40472.458333333336</v>
      </c>
      <c r="S355" s="16">
        <v>600</v>
      </c>
      <c r="T355" t="s">
        <v>2007</v>
      </c>
      <c r="U355" t="s">
        <v>4440</v>
      </c>
      <c r="W355">
        <v>54.5</v>
      </c>
      <c r="X355">
        <v>392.5</v>
      </c>
      <c r="AU355">
        <v>392.5</v>
      </c>
      <c r="AV355" t="s">
        <v>3462</v>
      </c>
    </row>
    <row r="356" spans="1:48">
      <c r="A356" t="s">
        <v>44</v>
      </c>
      <c r="B356" t="s">
        <v>308</v>
      </c>
      <c r="C356" t="s">
        <v>3876</v>
      </c>
      <c r="D356" s="5"/>
      <c r="E356" t="s">
        <v>4170</v>
      </c>
      <c r="F356" t="s">
        <v>3462</v>
      </c>
      <c r="G356">
        <v>99</v>
      </c>
      <c r="H356" t="s">
        <v>254</v>
      </c>
      <c r="I356" s="29">
        <v>40472.5</v>
      </c>
      <c r="S356" s="16">
        <v>600</v>
      </c>
      <c r="T356" t="s">
        <v>2007</v>
      </c>
      <c r="U356" t="s">
        <v>4440</v>
      </c>
      <c r="W356">
        <v>45.5</v>
      </c>
      <c r="X356">
        <v>438</v>
      </c>
      <c r="AU356">
        <v>438</v>
      </c>
      <c r="AV356" t="s">
        <v>3462</v>
      </c>
    </row>
    <row r="357" spans="1:48">
      <c r="A357" t="s">
        <v>44</v>
      </c>
      <c r="B357" t="s">
        <v>308</v>
      </c>
      <c r="C357" t="s">
        <v>3873</v>
      </c>
      <c r="D357" s="5"/>
      <c r="E357" t="s">
        <v>4171</v>
      </c>
      <c r="F357" t="s">
        <v>3760</v>
      </c>
      <c r="G357">
        <v>99</v>
      </c>
      <c r="H357" t="s">
        <v>254</v>
      </c>
      <c r="I357" s="29">
        <v>40472.5</v>
      </c>
      <c r="S357" s="16">
        <v>600</v>
      </c>
      <c r="T357" t="s">
        <v>2007</v>
      </c>
      <c r="U357" t="s">
        <v>4440</v>
      </c>
      <c r="W357">
        <v>45.5</v>
      </c>
      <c r="X357">
        <v>438</v>
      </c>
      <c r="AU357">
        <v>438</v>
      </c>
      <c r="AV357" t="s">
        <v>3760</v>
      </c>
    </row>
    <row r="358" spans="1:48">
      <c r="A358" t="s">
        <v>44</v>
      </c>
      <c r="B358" t="s">
        <v>3692</v>
      </c>
      <c r="C358" t="s">
        <v>3871</v>
      </c>
      <c r="D358" s="5"/>
      <c r="E358" t="s">
        <v>4172</v>
      </c>
      <c r="F358" t="s">
        <v>3585</v>
      </c>
      <c r="G358">
        <v>99</v>
      </c>
      <c r="H358" t="s">
        <v>254</v>
      </c>
      <c r="I358" s="29">
        <v>40472.666666666664</v>
      </c>
      <c r="S358" s="16">
        <v>600</v>
      </c>
      <c r="T358" t="s">
        <v>2007</v>
      </c>
      <c r="U358" t="s">
        <v>4440</v>
      </c>
      <c r="W358">
        <v>34</v>
      </c>
      <c r="X358">
        <v>704</v>
      </c>
      <c r="AU358">
        <v>704</v>
      </c>
      <c r="AV358" t="s">
        <v>3585</v>
      </c>
    </row>
    <row r="359" spans="1:48">
      <c r="A359" t="s">
        <v>44</v>
      </c>
      <c r="B359" t="s">
        <v>3692</v>
      </c>
      <c r="C359" t="s">
        <v>3871</v>
      </c>
      <c r="D359" s="5"/>
      <c r="E359" t="s">
        <v>4173</v>
      </c>
      <c r="F359" t="s">
        <v>3585</v>
      </c>
      <c r="G359">
        <v>99</v>
      </c>
      <c r="H359" t="s">
        <v>254</v>
      </c>
      <c r="I359" s="29">
        <v>40472.5</v>
      </c>
      <c r="S359" s="16">
        <v>600</v>
      </c>
      <c r="T359" t="s">
        <v>2007</v>
      </c>
      <c r="U359" t="s">
        <v>4440</v>
      </c>
      <c r="W359">
        <v>45.5</v>
      </c>
      <c r="X359">
        <v>438</v>
      </c>
      <c r="AU359">
        <v>438</v>
      </c>
      <c r="AV359" t="s">
        <v>3585</v>
      </c>
    </row>
    <row r="360" spans="1:48">
      <c r="A360" t="s">
        <v>44</v>
      </c>
      <c r="B360" t="s">
        <v>308</v>
      </c>
      <c r="C360" t="s">
        <v>3630</v>
      </c>
      <c r="D360" s="5"/>
      <c r="E360" t="s">
        <v>4174</v>
      </c>
      <c r="F360" t="s">
        <v>3585</v>
      </c>
      <c r="G360">
        <v>99</v>
      </c>
      <c r="H360" t="s">
        <v>254</v>
      </c>
      <c r="I360" s="29">
        <v>40472.5</v>
      </c>
      <c r="S360" s="16">
        <v>600</v>
      </c>
      <c r="T360" t="s">
        <v>2007</v>
      </c>
      <c r="U360" t="s">
        <v>4440</v>
      </c>
      <c r="W360">
        <v>45.5</v>
      </c>
      <c r="X360">
        <v>438</v>
      </c>
      <c r="AU360">
        <v>438</v>
      </c>
      <c r="AV360" t="s">
        <v>3585</v>
      </c>
    </row>
    <row r="361" spans="1:48">
      <c r="A361" t="s">
        <v>44</v>
      </c>
      <c r="B361" t="s">
        <v>308</v>
      </c>
      <c r="C361" t="s">
        <v>3630</v>
      </c>
      <c r="D361" s="5"/>
      <c r="E361" t="s">
        <v>4175</v>
      </c>
      <c r="F361" t="s">
        <v>3585</v>
      </c>
      <c r="G361">
        <v>99</v>
      </c>
      <c r="H361" t="s">
        <v>254</v>
      </c>
      <c r="I361" s="29">
        <v>40472.5</v>
      </c>
      <c r="S361" s="16">
        <v>600</v>
      </c>
      <c r="T361" t="s">
        <v>2007</v>
      </c>
      <c r="U361" t="s">
        <v>4440</v>
      </c>
      <c r="W361">
        <v>45.5</v>
      </c>
      <c r="X361">
        <v>438</v>
      </c>
      <c r="AU361">
        <v>438</v>
      </c>
      <c r="AV361" t="s">
        <v>3585</v>
      </c>
    </row>
    <row r="362" spans="1:48">
      <c r="A362" t="s">
        <v>44</v>
      </c>
      <c r="B362" t="s">
        <v>308</v>
      </c>
      <c r="C362" t="s">
        <v>3630</v>
      </c>
      <c r="D362" s="5"/>
      <c r="E362" t="s">
        <v>4176</v>
      </c>
      <c r="F362" t="s">
        <v>3585</v>
      </c>
      <c r="G362">
        <v>99</v>
      </c>
      <c r="H362" t="s">
        <v>254</v>
      </c>
      <c r="I362" s="29">
        <v>40472.5</v>
      </c>
      <c r="S362" s="16">
        <v>600</v>
      </c>
      <c r="T362" t="s">
        <v>2007</v>
      </c>
      <c r="U362" t="s">
        <v>4440</v>
      </c>
      <c r="W362">
        <v>45.5</v>
      </c>
      <c r="X362">
        <v>438</v>
      </c>
      <c r="AU362">
        <v>438</v>
      </c>
      <c r="AV362" t="s">
        <v>3585</v>
      </c>
    </row>
    <row r="363" spans="1:48">
      <c r="A363" t="s">
        <v>44</v>
      </c>
      <c r="B363" t="s">
        <v>308</v>
      </c>
      <c r="C363" t="s">
        <v>3877</v>
      </c>
      <c r="D363" s="5"/>
      <c r="E363" t="s">
        <v>4177</v>
      </c>
      <c r="F363" t="s">
        <v>3585</v>
      </c>
      <c r="G363">
        <v>99</v>
      </c>
      <c r="H363" t="s">
        <v>254</v>
      </c>
      <c r="I363" s="29">
        <v>40472.583333333336</v>
      </c>
      <c r="S363" s="16">
        <v>600</v>
      </c>
      <c r="T363" t="s">
        <v>2007</v>
      </c>
      <c r="U363" t="s">
        <v>4440</v>
      </c>
      <c r="W363">
        <v>80</v>
      </c>
      <c r="X363">
        <v>593.5</v>
      </c>
      <c r="AU363">
        <v>593.5</v>
      </c>
      <c r="AV363" t="s">
        <v>3585</v>
      </c>
    </row>
    <row r="364" spans="1:48">
      <c r="A364" t="s">
        <v>44</v>
      </c>
      <c r="B364" t="s">
        <v>308</v>
      </c>
      <c r="C364" t="s">
        <v>3877</v>
      </c>
      <c r="D364" s="5"/>
      <c r="E364" t="s">
        <v>4178</v>
      </c>
      <c r="F364" t="s">
        <v>3585</v>
      </c>
      <c r="G364">
        <v>99</v>
      </c>
      <c r="H364" t="s">
        <v>254</v>
      </c>
      <c r="I364" s="29">
        <v>40472.583333333336</v>
      </c>
      <c r="S364" s="16">
        <v>600</v>
      </c>
      <c r="T364" t="s">
        <v>2007</v>
      </c>
      <c r="U364" t="s">
        <v>4440</v>
      </c>
      <c r="W364">
        <v>80</v>
      </c>
      <c r="X364">
        <v>593.5</v>
      </c>
      <c r="AU364">
        <v>593.5</v>
      </c>
      <c r="AV364" t="s">
        <v>3585</v>
      </c>
    </row>
    <row r="365" spans="1:48">
      <c r="A365" t="s">
        <v>44</v>
      </c>
      <c r="B365" t="s">
        <v>308</v>
      </c>
      <c r="C365" t="s">
        <v>3878</v>
      </c>
      <c r="D365" s="5"/>
      <c r="E365" t="s">
        <v>4179</v>
      </c>
      <c r="F365" t="s">
        <v>3585</v>
      </c>
      <c r="G365">
        <v>99</v>
      </c>
      <c r="H365" t="s">
        <v>254</v>
      </c>
      <c r="I365" s="29">
        <v>40472.5</v>
      </c>
      <c r="S365" s="16">
        <v>600</v>
      </c>
      <c r="T365" t="s">
        <v>2007</v>
      </c>
      <c r="U365" t="s">
        <v>4440</v>
      </c>
      <c r="W365">
        <v>45.5</v>
      </c>
      <c r="X365">
        <v>438</v>
      </c>
      <c r="AU365">
        <v>438</v>
      </c>
      <c r="AV365" t="s">
        <v>3585</v>
      </c>
    </row>
    <row r="366" spans="1:48">
      <c r="A366" t="s">
        <v>44</v>
      </c>
      <c r="B366" t="s">
        <v>308</v>
      </c>
      <c r="C366" t="s">
        <v>312</v>
      </c>
      <c r="D366" s="5"/>
      <c r="E366" t="s">
        <v>4180</v>
      </c>
      <c r="F366" t="s">
        <v>3585</v>
      </c>
      <c r="G366">
        <v>99</v>
      </c>
      <c r="H366" t="s">
        <v>254</v>
      </c>
      <c r="I366" s="29">
        <v>40472.583333333336</v>
      </c>
      <c r="S366" s="16">
        <v>600</v>
      </c>
      <c r="T366" t="s">
        <v>2007</v>
      </c>
      <c r="U366" t="s">
        <v>4440</v>
      </c>
      <c r="W366">
        <v>87</v>
      </c>
      <c r="X366">
        <v>636</v>
      </c>
      <c r="AU366">
        <v>636</v>
      </c>
      <c r="AV366" t="s">
        <v>3585</v>
      </c>
    </row>
    <row r="367" spans="1:48">
      <c r="A367" t="s">
        <v>44</v>
      </c>
      <c r="B367" t="s">
        <v>308</v>
      </c>
      <c r="C367" t="s">
        <v>3876</v>
      </c>
      <c r="D367" s="5"/>
      <c r="E367" t="s">
        <v>4181</v>
      </c>
      <c r="F367" t="s">
        <v>3585</v>
      </c>
      <c r="G367">
        <v>99</v>
      </c>
      <c r="H367" t="s">
        <v>254</v>
      </c>
      <c r="I367" s="29">
        <v>40472.5</v>
      </c>
      <c r="S367" s="16">
        <v>600</v>
      </c>
      <c r="T367" t="s">
        <v>2007</v>
      </c>
      <c r="U367" t="s">
        <v>4440</v>
      </c>
      <c r="W367">
        <v>87</v>
      </c>
      <c r="X367">
        <v>636</v>
      </c>
      <c r="AU367">
        <v>636</v>
      </c>
      <c r="AV367" t="s">
        <v>3585</v>
      </c>
    </row>
    <row r="368" spans="1:48">
      <c r="A368" t="s">
        <v>44</v>
      </c>
      <c r="B368" t="s">
        <v>308</v>
      </c>
      <c r="C368" t="s">
        <v>3879</v>
      </c>
      <c r="D368" s="5"/>
      <c r="E368" t="s">
        <v>4182</v>
      </c>
      <c r="F368" t="s">
        <v>3585</v>
      </c>
      <c r="G368">
        <v>99</v>
      </c>
      <c r="H368" t="s">
        <v>254</v>
      </c>
      <c r="I368" s="29">
        <v>40472.583333333336</v>
      </c>
      <c r="S368" s="16">
        <v>600</v>
      </c>
      <c r="T368" t="s">
        <v>2007</v>
      </c>
      <c r="U368" t="s">
        <v>4440</v>
      </c>
      <c r="W368">
        <v>45.5</v>
      </c>
      <c r="X368">
        <v>438</v>
      </c>
      <c r="AU368">
        <v>438</v>
      </c>
      <c r="AV368" t="s">
        <v>3585</v>
      </c>
    </row>
    <row r="369" spans="1:48">
      <c r="A369" t="s">
        <v>44</v>
      </c>
      <c r="B369" t="s">
        <v>308</v>
      </c>
      <c r="C369" t="s">
        <v>3878</v>
      </c>
      <c r="D369" s="5"/>
      <c r="E369" t="s">
        <v>4183</v>
      </c>
      <c r="F369" t="s">
        <v>3753</v>
      </c>
      <c r="G369">
        <v>99</v>
      </c>
      <c r="H369" t="s">
        <v>254</v>
      </c>
      <c r="I369" s="13">
        <v>40472.5</v>
      </c>
      <c r="S369" s="16">
        <v>600</v>
      </c>
      <c r="T369" t="s">
        <v>2007</v>
      </c>
      <c r="U369" t="s">
        <v>4440</v>
      </c>
      <c r="W369">
        <v>45.5</v>
      </c>
      <c r="X369">
        <v>438</v>
      </c>
      <c r="AU369">
        <v>438</v>
      </c>
      <c r="AV369" t="s">
        <v>3753</v>
      </c>
    </row>
    <row r="370" spans="1:48">
      <c r="A370" t="s">
        <v>44</v>
      </c>
      <c r="B370" t="s">
        <v>308</v>
      </c>
      <c r="C370" t="s">
        <v>312</v>
      </c>
      <c r="D370" s="5" t="s">
        <v>2076</v>
      </c>
      <c r="E370" t="s">
        <v>4184</v>
      </c>
      <c r="F370" t="s">
        <v>3753</v>
      </c>
      <c r="G370">
        <v>99</v>
      </c>
      <c r="H370" t="s">
        <v>254</v>
      </c>
      <c r="I370" s="13">
        <v>40472.604166666664</v>
      </c>
      <c r="S370" s="16">
        <v>600</v>
      </c>
      <c r="T370" t="s">
        <v>2007</v>
      </c>
      <c r="U370" t="s">
        <v>4440</v>
      </c>
      <c r="W370">
        <v>87</v>
      </c>
      <c r="X370">
        <v>636</v>
      </c>
      <c r="AU370">
        <v>636</v>
      </c>
      <c r="AV370" t="s">
        <v>3753</v>
      </c>
    </row>
    <row r="371" spans="1:48">
      <c r="A371" t="s">
        <v>44</v>
      </c>
      <c r="B371" t="s">
        <v>308</v>
      </c>
      <c r="C371" t="s">
        <v>3630</v>
      </c>
      <c r="D371" s="5"/>
      <c r="E371" t="s">
        <v>4185</v>
      </c>
      <c r="F371" t="s">
        <v>3762</v>
      </c>
      <c r="G371">
        <v>99</v>
      </c>
      <c r="H371" t="s">
        <v>254</v>
      </c>
      <c r="I371" s="29">
        <v>40472.416666666664</v>
      </c>
      <c r="S371" s="16">
        <v>600</v>
      </c>
      <c r="T371" t="s">
        <v>2007</v>
      </c>
      <c r="U371" t="s">
        <v>4440</v>
      </c>
      <c r="W371">
        <v>13</v>
      </c>
      <c r="X371">
        <v>338</v>
      </c>
      <c r="AU371">
        <v>338</v>
      </c>
      <c r="AV371" t="s">
        <v>3762</v>
      </c>
    </row>
    <row r="372" spans="1:48">
      <c r="A372" t="s">
        <v>44</v>
      </c>
      <c r="B372" t="s">
        <v>308</v>
      </c>
      <c r="C372" t="s">
        <v>3630</v>
      </c>
      <c r="D372" s="5"/>
      <c r="E372" t="s">
        <v>4186</v>
      </c>
      <c r="F372" t="s">
        <v>3762</v>
      </c>
      <c r="G372">
        <v>99</v>
      </c>
      <c r="H372" t="s">
        <v>254</v>
      </c>
      <c r="I372" s="29">
        <v>40472.583333333336</v>
      </c>
      <c r="S372" s="16">
        <v>600</v>
      </c>
      <c r="T372" t="s">
        <v>2007</v>
      </c>
      <c r="U372" t="s">
        <v>4440</v>
      </c>
      <c r="W372">
        <v>80</v>
      </c>
      <c r="X372">
        <v>593.5</v>
      </c>
      <c r="AU372">
        <v>593.5</v>
      </c>
      <c r="AV372" t="s">
        <v>3762</v>
      </c>
    </row>
    <row r="373" spans="1:48">
      <c r="A373" t="s">
        <v>44</v>
      </c>
      <c r="B373" t="s">
        <v>308</v>
      </c>
      <c r="C373" t="s">
        <v>3630</v>
      </c>
      <c r="D373" s="5"/>
      <c r="E373" t="s">
        <v>4187</v>
      </c>
      <c r="F373" t="s">
        <v>3762</v>
      </c>
      <c r="G373">
        <v>99</v>
      </c>
      <c r="H373" t="s">
        <v>254</v>
      </c>
      <c r="I373" s="29">
        <v>40472.458333333336</v>
      </c>
      <c r="S373" s="16">
        <v>600</v>
      </c>
      <c r="T373" t="s">
        <v>2007</v>
      </c>
      <c r="U373" t="s">
        <v>4440</v>
      </c>
      <c r="W373">
        <v>54.5</v>
      </c>
      <c r="X373">
        <v>392.5</v>
      </c>
      <c r="AU373">
        <v>392.5</v>
      </c>
      <c r="AV373" t="s">
        <v>3762</v>
      </c>
    </row>
    <row r="374" spans="1:48">
      <c r="A374" t="s">
        <v>44</v>
      </c>
      <c r="B374" t="s">
        <v>308</v>
      </c>
      <c r="C374" t="s">
        <v>3875</v>
      </c>
      <c r="D374" s="5" t="s">
        <v>2085</v>
      </c>
      <c r="E374" t="s">
        <v>4188</v>
      </c>
      <c r="F374" t="s">
        <v>3762</v>
      </c>
      <c r="G374">
        <v>99</v>
      </c>
      <c r="H374" t="s">
        <v>254</v>
      </c>
      <c r="I374" s="29">
        <v>40472.583333333336</v>
      </c>
      <c r="S374" s="16">
        <v>600</v>
      </c>
      <c r="T374" t="s">
        <v>2007</v>
      </c>
      <c r="U374" t="s">
        <v>4440</v>
      </c>
      <c r="W374">
        <v>80</v>
      </c>
      <c r="X374">
        <v>593.5</v>
      </c>
      <c r="AU374">
        <v>593.5</v>
      </c>
      <c r="AV374" t="s">
        <v>3762</v>
      </c>
    </row>
    <row r="375" spans="1:48">
      <c r="A375" t="s">
        <v>44</v>
      </c>
      <c r="B375" t="s">
        <v>308</v>
      </c>
      <c r="C375" t="s">
        <v>3875</v>
      </c>
      <c r="D375" s="5"/>
      <c r="E375" t="s">
        <v>4189</v>
      </c>
      <c r="F375" t="s">
        <v>3762</v>
      </c>
      <c r="G375">
        <v>99</v>
      </c>
      <c r="H375" t="s">
        <v>254</v>
      </c>
      <c r="I375" s="29">
        <v>40472.416666666664</v>
      </c>
      <c r="S375" s="16">
        <v>600</v>
      </c>
      <c r="T375" t="s">
        <v>2007</v>
      </c>
      <c r="U375" t="s">
        <v>4440</v>
      </c>
      <c r="W375">
        <v>13</v>
      </c>
      <c r="X375">
        <v>338</v>
      </c>
      <c r="AU375">
        <v>338</v>
      </c>
      <c r="AV375" t="s">
        <v>3762</v>
      </c>
    </row>
    <row r="376" spans="1:48">
      <c r="A376" t="s">
        <v>44</v>
      </c>
      <c r="B376" t="s">
        <v>308</v>
      </c>
      <c r="C376" t="s">
        <v>3877</v>
      </c>
      <c r="D376" s="5"/>
      <c r="E376" t="s">
        <v>4190</v>
      </c>
      <c r="F376" t="s">
        <v>3762</v>
      </c>
      <c r="G376">
        <v>99</v>
      </c>
      <c r="H376" t="s">
        <v>254</v>
      </c>
      <c r="I376" s="29">
        <v>40472.5</v>
      </c>
      <c r="S376" s="16">
        <v>600</v>
      </c>
      <c r="T376" t="s">
        <v>2007</v>
      </c>
      <c r="U376" t="s">
        <v>4440</v>
      </c>
      <c r="W376">
        <v>45.5</v>
      </c>
      <c r="X376">
        <v>438</v>
      </c>
      <c r="AU376">
        <v>438</v>
      </c>
      <c r="AV376" t="s">
        <v>3762</v>
      </c>
    </row>
    <row r="377" spans="1:48">
      <c r="A377" t="s">
        <v>44</v>
      </c>
      <c r="B377" t="s">
        <v>308</v>
      </c>
      <c r="C377" t="s">
        <v>3878</v>
      </c>
      <c r="D377" s="5"/>
      <c r="E377" t="s">
        <v>4191</v>
      </c>
      <c r="F377" t="s">
        <v>3762</v>
      </c>
      <c r="G377">
        <v>99</v>
      </c>
      <c r="H377" t="s">
        <v>254</v>
      </c>
      <c r="I377" s="29">
        <v>40472.5</v>
      </c>
      <c r="S377" s="16">
        <v>600</v>
      </c>
      <c r="T377" t="s">
        <v>2007</v>
      </c>
      <c r="U377" t="s">
        <v>4440</v>
      </c>
      <c r="W377">
        <v>45.5</v>
      </c>
      <c r="X377">
        <v>438</v>
      </c>
      <c r="AU377">
        <v>438</v>
      </c>
      <c r="AV377" t="s">
        <v>3762</v>
      </c>
    </row>
    <row r="378" spans="1:48">
      <c r="A378" t="s">
        <v>44</v>
      </c>
      <c r="B378" t="s">
        <v>308</v>
      </c>
      <c r="C378" t="s">
        <v>3874</v>
      </c>
      <c r="D378" s="5"/>
      <c r="E378" t="s">
        <v>4192</v>
      </c>
      <c r="F378" t="s">
        <v>3762</v>
      </c>
      <c r="G378">
        <v>99</v>
      </c>
      <c r="H378" t="s">
        <v>254</v>
      </c>
      <c r="I378" s="29">
        <v>40472.5</v>
      </c>
      <c r="S378" s="16">
        <v>600</v>
      </c>
      <c r="T378" t="s">
        <v>2007</v>
      </c>
      <c r="U378" t="s">
        <v>4440</v>
      </c>
      <c r="W378">
        <v>45.5</v>
      </c>
      <c r="X378">
        <v>438</v>
      </c>
      <c r="AU378">
        <v>438</v>
      </c>
      <c r="AV378" t="s">
        <v>3762</v>
      </c>
    </row>
    <row r="379" spans="1:48">
      <c r="A379" t="s">
        <v>44</v>
      </c>
      <c r="B379" t="s">
        <v>308</v>
      </c>
      <c r="C379" t="s">
        <v>3878</v>
      </c>
      <c r="D379" s="5" t="s">
        <v>2098</v>
      </c>
      <c r="E379" t="s">
        <v>4193</v>
      </c>
      <c r="F379" t="s">
        <v>3782</v>
      </c>
      <c r="G379">
        <v>99</v>
      </c>
      <c r="H379" t="s">
        <v>254</v>
      </c>
      <c r="I379" s="13">
        <v>40472.458333333336</v>
      </c>
      <c r="S379" s="16">
        <v>600</v>
      </c>
      <c r="T379" t="s">
        <v>2007</v>
      </c>
      <c r="U379" t="s">
        <v>4440</v>
      </c>
      <c r="W379">
        <v>54.5</v>
      </c>
      <c r="X379">
        <v>392.5</v>
      </c>
      <c r="AU379">
        <v>392.5</v>
      </c>
      <c r="AV379" t="s">
        <v>3782</v>
      </c>
    </row>
    <row r="380" spans="1:48">
      <c r="A380" t="s">
        <v>617</v>
      </c>
      <c r="B380" t="s">
        <v>618</v>
      </c>
      <c r="C380" t="s">
        <v>619</v>
      </c>
      <c r="D380" s="5" t="s">
        <v>1757</v>
      </c>
      <c r="E380" t="s">
        <v>4194</v>
      </c>
      <c r="F380" t="s">
        <v>3765</v>
      </c>
      <c r="G380">
        <v>99</v>
      </c>
      <c r="H380" t="s">
        <v>3693</v>
      </c>
      <c r="I380" s="29">
        <v>40422.5</v>
      </c>
      <c r="S380" s="16">
        <v>450</v>
      </c>
      <c r="T380" t="s">
        <v>621</v>
      </c>
      <c r="U380" t="s">
        <v>622</v>
      </c>
      <c r="W380">
        <v>7</v>
      </c>
      <c r="X380">
        <v>175</v>
      </c>
      <c r="AU380">
        <v>175</v>
      </c>
      <c r="AV380" t="s">
        <v>3765</v>
      </c>
    </row>
    <row r="381" spans="1:48">
      <c r="A381" t="s">
        <v>44</v>
      </c>
      <c r="B381" t="s">
        <v>292</v>
      </c>
      <c r="C381" t="s">
        <v>3880</v>
      </c>
      <c r="D381" s="5" t="s">
        <v>2106</v>
      </c>
      <c r="E381" t="s">
        <v>4195</v>
      </c>
      <c r="F381" t="s">
        <v>3462</v>
      </c>
      <c r="G381">
        <v>99</v>
      </c>
      <c r="H381" t="s">
        <v>254</v>
      </c>
      <c r="I381" s="29">
        <v>40472.708333333336</v>
      </c>
      <c r="S381" s="16">
        <v>550</v>
      </c>
      <c r="T381" t="s">
        <v>305</v>
      </c>
      <c r="U381" t="s">
        <v>306</v>
      </c>
      <c r="W381">
        <v>9</v>
      </c>
      <c r="X381">
        <v>318</v>
      </c>
      <c r="AU381">
        <v>318</v>
      </c>
      <c r="AV381" t="s">
        <v>3462</v>
      </c>
    </row>
    <row r="382" spans="1:48">
      <c r="A382" t="s">
        <v>76</v>
      </c>
      <c r="B382" t="s">
        <v>118</v>
      </c>
      <c r="C382" t="s">
        <v>142</v>
      </c>
      <c r="D382" s="5" t="s">
        <v>1575</v>
      </c>
      <c r="E382" t="s">
        <v>4196</v>
      </c>
      <c r="F382" t="s">
        <v>3398</v>
      </c>
      <c r="G382">
        <v>100</v>
      </c>
      <c r="H382" t="s">
        <v>171</v>
      </c>
      <c r="I382" s="13">
        <v>40742.958333333336</v>
      </c>
      <c r="S382" s="16">
        <v>250</v>
      </c>
      <c r="T382" t="s">
        <v>147</v>
      </c>
      <c r="U382" t="s">
        <v>142</v>
      </c>
      <c r="W382">
        <v>14</v>
      </c>
      <c r="X382">
        <v>97.6</v>
      </c>
      <c r="AU382">
        <v>97.6</v>
      </c>
      <c r="AV382" t="s">
        <v>3398</v>
      </c>
    </row>
    <row r="383" spans="1:48">
      <c r="A383" t="s">
        <v>183</v>
      </c>
      <c r="B383" t="s">
        <v>208</v>
      </c>
      <c r="C383" t="s">
        <v>209</v>
      </c>
      <c r="D383" s="5"/>
      <c r="E383" t="s">
        <v>4197</v>
      </c>
      <c r="F383" t="s">
        <v>3753</v>
      </c>
      <c r="G383">
        <v>100</v>
      </c>
      <c r="H383" t="s">
        <v>171</v>
      </c>
      <c r="I383" s="13">
        <v>40743.166666666664</v>
      </c>
      <c r="S383" s="16">
        <v>300</v>
      </c>
      <c r="T383" t="s">
        <v>211</v>
      </c>
      <c r="U383" t="s">
        <v>212</v>
      </c>
      <c r="W383">
        <v>42</v>
      </c>
      <c r="X383">
        <v>156.19999999999999</v>
      </c>
      <c r="AU383">
        <v>156.19999999999999</v>
      </c>
      <c r="AV383" t="s">
        <v>3753</v>
      </c>
    </row>
    <row r="384" spans="1:48">
      <c r="A384" t="s">
        <v>44</v>
      </c>
      <c r="B384" t="s">
        <v>292</v>
      </c>
      <c r="C384" t="s">
        <v>3880</v>
      </c>
      <c r="D384" s="5" t="s">
        <v>2106</v>
      </c>
      <c r="E384" t="s">
        <v>4198</v>
      </c>
      <c r="F384" t="s">
        <v>3462</v>
      </c>
      <c r="G384">
        <v>100</v>
      </c>
      <c r="H384" t="s">
        <v>300</v>
      </c>
      <c r="I384" s="29">
        <v>40818.833333333336</v>
      </c>
      <c r="S384" s="16">
        <v>550</v>
      </c>
      <c r="T384" t="s">
        <v>2135</v>
      </c>
      <c r="U384" t="s">
        <v>306</v>
      </c>
      <c r="W384">
        <v>30</v>
      </c>
      <c r="X384">
        <v>904.5</v>
      </c>
      <c r="AU384">
        <v>904.5</v>
      </c>
      <c r="AV384" t="s">
        <v>3462</v>
      </c>
    </row>
    <row r="385" spans="1:48">
      <c r="A385" t="s">
        <v>44</v>
      </c>
      <c r="B385" t="s">
        <v>45</v>
      </c>
      <c r="C385" t="s">
        <v>3881</v>
      </c>
      <c r="D385" s="5"/>
      <c r="E385" t="s">
        <v>4199</v>
      </c>
      <c r="F385" t="s">
        <v>3462</v>
      </c>
      <c r="G385">
        <v>100</v>
      </c>
      <c r="H385" t="s">
        <v>300</v>
      </c>
      <c r="I385" s="29">
        <v>40819.083333333336</v>
      </c>
      <c r="S385" s="16">
        <v>500</v>
      </c>
      <c r="T385" t="s">
        <v>2135</v>
      </c>
      <c r="U385" t="s">
        <v>4441</v>
      </c>
      <c r="W385">
        <v>29.5</v>
      </c>
      <c r="X385">
        <v>451.6</v>
      </c>
      <c r="AU385">
        <v>451.6</v>
      </c>
      <c r="AV385" t="s">
        <v>3462</v>
      </c>
    </row>
    <row r="386" spans="1:48">
      <c r="A386" t="s">
        <v>44</v>
      </c>
      <c r="B386" t="s">
        <v>45</v>
      </c>
      <c r="C386" t="s">
        <v>3881</v>
      </c>
      <c r="D386" s="5" t="s">
        <v>2142</v>
      </c>
      <c r="E386" t="s">
        <v>4200</v>
      </c>
      <c r="F386" t="s">
        <v>3462</v>
      </c>
      <c r="G386">
        <v>100</v>
      </c>
      <c r="H386" t="s">
        <v>300</v>
      </c>
      <c r="I386" s="29">
        <v>40819.083333333336</v>
      </c>
      <c r="S386" s="16">
        <v>500</v>
      </c>
      <c r="T386" t="s">
        <v>2135</v>
      </c>
      <c r="U386" t="s">
        <v>4441</v>
      </c>
      <c r="W386">
        <v>29.5</v>
      </c>
      <c r="X386">
        <v>451.6</v>
      </c>
      <c r="AU386">
        <v>451.6</v>
      </c>
      <c r="AV386" t="s">
        <v>3462</v>
      </c>
    </row>
    <row r="387" spans="1:48">
      <c r="A387" t="s">
        <v>44</v>
      </c>
      <c r="B387" t="s">
        <v>292</v>
      </c>
      <c r="C387" t="s">
        <v>3880</v>
      </c>
      <c r="D387" s="5"/>
      <c r="E387" t="s">
        <v>4201</v>
      </c>
      <c r="F387" t="s">
        <v>3585</v>
      </c>
      <c r="G387">
        <v>100</v>
      </c>
      <c r="H387" t="s">
        <v>300</v>
      </c>
      <c r="I387" s="29">
        <v>40818.166666666664</v>
      </c>
      <c r="S387" s="16">
        <v>550</v>
      </c>
      <c r="T387" t="s">
        <v>305</v>
      </c>
      <c r="U387" t="s">
        <v>306</v>
      </c>
      <c r="W387">
        <v>11</v>
      </c>
      <c r="X387">
        <v>415.1</v>
      </c>
      <c r="AU387">
        <v>415.1</v>
      </c>
      <c r="AV387" t="s">
        <v>3585</v>
      </c>
    </row>
    <row r="388" spans="1:48">
      <c r="A388" t="s">
        <v>44</v>
      </c>
      <c r="B388" t="s">
        <v>3694</v>
      </c>
      <c r="C388" t="s">
        <v>3882</v>
      </c>
      <c r="D388" s="5"/>
      <c r="E388" t="s">
        <v>4202</v>
      </c>
      <c r="F388" t="s">
        <v>3585</v>
      </c>
      <c r="G388">
        <v>100</v>
      </c>
      <c r="H388" t="s">
        <v>300</v>
      </c>
      <c r="I388" s="29">
        <v>40818.166666666664</v>
      </c>
      <c r="S388" s="16">
        <v>550</v>
      </c>
      <c r="T388" t="s">
        <v>2151</v>
      </c>
      <c r="U388" t="s">
        <v>4442</v>
      </c>
      <c r="W388">
        <v>0.5</v>
      </c>
      <c r="X388">
        <v>172.7</v>
      </c>
      <c r="AU388">
        <v>172.7</v>
      </c>
      <c r="AV388" t="s">
        <v>3585</v>
      </c>
    </row>
    <row r="389" spans="1:48">
      <c r="A389" t="s">
        <v>44</v>
      </c>
      <c r="B389" t="s">
        <v>308</v>
      </c>
      <c r="C389" t="s">
        <v>314</v>
      </c>
      <c r="D389" s="5"/>
      <c r="E389" t="s">
        <v>4203</v>
      </c>
      <c r="F389" t="s">
        <v>3766</v>
      </c>
      <c r="G389">
        <v>100</v>
      </c>
      <c r="H389" t="s">
        <v>300</v>
      </c>
      <c r="I389" s="13">
        <v>40825.208333333336</v>
      </c>
      <c r="S389" s="16" t="s">
        <v>1668</v>
      </c>
      <c r="T389" t="s">
        <v>2135</v>
      </c>
      <c r="U389" t="s">
        <v>4441</v>
      </c>
      <c r="W389">
        <v>30.5</v>
      </c>
      <c r="X389">
        <v>418.9</v>
      </c>
      <c r="AU389">
        <v>418.9</v>
      </c>
      <c r="AV389" t="s">
        <v>3766</v>
      </c>
    </row>
    <row r="390" spans="1:48">
      <c r="A390" t="s">
        <v>44</v>
      </c>
      <c r="B390" t="s">
        <v>292</v>
      </c>
      <c r="C390" t="s">
        <v>3883</v>
      </c>
      <c r="D390" s="5"/>
      <c r="E390" t="s">
        <v>4204</v>
      </c>
      <c r="F390" t="s">
        <v>3753</v>
      </c>
      <c r="G390">
        <v>100</v>
      </c>
      <c r="H390" t="s">
        <v>300</v>
      </c>
      <c r="I390" s="13">
        <v>40818.416666666664</v>
      </c>
      <c r="S390" s="16">
        <v>550</v>
      </c>
      <c r="T390" t="s">
        <v>305</v>
      </c>
      <c r="U390" t="s">
        <v>306</v>
      </c>
      <c r="W390">
        <v>28.5</v>
      </c>
      <c r="X390">
        <v>513.4</v>
      </c>
      <c r="AU390">
        <v>513.4</v>
      </c>
      <c r="AV390" t="s">
        <v>3753</v>
      </c>
    </row>
    <row r="391" spans="1:48">
      <c r="A391" t="s">
        <v>44</v>
      </c>
      <c r="B391" t="s">
        <v>292</v>
      </c>
      <c r="C391" t="s">
        <v>3883</v>
      </c>
      <c r="D391" s="5"/>
      <c r="E391" t="s">
        <v>4205</v>
      </c>
      <c r="F391" t="s">
        <v>3753</v>
      </c>
      <c r="G391">
        <v>100</v>
      </c>
      <c r="H391" t="s">
        <v>300</v>
      </c>
      <c r="I391" s="13">
        <v>40818.416666666664</v>
      </c>
      <c r="S391" s="16">
        <v>550</v>
      </c>
      <c r="T391" t="s">
        <v>305</v>
      </c>
      <c r="U391" t="s">
        <v>306</v>
      </c>
      <c r="W391">
        <v>28.5</v>
      </c>
      <c r="X391">
        <v>513.4</v>
      </c>
      <c r="AU391">
        <v>513.4</v>
      </c>
      <c r="AV391" t="s">
        <v>3753</v>
      </c>
    </row>
    <row r="392" spans="1:48">
      <c r="A392" t="s">
        <v>44</v>
      </c>
      <c r="B392" t="s">
        <v>292</v>
      </c>
      <c r="C392" t="s">
        <v>303</v>
      </c>
      <c r="D392" s="5"/>
      <c r="E392" t="s">
        <v>4206</v>
      </c>
      <c r="F392" t="s">
        <v>3762</v>
      </c>
      <c r="G392">
        <v>100</v>
      </c>
      <c r="H392" t="s">
        <v>300</v>
      </c>
      <c r="I392" s="29">
        <v>40819.208333333336</v>
      </c>
      <c r="S392" s="16">
        <v>550</v>
      </c>
      <c r="T392" t="s">
        <v>2135</v>
      </c>
      <c r="U392" t="s">
        <v>306</v>
      </c>
      <c r="W392">
        <v>65.5</v>
      </c>
      <c r="X392">
        <v>1471</v>
      </c>
      <c r="AU392">
        <v>1471</v>
      </c>
      <c r="AV392" t="s">
        <v>3762</v>
      </c>
    </row>
    <row r="393" spans="1:48">
      <c r="A393" t="s">
        <v>265</v>
      </c>
      <c r="B393" t="s">
        <v>3680</v>
      </c>
      <c r="C393" t="s">
        <v>3884</v>
      </c>
      <c r="D393" s="5"/>
      <c r="E393" t="s">
        <v>4207</v>
      </c>
      <c r="F393" t="s">
        <v>3757</v>
      </c>
      <c r="G393">
        <v>100</v>
      </c>
      <c r="H393" t="s">
        <v>614</v>
      </c>
      <c r="I393" s="29">
        <v>40784.166666666664</v>
      </c>
      <c r="S393" s="16" t="s">
        <v>1668</v>
      </c>
      <c r="T393" t="s">
        <v>615</v>
      </c>
      <c r="U393" t="s">
        <v>616</v>
      </c>
      <c r="W393">
        <v>108.5</v>
      </c>
      <c r="X393">
        <v>450</v>
      </c>
      <c r="AU393">
        <v>450</v>
      </c>
      <c r="AV393" t="s">
        <v>3757</v>
      </c>
    </row>
    <row r="394" spans="1:48">
      <c r="A394" t="s">
        <v>265</v>
      </c>
      <c r="B394" t="s">
        <v>3680</v>
      </c>
      <c r="C394" t="s">
        <v>3884</v>
      </c>
      <c r="D394" s="5"/>
      <c r="E394" t="s">
        <v>4208</v>
      </c>
      <c r="F394" t="s">
        <v>3764</v>
      </c>
      <c r="G394">
        <v>100</v>
      </c>
      <c r="H394" t="s">
        <v>614</v>
      </c>
      <c r="I394" s="29">
        <v>40783.958333333336</v>
      </c>
      <c r="S394" s="16" t="s">
        <v>1668</v>
      </c>
      <c r="T394" t="s">
        <v>2183</v>
      </c>
      <c r="U394" t="s">
        <v>616</v>
      </c>
      <c r="W394">
        <v>4.5</v>
      </c>
      <c r="X394">
        <v>268.5</v>
      </c>
      <c r="AU394">
        <v>268.5</v>
      </c>
      <c r="AV394" t="s">
        <v>3764</v>
      </c>
    </row>
    <row r="395" spans="1:48">
      <c r="A395" t="s">
        <v>265</v>
      </c>
      <c r="B395" t="s">
        <v>3679</v>
      </c>
      <c r="C395" t="s">
        <v>3851</v>
      </c>
      <c r="D395" s="5"/>
      <c r="E395" t="s">
        <v>4209</v>
      </c>
      <c r="F395" t="s">
        <v>3462</v>
      </c>
      <c r="G395">
        <v>100</v>
      </c>
      <c r="H395" t="s">
        <v>614</v>
      </c>
      <c r="I395" s="29">
        <v>40784.25</v>
      </c>
      <c r="S395" s="16">
        <v>450</v>
      </c>
      <c r="T395" t="s">
        <v>1527</v>
      </c>
      <c r="U395" t="s">
        <v>4424</v>
      </c>
      <c r="W395">
        <v>71.5</v>
      </c>
      <c r="X395">
        <v>227.2</v>
      </c>
      <c r="AU395">
        <v>227.2</v>
      </c>
      <c r="AV395" t="s">
        <v>3462</v>
      </c>
    </row>
    <row r="396" spans="1:48">
      <c r="A396" t="s">
        <v>265</v>
      </c>
      <c r="B396" t="s">
        <v>3679</v>
      </c>
      <c r="C396" t="s">
        <v>3850</v>
      </c>
      <c r="D396" s="5" t="s">
        <v>2187</v>
      </c>
      <c r="E396" t="s">
        <v>4210</v>
      </c>
      <c r="F396" t="s">
        <v>3462</v>
      </c>
      <c r="G396">
        <v>100</v>
      </c>
      <c r="H396" t="s">
        <v>614</v>
      </c>
      <c r="I396" s="29">
        <v>40784.25</v>
      </c>
      <c r="S396" s="16">
        <v>450</v>
      </c>
      <c r="T396" t="s">
        <v>2189</v>
      </c>
      <c r="U396" t="s">
        <v>4424</v>
      </c>
      <c r="W396">
        <v>71.5</v>
      </c>
      <c r="X396">
        <v>227.2</v>
      </c>
      <c r="AU396">
        <v>227.2</v>
      </c>
      <c r="AV396" t="s">
        <v>3462</v>
      </c>
    </row>
    <row r="397" spans="1:48">
      <c r="A397" t="s">
        <v>265</v>
      </c>
      <c r="B397" t="s">
        <v>3680</v>
      </c>
      <c r="C397" t="s">
        <v>3885</v>
      </c>
      <c r="D397" s="5"/>
      <c r="E397" t="s">
        <v>4211</v>
      </c>
      <c r="F397" t="s">
        <v>3753</v>
      </c>
      <c r="G397">
        <v>100</v>
      </c>
      <c r="H397" t="s">
        <v>614</v>
      </c>
      <c r="I397" s="29">
        <v>40784.583333333336</v>
      </c>
      <c r="S397" s="16">
        <v>600</v>
      </c>
      <c r="T397" t="s">
        <v>4443</v>
      </c>
      <c r="U397" t="s">
        <v>4444</v>
      </c>
      <c r="W397">
        <v>20.5</v>
      </c>
      <c r="X397">
        <v>576.5</v>
      </c>
      <c r="AU397">
        <v>576.5</v>
      </c>
      <c r="AV397" t="s">
        <v>3753</v>
      </c>
    </row>
    <row r="398" spans="1:48">
      <c r="A398" t="s">
        <v>265</v>
      </c>
      <c r="B398" t="s">
        <v>3695</v>
      </c>
      <c r="C398" t="s">
        <v>3886</v>
      </c>
      <c r="D398" s="5"/>
      <c r="E398" t="s">
        <v>4212</v>
      </c>
      <c r="F398" t="s">
        <v>3762</v>
      </c>
      <c r="G398">
        <v>100</v>
      </c>
      <c r="H398" t="s">
        <v>614</v>
      </c>
      <c r="I398" s="29">
        <v>40785.458333333336</v>
      </c>
      <c r="S398" s="16" t="s">
        <v>1668</v>
      </c>
      <c r="T398" t="s">
        <v>2200</v>
      </c>
      <c r="U398" t="s">
        <v>4445</v>
      </c>
      <c r="W398">
        <v>41</v>
      </c>
      <c r="X398">
        <v>628.5</v>
      </c>
      <c r="AU398">
        <v>628.5</v>
      </c>
      <c r="AV398" t="s">
        <v>3762</v>
      </c>
    </row>
    <row r="399" spans="1:48">
      <c r="A399" t="s">
        <v>220</v>
      </c>
      <c r="B399" t="s">
        <v>221</v>
      </c>
      <c r="C399" t="s">
        <v>248</v>
      </c>
      <c r="D399" s="5" t="s">
        <v>2213</v>
      </c>
      <c r="E399" t="s">
        <v>250</v>
      </c>
      <c r="F399" t="s">
        <v>3398</v>
      </c>
      <c r="G399">
        <v>101</v>
      </c>
      <c r="H399" t="s">
        <v>159</v>
      </c>
      <c r="I399" s="29">
        <v>41070.583333333336</v>
      </c>
      <c r="S399" s="16">
        <v>250</v>
      </c>
      <c r="T399" t="s">
        <v>225</v>
      </c>
      <c r="U399" t="s">
        <v>226</v>
      </c>
      <c r="W399">
        <v>13.6</v>
      </c>
      <c r="X399">
        <v>312.60000000000002</v>
      </c>
      <c r="AU399">
        <v>312.60000000000002</v>
      </c>
      <c r="AV399" t="s">
        <v>3398</v>
      </c>
    </row>
    <row r="400" spans="1:48">
      <c r="A400" t="s">
        <v>3588</v>
      </c>
      <c r="B400" t="s">
        <v>3589</v>
      </c>
      <c r="C400" t="s">
        <v>3887</v>
      </c>
      <c r="D400" s="5"/>
      <c r="E400" t="s">
        <v>4213</v>
      </c>
      <c r="F400" t="s">
        <v>3752</v>
      </c>
      <c r="G400">
        <v>101</v>
      </c>
      <c r="H400" t="s">
        <v>159</v>
      </c>
      <c r="I400" s="29">
        <v>41072.354166666664</v>
      </c>
      <c r="S400" s="16">
        <v>500</v>
      </c>
      <c r="T400" t="s">
        <v>2229</v>
      </c>
      <c r="U400" t="s">
        <v>4446</v>
      </c>
      <c r="W400">
        <v>52</v>
      </c>
      <c r="X400">
        <v>355.2</v>
      </c>
      <c r="AU400">
        <v>355.2</v>
      </c>
      <c r="AV400" t="s">
        <v>3752</v>
      </c>
    </row>
    <row r="401" spans="1:48">
      <c r="A401" t="s">
        <v>174</v>
      </c>
      <c r="B401" t="s">
        <v>175</v>
      </c>
      <c r="C401" t="s">
        <v>3857</v>
      </c>
      <c r="D401" s="5"/>
      <c r="E401" t="s">
        <v>4214</v>
      </c>
      <c r="F401" t="s">
        <v>3757</v>
      </c>
      <c r="G401">
        <v>101</v>
      </c>
      <c r="H401" t="s">
        <v>159</v>
      </c>
      <c r="I401" s="29">
        <v>41072.5</v>
      </c>
      <c r="S401" s="16">
        <v>350</v>
      </c>
      <c r="T401" t="s">
        <v>2235</v>
      </c>
      <c r="U401" t="s">
        <v>199</v>
      </c>
      <c r="W401">
        <v>20.5</v>
      </c>
      <c r="X401">
        <v>442.6</v>
      </c>
      <c r="AU401">
        <v>442.6</v>
      </c>
      <c r="AV401" t="s">
        <v>3757</v>
      </c>
    </row>
    <row r="402" spans="1:48">
      <c r="A402" t="s">
        <v>76</v>
      </c>
      <c r="B402" t="s">
        <v>3642</v>
      </c>
      <c r="C402" t="s">
        <v>3839</v>
      </c>
      <c r="D402" s="5"/>
      <c r="E402" t="s">
        <v>4215</v>
      </c>
      <c r="F402" t="s">
        <v>3757</v>
      </c>
      <c r="G402">
        <v>101</v>
      </c>
      <c r="H402" t="s">
        <v>159</v>
      </c>
      <c r="I402" s="29">
        <v>41071.5</v>
      </c>
      <c r="S402" s="16">
        <v>300</v>
      </c>
      <c r="T402" t="s">
        <v>1160</v>
      </c>
      <c r="U402" t="s">
        <v>4408</v>
      </c>
      <c r="W402">
        <v>1</v>
      </c>
      <c r="X402">
        <v>359.3</v>
      </c>
      <c r="AU402">
        <v>359.3</v>
      </c>
      <c r="AV402" t="s">
        <v>3757</v>
      </c>
    </row>
    <row r="403" spans="1:48">
      <c r="A403" t="s">
        <v>265</v>
      </c>
      <c r="B403" t="s">
        <v>3679</v>
      </c>
      <c r="C403" t="s">
        <v>3843</v>
      </c>
      <c r="D403" s="5"/>
      <c r="E403" t="s">
        <v>4216</v>
      </c>
      <c r="F403" t="s">
        <v>3462</v>
      </c>
      <c r="G403">
        <v>101</v>
      </c>
      <c r="H403" t="s">
        <v>159</v>
      </c>
      <c r="I403" s="29">
        <v>41072.416666666664</v>
      </c>
      <c r="S403" s="16">
        <v>350</v>
      </c>
      <c r="T403" t="s">
        <v>1527</v>
      </c>
      <c r="U403" t="s">
        <v>4424</v>
      </c>
      <c r="W403">
        <v>44</v>
      </c>
      <c r="X403">
        <v>633.1</v>
      </c>
      <c r="AU403">
        <v>633.1</v>
      </c>
      <c r="AV403" t="s">
        <v>3462</v>
      </c>
    </row>
    <row r="404" spans="1:48">
      <c r="A404" t="s">
        <v>265</v>
      </c>
      <c r="B404" t="s">
        <v>3679</v>
      </c>
      <c r="C404" t="s">
        <v>3851</v>
      </c>
      <c r="D404" s="5"/>
      <c r="E404" t="s">
        <v>4217</v>
      </c>
      <c r="F404" t="s">
        <v>3462</v>
      </c>
      <c r="G404">
        <v>101</v>
      </c>
      <c r="H404" t="s">
        <v>159</v>
      </c>
      <c r="I404" s="29">
        <v>41070.583333333336</v>
      </c>
      <c r="S404" s="16">
        <v>350</v>
      </c>
      <c r="T404" t="s">
        <v>1527</v>
      </c>
      <c r="U404" t="s">
        <v>4424</v>
      </c>
      <c r="W404">
        <v>67</v>
      </c>
      <c r="X404">
        <v>385.36</v>
      </c>
      <c r="AU404">
        <v>385.36</v>
      </c>
      <c r="AV404" t="s">
        <v>3462</v>
      </c>
    </row>
    <row r="405" spans="1:48">
      <c r="A405" t="s">
        <v>65</v>
      </c>
      <c r="B405" t="s">
        <v>66</v>
      </c>
      <c r="C405" t="s">
        <v>3888</v>
      </c>
      <c r="D405" s="5"/>
      <c r="E405" t="s">
        <v>4218</v>
      </c>
      <c r="F405" t="s">
        <v>3767</v>
      </c>
      <c r="G405">
        <v>101</v>
      </c>
      <c r="H405" t="s">
        <v>159</v>
      </c>
      <c r="I405" s="29">
        <v>41074.5</v>
      </c>
      <c r="S405" s="16">
        <v>300</v>
      </c>
      <c r="T405" t="s">
        <v>2247</v>
      </c>
      <c r="U405" t="s">
        <v>4447</v>
      </c>
      <c r="W405">
        <v>0.5</v>
      </c>
      <c r="X405">
        <v>601.01</v>
      </c>
      <c r="AU405">
        <v>601.01</v>
      </c>
      <c r="AV405" t="s">
        <v>3767</v>
      </c>
    </row>
    <row r="406" spans="1:48">
      <c r="A406" t="s">
        <v>65</v>
      </c>
      <c r="B406" t="s">
        <v>3658</v>
      </c>
      <c r="C406" t="s">
        <v>3811</v>
      </c>
      <c r="D406" s="5"/>
      <c r="E406" t="s">
        <v>4219</v>
      </c>
      <c r="F406" t="s">
        <v>3767</v>
      </c>
      <c r="G406">
        <v>101</v>
      </c>
      <c r="H406" t="s">
        <v>159</v>
      </c>
      <c r="I406" s="29">
        <v>41072.416666666664</v>
      </c>
      <c r="S406" s="16">
        <v>400</v>
      </c>
      <c r="T406" t="s">
        <v>2253</v>
      </c>
      <c r="U406" t="s">
        <v>4448</v>
      </c>
      <c r="W406">
        <v>24.5</v>
      </c>
      <c r="X406">
        <v>175.7</v>
      </c>
      <c r="AU406">
        <v>175.7</v>
      </c>
      <c r="AV406" t="s">
        <v>3767</v>
      </c>
    </row>
    <row r="407" spans="1:48">
      <c r="A407" t="s">
        <v>76</v>
      </c>
      <c r="B407" t="s">
        <v>77</v>
      </c>
      <c r="C407" t="s">
        <v>379</v>
      </c>
      <c r="D407" s="5"/>
      <c r="E407" t="s">
        <v>4220</v>
      </c>
      <c r="F407" t="s">
        <v>3767</v>
      </c>
      <c r="G407">
        <v>101</v>
      </c>
      <c r="H407" t="s">
        <v>159</v>
      </c>
      <c r="I407" s="29">
        <v>41070.708333333336</v>
      </c>
      <c r="S407" s="16">
        <v>250</v>
      </c>
      <c r="T407" t="s">
        <v>2257</v>
      </c>
      <c r="U407" t="s">
        <v>378</v>
      </c>
      <c r="W407">
        <v>42</v>
      </c>
      <c r="X407">
        <v>310.3</v>
      </c>
      <c r="AU407">
        <v>310.3</v>
      </c>
      <c r="AV407" t="s">
        <v>3767</v>
      </c>
    </row>
    <row r="408" spans="1:48">
      <c r="A408" t="s">
        <v>617</v>
      </c>
      <c r="B408" t="s">
        <v>618</v>
      </c>
      <c r="C408" t="s">
        <v>627</v>
      </c>
      <c r="D408" s="5"/>
      <c r="E408" t="s">
        <v>4221</v>
      </c>
      <c r="F408" t="s">
        <v>3585</v>
      </c>
      <c r="G408">
        <v>101</v>
      </c>
      <c r="H408" t="s">
        <v>159</v>
      </c>
      <c r="I408" s="29">
        <v>41074.583333333336</v>
      </c>
      <c r="S408" s="16">
        <v>450</v>
      </c>
      <c r="T408">
        <v>46754</v>
      </c>
      <c r="U408" t="s">
        <v>4449</v>
      </c>
      <c r="W408">
        <v>22</v>
      </c>
      <c r="X408">
        <v>399.5</v>
      </c>
      <c r="AU408">
        <v>399.5</v>
      </c>
      <c r="AV408" t="s">
        <v>3585</v>
      </c>
    </row>
    <row r="409" spans="1:48">
      <c r="A409" t="s">
        <v>76</v>
      </c>
      <c r="B409" t="s">
        <v>3642</v>
      </c>
      <c r="C409" t="s">
        <v>3792</v>
      </c>
      <c r="D409" s="5" t="s">
        <v>2263</v>
      </c>
      <c r="E409" t="s">
        <v>4222</v>
      </c>
      <c r="F409" t="s">
        <v>3585</v>
      </c>
      <c r="G409">
        <v>101</v>
      </c>
      <c r="H409" t="s">
        <v>159</v>
      </c>
      <c r="I409" s="29">
        <v>41072.458333333336</v>
      </c>
      <c r="S409" s="16">
        <v>300</v>
      </c>
      <c r="T409" t="s">
        <v>911</v>
      </c>
      <c r="U409" t="s">
        <v>4382</v>
      </c>
      <c r="W409">
        <v>69</v>
      </c>
      <c r="X409">
        <v>535.29999999999995</v>
      </c>
      <c r="AU409">
        <v>535.29999999999995</v>
      </c>
      <c r="AV409" t="s">
        <v>3585</v>
      </c>
    </row>
    <row r="410" spans="1:48">
      <c r="A410" t="s">
        <v>3588</v>
      </c>
      <c r="B410" t="s">
        <v>3696</v>
      </c>
      <c r="C410" t="s">
        <v>3889</v>
      </c>
      <c r="D410" s="5"/>
      <c r="E410" t="s">
        <v>4223</v>
      </c>
      <c r="F410" t="s">
        <v>3585</v>
      </c>
      <c r="G410">
        <v>101</v>
      </c>
      <c r="H410" t="s">
        <v>159</v>
      </c>
      <c r="I410" s="29">
        <v>41072.208333333336</v>
      </c>
      <c r="S410" s="16">
        <v>600</v>
      </c>
      <c r="T410" t="s">
        <v>2269</v>
      </c>
      <c r="U410" t="s">
        <v>4450</v>
      </c>
      <c r="W410">
        <v>26</v>
      </c>
      <c r="X410">
        <v>184</v>
      </c>
      <c r="AU410">
        <v>184</v>
      </c>
      <c r="AV410" t="s">
        <v>3585</v>
      </c>
    </row>
    <row r="411" spans="1:48">
      <c r="A411" t="s">
        <v>65</v>
      </c>
      <c r="B411" t="s">
        <v>3638</v>
      </c>
      <c r="C411" t="s">
        <v>3890</v>
      </c>
      <c r="D411" s="5"/>
      <c r="E411" t="s">
        <v>4224</v>
      </c>
      <c r="F411" t="s">
        <v>3585</v>
      </c>
      <c r="G411">
        <v>101</v>
      </c>
      <c r="H411" t="s">
        <v>159</v>
      </c>
      <c r="I411" s="29">
        <v>41072.125</v>
      </c>
      <c r="S411" s="16">
        <v>300</v>
      </c>
      <c r="T411" t="s">
        <v>1122</v>
      </c>
      <c r="U411" t="s">
        <v>4403</v>
      </c>
      <c r="W411">
        <v>43.5</v>
      </c>
      <c r="X411">
        <v>300.60000000000002</v>
      </c>
      <c r="AU411">
        <v>300.60000000000002</v>
      </c>
      <c r="AV411" t="s">
        <v>3585</v>
      </c>
    </row>
    <row r="412" spans="1:48">
      <c r="A412" t="s">
        <v>3588</v>
      </c>
      <c r="B412" t="s">
        <v>3697</v>
      </c>
      <c r="C412" t="s">
        <v>3891</v>
      </c>
      <c r="D412" s="5"/>
      <c r="E412" t="s">
        <v>4225</v>
      </c>
      <c r="F412" t="s">
        <v>3585</v>
      </c>
      <c r="G412">
        <v>101</v>
      </c>
      <c r="H412" t="s">
        <v>159</v>
      </c>
      <c r="I412" s="29">
        <v>41072</v>
      </c>
      <c r="S412" s="16" t="s">
        <v>1668</v>
      </c>
      <c r="T412" t="s">
        <v>2280</v>
      </c>
      <c r="U412" t="s">
        <v>4451</v>
      </c>
      <c r="W412">
        <v>43.5</v>
      </c>
      <c r="X412">
        <v>70.2</v>
      </c>
      <c r="AU412">
        <v>70.2</v>
      </c>
      <c r="AV412" t="s">
        <v>3585</v>
      </c>
    </row>
    <row r="413" spans="1:48">
      <c r="A413" t="s">
        <v>65</v>
      </c>
      <c r="B413" t="s">
        <v>66</v>
      </c>
      <c r="C413" t="s">
        <v>3892</v>
      </c>
      <c r="D413" s="5"/>
      <c r="E413" t="s">
        <v>4226</v>
      </c>
      <c r="F413" t="s">
        <v>3585</v>
      </c>
      <c r="G413">
        <v>101</v>
      </c>
      <c r="H413" t="s">
        <v>159</v>
      </c>
      <c r="I413" s="29">
        <v>41071.75</v>
      </c>
      <c r="S413" s="16">
        <v>300</v>
      </c>
      <c r="T413" t="s">
        <v>2285</v>
      </c>
      <c r="U413" t="s">
        <v>4452</v>
      </c>
      <c r="W413">
        <v>7.5</v>
      </c>
      <c r="X413">
        <v>317.5</v>
      </c>
      <c r="AU413">
        <v>317.5</v>
      </c>
      <c r="AV413" t="s">
        <v>3585</v>
      </c>
    </row>
    <row r="414" spans="1:48">
      <c r="A414" t="s">
        <v>76</v>
      </c>
      <c r="B414" t="s">
        <v>77</v>
      </c>
      <c r="C414" t="s">
        <v>3893</v>
      </c>
      <c r="D414" s="5"/>
      <c r="E414" t="s">
        <v>4227</v>
      </c>
      <c r="F414" t="s">
        <v>3585</v>
      </c>
      <c r="G414">
        <v>101</v>
      </c>
      <c r="H414" t="s">
        <v>159</v>
      </c>
      <c r="I414" s="29">
        <v>41070.916666666664</v>
      </c>
      <c r="S414" s="16" t="s">
        <v>1668</v>
      </c>
      <c r="T414" t="s">
        <v>2289</v>
      </c>
      <c r="U414" t="s">
        <v>97</v>
      </c>
      <c r="W414">
        <v>16.5</v>
      </c>
      <c r="X414">
        <v>259.39999999999998</v>
      </c>
      <c r="AU414">
        <v>259.39999999999998</v>
      </c>
      <c r="AV414" t="s">
        <v>3585</v>
      </c>
    </row>
    <row r="415" spans="1:48">
      <c r="A415" t="s">
        <v>65</v>
      </c>
      <c r="B415" t="s">
        <v>3666</v>
      </c>
      <c r="C415" t="s">
        <v>480</v>
      </c>
      <c r="D415" s="5"/>
      <c r="E415" t="s">
        <v>4228</v>
      </c>
      <c r="F415" t="s">
        <v>3585</v>
      </c>
      <c r="G415">
        <v>101</v>
      </c>
      <c r="H415" t="s">
        <v>159</v>
      </c>
      <c r="I415" s="29">
        <v>41070.708333333336</v>
      </c>
      <c r="S415" s="16">
        <v>350</v>
      </c>
      <c r="T415" t="s">
        <v>2293</v>
      </c>
      <c r="U415" t="s">
        <v>4453</v>
      </c>
      <c r="W415">
        <v>5</v>
      </c>
      <c r="X415">
        <v>299.10000000000002</v>
      </c>
      <c r="AU415">
        <v>299.10000000000002</v>
      </c>
      <c r="AV415" t="s">
        <v>3585</v>
      </c>
    </row>
    <row r="416" spans="1:48">
      <c r="A416" t="s">
        <v>318</v>
      </c>
      <c r="B416" t="s">
        <v>319</v>
      </c>
      <c r="C416" t="s">
        <v>3894</v>
      </c>
      <c r="D416" s="5"/>
      <c r="E416" t="s">
        <v>4229</v>
      </c>
      <c r="F416" t="s">
        <v>3398</v>
      </c>
      <c r="G416">
        <v>101</v>
      </c>
      <c r="H416" t="s">
        <v>49</v>
      </c>
      <c r="I416" s="29">
        <v>41123.333333333336</v>
      </c>
      <c r="S416" s="16">
        <v>550</v>
      </c>
      <c r="T416" t="s">
        <v>2310</v>
      </c>
      <c r="U416" t="s">
        <v>4454</v>
      </c>
      <c r="W416">
        <v>66</v>
      </c>
      <c r="X416">
        <v>595.6</v>
      </c>
      <c r="AU416">
        <v>595.6</v>
      </c>
      <c r="AV416" t="s">
        <v>3398</v>
      </c>
    </row>
    <row r="417" spans="1:48">
      <c r="A417" t="s">
        <v>44</v>
      </c>
      <c r="B417" t="s">
        <v>292</v>
      </c>
      <c r="C417" t="s">
        <v>3895</v>
      </c>
      <c r="D417" s="5" t="s">
        <v>2328</v>
      </c>
      <c r="E417" t="s">
        <v>4230</v>
      </c>
      <c r="F417" t="s">
        <v>3462</v>
      </c>
      <c r="G417">
        <v>101</v>
      </c>
      <c r="H417" t="s">
        <v>49</v>
      </c>
      <c r="I417" s="29">
        <v>41124</v>
      </c>
      <c r="S417" s="16">
        <v>550</v>
      </c>
      <c r="T417" t="s">
        <v>2330</v>
      </c>
      <c r="U417" t="s">
        <v>4455</v>
      </c>
      <c r="W417">
        <v>39.5</v>
      </c>
      <c r="X417">
        <v>602.6</v>
      </c>
      <c r="AU417">
        <v>602.6</v>
      </c>
      <c r="AV417" t="s">
        <v>3462</v>
      </c>
    </row>
    <row r="418" spans="1:48">
      <c r="A418" t="s">
        <v>44</v>
      </c>
      <c r="B418" t="s">
        <v>292</v>
      </c>
      <c r="C418" t="s">
        <v>3896</v>
      </c>
      <c r="D418" s="5" t="s">
        <v>2334</v>
      </c>
      <c r="E418" t="s">
        <v>4231</v>
      </c>
      <c r="F418" t="s">
        <v>3462</v>
      </c>
      <c r="G418">
        <v>101</v>
      </c>
      <c r="H418" t="s">
        <v>49</v>
      </c>
      <c r="I418" s="29">
        <v>41123.125</v>
      </c>
      <c r="S418" s="16">
        <v>550</v>
      </c>
      <c r="T418" t="s">
        <v>2330</v>
      </c>
      <c r="U418" t="s">
        <v>4455</v>
      </c>
      <c r="W418">
        <v>39.5</v>
      </c>
      <c r="X418">
        <v>602.6</v>
      </c>
      <c r="AU418">
        <v>602.6</v>
      </c>
      <c r="AV418" t="s">
        <v>3462</v>
      </c>
    </row>
    <row r="419" spans="1:48">
      <c r="A419" t="s">
        <v>3634</v>
      </c>
      <c r="B419" t="s">
        <v>3698</v>
      </c>
      <c r="C419" t="s">
        <v>3866</v>
      </c>
      <c r="D419" s="5"/>
      <c r="E419" t="s">
        <v>4232</v>
      </c>
      <c r="F419" t="s">
        <v>3585</v>
      </c>
      <c r="G419">
        <v>101</v>
      </c>
      <c r="H419" t="s">
        <v>49</v>
      </c>
      <c r="I419" s="29">
        <v>41124</v>
      </c>
      <c r="S419" s="16">
        <v>500</v>
      </c>
      <c r="T419" t="s">
        <v>2344</v>
      </c>
      <c r="U419" t="s">
        <v>4456</v>
      </c>
      <c r="W419">
        <v>9</v>
      </c>
      <c r="X419">
        <v>797.9</v>
      </c>
      <c r="AU419">
        <v>797.9</v>
      </c>
      <c r="AV419" t="s">
        <v>3585</v>
      </c>
    </row>
    <row r="420" spans="1:48">
      <c r="A420" t="s">
        <v>44</v>
      </c>
      <c r="B420" t="s">
        <v>292</v>
      </c>
      <c r="C420" t="s">
        <v>3895</v>
      </c>
      <c r="D420" s="5"/>
      <c r="E420" t="s">
        <v>4233</v>
      </c>
      <c r="F420" t="s">
        <v>3585</v>
      </c>
      <c r="G420">
        <v>101</v>
      </c>
      <c r="H420" t="s">
        <v>49</v>
      </c>
      <c r="I420" s="29">
        <v>41123.5</v>
      </c>
      <c r="S420" s="16">
        <v>550</v>
      </c>
      <c r="T420" t="s">
        <v>2330</v>
      </c>
      <c r="U420" t="s">
        <v>4455</v>
      </c>
      <c r="W420">
        <v>22.5</v>
      </c>
      <c r="X420">
        <v>733.02</v>
      </c>
      <c r="AU420">
        <v>733.02</v>
      </c>
      <c r="AV420" t="s">
        <v>3585</v>
      </c>
    </row>
    <row r="421" spans="1:48">
      <c r="A421" t="s">
        <v>3634</v>
      </c>
      <c r="B421" t="s">
        <v>3671</v>
      </c>
      <c r="C421" t="s">
        <v>3897</v>
      </c>
      <c r="D421" s="5"/>
      <c r="E421" t="s">
        <v>4234</v>
      </c>
      <c r="F421" t="s">
        <v>3585</v>
      </c>
      <c r="G421">
        <v>101</v>
      </c>
      <c r="H421" t="s">
        <v>49</v>
      </c>
      <c r="I421" s="29">
        <v>41123.666666666664</v>
      </c>
      <c r="S421" s="16">
        <v>500</v>
      </c>
      <c r="T421" t="s">
        <v>2351</v>
      </c>
      <c r="U421" t="s">
        <v>4416</v>
      </c>
      <c r="W421">
        <v>53.5</v>
      </c>
      <c r="X421">
        <v>570.70000000000005</v>
      </c>
      <c r="AU421">
        <v>570.70000000000005</v>
      </c>
      <c r="AV421" t="s">
        <v>3585</v>
      </c>
    </row>
    <row r="422" spans="1:48">
      <c r="A422" t="s">
        <v>183</v>
      </c>
      <c r="B422" t="s">
        <v>504</v>
      </c>
      <c r="C422" t="s">
        <v>3898</v>
      </c>
      <c r="D422" s="5"/>
      <c r="E422" t="s">
        <v>4235</v>
      </c>
      <c r="F422" t="s">
        <v>3585</v>
      </c>
      <c r="G422">
        <v>102</v>
      </c>
      <c r="H422" t="s">
        <v>3691</v>
      </c>
      <c r="I422" s="29">
        <v>41490.708333333336</v>
      </c>
      <c r="S422" s="16">
        <v>350</v>
      </c>
      <c r="T422" t="s">
        <v>4457</v>
      </c>
      <c r="U422" t="s">
        <v>4458</v>
      </c>
      <c r="W422">
        <v>22.5</v>
      </c>
      <c r="X422">
        <v>67.5</v>
      </c>
      <c r="AU422">
        <v>67.5</v>
      </c>
      <c r="AV422" t="s">
        <v>3585</v>
      </c>
    </row>
    <row r="423" spans="1:48">
      <c r="A423" t="s">
        <v>3634</v>
      </c>
      <c r="B423" t="s">
        <v>3671</v>
      </c>
      <c r="C423" t="s">
        <v>3899</v>
      </c>
      <c r="D423" s="5"/>
      <c r="E423" t="s">
        <v>4236</v>
      </c>
      <c r="F423" t="s">
        <v>3585</v>
      </c>
      <c r="G423">
        <v>102</v>
      </c>
      <c r="H423" t="s">
        <v>172</v>
      </c>
      <c r="I423" s="29">
        <v>41459.041666666664</v>
      </c>
      <c r="S423" s="16">
        <v>500</v>
      </c>
      <c r="T423" t="s">
        <v>2362</v>
      </c>
      <c r="U423" t="s">
        <v>4459</v>
      </c>
      <c r="W423">
        <v>0</v>
      </c>
      <c r="X423">
        <v>517.4</v>
      </c>
      <c r="AU423">
        <v>517.4</v>
      </c>
      <c r="AV423" t="s">
        <v>3585</v>
      </c>
    </row>
    <row r="424" spans="1:48">
      <c r="A424" t="s">
        <v>65</v>
      </c>
      <c r="B424" t="s">
        <v>66</v>
      </c>
      <c r="C424" t="s">
        <v>3888</v>
      </c>
      <c r="D424" s="5"/>
      <c r="E424" t="s">
        <v>4237</v>
      </c>
      <c r="F424" t="s">
        <v>3398</v>
      </c>
      <c r="G424">
        <v>102</v>
      </c>
      <c r="H424" t="s">
        <v>172</v>
      </c>
      <c r="I424" s="29">
        <v>41468.291666666664</v>
      </c>
      <c r="S424" s="16">
        <v>300</v>
      </c>
      <c r="T424" t="s">
        <v>2369</v>
      </c>
      <c r="U424" t="s">
        <v>4237</v>
      </c>
      <c r="W424">
        <v>64</v>
      </c>
      <c r="X424">
        <v>320.23</v>
      </c>
      <c r="AU424">
        <v>320.23</v>
      </c>
      <c r="AV424" t="s">
        <v>3398</v>
      </c>
    </row>
    <row r="425" spans="1:48">
      <c r="A425" t="s">
        <v>76</v>
      </c>
      <c r="B425" t="s">
        <v>482</v>
      </c>
      <c r="C425" t="s">
        <v>483</v>
      </c>
      <c r="D425" s="5" t="s">
        <v>2372</v>
      </c>
      <c r="E425" t="s">
        <v>4238</v>
      </c>
      <c r="F425" t="s">
        <v>3398</v>
      </c>
      <c r="G425">
        <v>102</v>
      </c>
      <c r="H425" t="s">
        <v>172</v>
      </c>
      <c r="I425" s="29">
        <v>41468.291666666664</v>
      </c>
      <c r="S425" s="16">
        <v>350</v>
      </c>
      <c r="T425" t="s">
        <v>1294</v>
      </c>
      <c r="U425" t="s">
        <v>4412</v>
      </c>
      <c r="W425">
        <v>73.5</v>
      </c>
      <c r="X425">
        <v>194</v>
      </c>
      <c r="AU425">
        <v>194</v>
      </c>
      <c r="AV425" t="s">
        <v>3398</v>
      </c>
    </row>
    <row r="426" spans="1:48">
      <c r="A426" t="s">
        <v>183</v>
      </c>
      <c r="B426" t="s">
        <v>193</v>
      </c>
      <c r="C426" t="s">
        <v>194</v>
      </c>
      <c r="D426" s="5" t="s">
        <v>2377</v>
      </c>
      <c r="E426" t="s">
        <v>4239</v>
      </c>
      <c r="F426" t="s">
        <v>3398</v>
      </c>
      <c r="G426">
        <v>102</v>
      </c>
      <c r="H426" t="s">
        <v>3691</v>
      </c>
      <c r="I426" s="29">
        <v>41461.625</v>
      </c>
      <c r="S426" s="16">
        <v>250</v>
      </c>
      <c r="T426" t="s">
        <v>206</v>
      </c>
      <c r="U426" t="s">
        <v>207</v>
      </c>
      <c r="W426">
        <v>8.5</v>
      </c>
      <c r="X426">
        <v>55.5</v>
      </c>
      <c r="AU426">
        <v>55.5</v>
      </c>
      <c r="AV426" t="s">
        <v>3398</v>
      </c>
    </row>
    <row r="427" spans="1:48">
      <c r="A427" t="s">
        <v>76</v>
      </c>
      <c r="B427" t="s">
        <v>118</v>
      </c>
      <c r="C427" t="s">
        <v>445</v>
      </c>
      <c r="D427" s="5"/>
      <c r="E427" t="s">
        <v>4240</v>
      </c>
      <c r="F427" t="s">
        <v>3585</v>
      </c>
      <c r="G427">
        <v>102</v>
      </c>
      <c r="H427" t="s">
        <v>3699</v>
      </c>
      <c r="I427" s="29">
        <v>41427.583333333336</v>
      </c>
      <c r="S427" s="16" t="s">
        <v>1668</v>
      </c>
      <c r="T427" t="s">
        <v>3768</v>
      </c>
      <c r="U427" t="s">
        <v>3768</v>
      </c>
      <c r="W427" t="s">
        <v>3768</v>
      </c>
      <c r="X427" t="s">
        <v>3768</v>
      </c>
      <c r="AU427" t="s">
        <v>3768</v>
      </c>
      <c r="AV427" t="s">
        <v>3585</v>
      </c>
    </row>
    <row r="428" spans="1:48">
      <c r="A428" t="s">
        <v>76</v>
      </c>
      <c r="B428" t="s">
        <v>486</v>
      </c>
      <c r="C428" t="s">
        <v>3840</v>
      </c>
      <c r="D428" s="5"/>
      <c r="E428" t="s">
        <v>4241</v>
      </c>
      <c r="F428" t="s">
        <v>3585</v>
      </c>
      <c r="G428">
        <v>102</v>
      </c>
      <c r="H428" t="s">
        <v>3699</v>
      </c>
      <c r="I428" s="29">
        <v>41427.583333333336</v>
      </c>
      <c r="S428" s="16" t="s">
        <v>1668</v>
      </c>
      <c r="T428" t="s">
        <v>3768</v>
      </c>
      <c r="U428" t="s">
        <v>3768</v>
      </c>
      <c r="W428" t="s">
        <v>3768</v>
      </c>
      <c r="X428" t="s">
        <v>3768</v>
      </c>
      <c r="AU428" t="s">
        <v>3768</v>
      </c>
      <c r="AV428" t="s">
        <v>3585</v>
      </c>
    </row>
    <row r="429" spans="1:48">
      <c r="A429" t="s">
        <v>76</v>
      </c>
      <c r="B429" t="s">
        <v>118</v>
      </c>
      <c r="C429" t="s">
        <v>125</v>
      </c>
      <c r="D429" s="5" t="s">
        <v>2386</v>
      </c>
      <c r="E429" t="s">
        <v>4242</v>
      </c>
      <c r="F429" t="s">
        <v>3585</v>
      </c>
      <c r="G429">
        <v>102</v>
      </c>
      <c r="H429" t="s">
        <v>3700</v>
      </c>
      <c r="I429" s="29">
        <v>41414.041666666664</v>
      </c>
      <c r="S429" s="16">
        <v>250</v>
      </c>
      <c r="T429" t="s">
        <v>103</v>
      </c>
      <c r="U429" t="s">
        <v>104</v>
      </c>
      <c r="W429">
        <v>0</v>
      </c>
      <c r="X429">
        <v>225.5</v>
      </c>
      <c r="AU429">
        <v>225.5</v>
      </c>
      <c r="AV429" t="s">
        <v>3585</v>
      </c>
    </row>
    <row r="430" spans="1:48">
      <c r="A430" t="s">
        <v>44</v>
      </c>
      <c r="B430" t="s">
        <v>45</v>
      </c>
      <c r="C430" t="s">
        <v>3900</v>
      </c>
      <c r="D430" s="5"/>
      <c r="E430" t="s">
        <v>4243</v>
      </c>
      <c r="F430" t="s">
        <v>3398</v>
      </c>
      <c r="G430">
        <v>103</v>
      </c>
      <c r="H430" t="s">
        <v>701</v>
      </c>
      <c r="I430" s="29">
        <v>41843.125</v>
      </c>
      <c r="S430" s="16">
        <v>450</v>
      </c>
      <c r="T430" t="s">
        <v>52</v>
      </c>
      <c r="U430" t="s">
        <v>53</v>
      </c>
      <c r="W430">
        <v>30</v>
      </c>
      <c r="X430">
        <v>125.35</v>
      </c>
      <c r="AU430">
        <v>125.35</v>
      </c>
      <c r="AV430" t="s">
        <v>3398</v>
      </c>
    </row>
    <row r="431" spans="1:48">
      <c r="A431" t="s">
        <v>220</v>
      </c>
      <c r="B431" t="s">
        <v>259</v>
      </c>
      <c r="C431" t="s">
        <v>3901</v>
      </c>
      <c r="D431" s="5"/>
      <c r="E431" t="s">
        <v>4244</v>
      </c>
      <c r="F431" t="s">
        <v>3585</v>
      </c>
      <c r="G431">
        <v>103</v>
      </c>
      <c r="H431" t="s">
        <v>701</v>
      </c>
      <c r="I431" s="29" t="s">
        <v>2406</v>
      </c>
      <c r="S431" s="16">
        <v>450</v>
      </c>
      <c r="T431" t="s">
        <v>4460</v>
      </c>
      <c r="U431" t="s">
        <v>264</v>
      </c>
      <c r="W431">
        <v>60</v>
      </c>
      <c r="X431">
        <v>225</v>
      </c>
      <c r="AU431">
        <v>225</v>
      </c>
      <c r="AV431" t="s">
        <v>3585</v>
      </c>
    </row>
    <row r="432" spans="1:48">
      <c r="A432" t="s">
        <v>617</v>
      </c>
      <c r="B432" t="s">
        <v>618</v>
      </c>
      <c r="C432" t="s">
        <v>619</v>
      </c>
      <c r="D432" s="5" t="s">
        <v>1757</v>
      </c>
      <c r="E432" t="s">
        <v>4245</v>
      </c>
      <c r="F432" t="s">
        <v>3398</v>
      </c>
      <c r="G432">
        <v>103</v>
      </c>
      <c r="H432" t="s">
        <v>3701</v>
      </c>
      <c r="I432" s="29">
        <v>41805.958333333336</v>
      </c>
      <c r="S432" s="16">
        <v>450</v>
      </c>
      <c r="T432" t="s">
        <v>1294</v>
      </c>
      <c r="U432" t="s">
        <v>639</v>
      </c>
      <c r="W432">
        <v>53</v>
      </c>
      <c r="X432">
        <v>96.3</v>
      </c>
      <c r="AU432">
        <v>96.3</v>
      </c>
      <c r="AV432" t="s">
        <v>3398</v>
      </c>
    </row>
    <row r="433" spans="1:48">
      <c r="A433" t="s">
        <v>3588</v>
      </c>
      <c r="B433" t="s">
        <v>3589</v>
      </c>
      <c r="C433" t="s">
        <v>3902</v>
      </c>
      <c r="D433" s="5"/>
      <c r="E433" t="s">
        <v>4246</v>
      </c>
      <c r="F433" t="s">
        <v>3585</v>
      </c>
      <c r="G433">
        <v>104</v>
      </c>
      <c r="H433" t="s">
        <v>295</v>
      </c>
      <c r="I433" s="13">
        <v>42224.166666666664</v>
      </c>
      <c r="S433" s="14" t="s">
        <v>81</v>
      </c>
      <c r="T433" t="s">
        <v>2280</v>
      </c>
      <c r="U433" t="s">
        <v>4451</v>
      </c>
      <c r="W433">
        <v>39.5</v>
      </c>
      <c r="X433">
        <v>112</v>
      </c>
      <c r="AU433">
        <v>112</v>
      </c>
      <c r="AV433" t="s">
        <v>3585</v>
      </c>
    </row>
    <row r="434" spans="1:48">
      <c r="A434" t="s">
        <v>318</v>
      </c>
      <c r="B434" t="s">
        <v>319</v>
      </c>
      <c r="C434" t="s">
        <v>3903</v>
      </c>
      <c r="D434" s="5"/>
      <c r="E434" t="s">
        <v>4247</v>
      </c>
      <c r="F434" t="s">
        <v>3462</v>
      </c>
      <c r="G434">
        <v>104</v>
      </c>
      <c r="H434" t="s">
        <v>295</v>
      </c>
      <c r="I434" s="13">
        <v>42224.333333333336</v>
      </c>
      <c r="S434" s="14">
        <v>350</v>
      </c>
      <c r="T434" t="s">
        <v>4461</v>
      </c>
      <c r="U434" t="s">
        <v>4454</v>
      </c>
      <c r="W434">
        <v>41</v>
      </c>
      <c r="X434">
        <v>475</v>
      </c>
      <c r="AU434">
        <v>475</v>
      </c>
      <c r="AV434" t="s">
        <v>3462</v>
      </c>
    </row>
    <row r="435" spans="1:48">
      <c r="A435" t="s">
        <v>318</v>
      </c>
      <c r="B435" t="s">
        <v>319</v>
      </c>
      <c r="C435" t="s">
        <v>3904</v>
      </c>
      <c r="D435" s="5"/>
      <c r="E435" t="s">
        <v>4248</v>
      </c>
      <c r="F435" t="s">
        <v>3585</v>
      </c>
      <c r="G435">
        <v>104</v>
      </c>
      <c r="H435" t="s">
        <v>295</v>
      </c>
      <c r="I435" s="13">
        <v>42224.25</v>
      </c>
      <c r="S435" s="14">
        <v>350</v>
      </c>
      <c r="T435" t="s">
        <v>4461</v>
      </c>
      <c r="U435" t="s">
        <v>4454</v>
      </c>
      <c r="W435">
        <v>52</v>
      </c>
      <c r="X435">
        <v>364</v>
      </c>
      <c r="AU435">
        <v>364</v>
      </c>
      <c r="AV435" t="s">
        <v>3585</v>
      </c>
    </row>
    <row r="436" spans="1:48">
      <c r="A436" t="s">
        <v>318</v>
      </c>
      <c r="B436" t="s">
        <v>341</v>
      </c>
      <c r="C436" t="s">
        <v>3905</v>
      </c>
      <c r="D436" s="5"/>
      <c r="E436" t="s">
        <v>4249</v>
      </c>
      <c r="F436" t="s">
        <v>3398</v>
      </c>
      <c r="G436">
        <v>104</v>
      </c>
      <c r="H436" t="s">
        <v>295</v>
      </c>
      <c r="I436" s="13">
        <v>42224.291666666664</v>
      </c>
      <c r="S436" s="14">
        <v>400</v>
      </c>
      <c r="T436" t="s">
        <v>4462</v>
      </c>
      <c r="U436" t="s">
        <v>4463</v>
      </c>
      <c r="W436">
        <v>50</v>
      </c>
      <c r="X436">
        <v>440</v>
      </c>
      <c r="AU436">
        <v>440</v>
      </c>
      <c r="AV436" t="s">
        <v>3398</v>
      </c>
    </row>
    <row r="437" spans="1:48">
      <c r="A437" t="s">
        <v>318</v>
      </c>
      <c r="B437" t="s">
        <v>341</v>
      </c>
      <c r="C437" t="s">
        <v>3905</v>
      </c>
      <c r="D437" s="1" t="s">
        <v>2462</v>
      </c>
      <c r="E437" t="s">
        <v>4250</v>
      </c>
      <c r="F437" t="s">
        <v>3779</v>
      </c>
      <c r="G437">
        <v>104</v>
      </c>
      <c r="H437" t="s">
        <v>295</v>
      </c>
      <c r="I437" s="13">
        <v>42224.291666666664</v>
      </c>
      <c r="S437" s="14">
        <v>400</v>
      </c>
      <c r="T437" t="s">
        <v>4462</v>
      </c>
      <c r="U437" t="s">
        <v>4463</v>
      </c>
      <c r="W437">
        <v>50</v>
      </c>
      <c r="X437">
        <v>440</v>
      </c>
      <c r="AU437">
        <v>440</v>
      </c>
      <c r="AV437" t="s">
        <v>3779</v>
      </c>
    </row>
    <row r="438" spans="1:48">
      <c r="A438" t="s">
        <v>318</v>
      </c>
      <c r="B438" t="s">
        <v>341</v>
      </c>
      <c r="C438" t="s">
        <v>3905</v>
      </c>
      <c r="D438" s="5" t="s">
        <v>2462</v>
      </c>
      <c r="E438" t="s">
        <v>4251</v>
      </c>
      <c r="F438" t="s">
        <v>3585</v>
      </c>
      <c r="G438">
        <v>104</v>
      </c>
      <c r="H438" t="s">
        <v>295</v>
      </c>
      <c r="I438" s="13">
        <v>42224.291666666664</v>
      </c>
      <c r="S438" s="14">
        <v>400</v>
      </c>
      <c r="T438" t="s">
        <v>4462</v>
      </c>
      <c r="U438" t="s">
        <v>4463</v>
      </c>
      <c r="W438">
        <v>50</v>
      </c>
      <c r="X438">
        <v>440</v>
      </c>
      <c r="AU438">
        <v>440</v>
      </c>
      <c r="AV438" t="s">
        <v>3585</v>
      </c>
    </row>
    <row r="439" spans="1:48">
      <c r="A439" t="s">
        <v>318</v>
      </c>
      <c r="B439" t="s">
        <v>341</v>
      </c>
      <c r="C439" t="s">
        <v>3905</v>
      </c>
      <c r="D439" s="5"/>
      <c r="E439" t="s">
        <v>4252</v>
      </c>
      <c r="F439" t="s">
        <v>3779</v>
      </c>
      <c r="G439">
        <v>104</v>
      </c>
      <c r="H439" t="s">
        <v>295</v>
      </c>
      <c r="I439" s="13">
        <v>42224.291666666664</v>
      </c>
      <c r="S439" s="14">
        <v>400</v>
      </c>
      <c r="T439" t="s">
        <v>4462</v>
      </c>
      <c r="U439" t="s">
        <v>4463</v>
      </c>
      <c r="W439">
        <v>50</v>
      </c>
      <c r="X439">
        <v>440</v>
      </c>
      <c r="AU439">
        <v>440</v>
      </c>
      <c r="AV439" t="s">
        <v>3779</v>
      </c>
    </row>
    <row r="440" spans="1:48">
      <c r="A440" t="s">
        <v>318</v>
      </c>
      <c r="B440" t="s">
        <v>341</v>
      </c>
      <c r="C440" t="s">
        <v>3906</v>
      </c>
      <c r="D440" s="5"/>
      <c r="E440" t="s">
        <v>4253</v>
      </c>
      <c r="F440" t="s">
        <v>3398</v>
      </c>
      <c r="G440">
        <v>104</v>
      </c>
      <c r="H440" t="s">
        <v>295</v>
      </c>
      <c r="I440" s="13">
        <v>42224.333333333336</v>
      </c>
      <c r="S440" s="14">
        <v>400</v>
      </c>
      <c r="T440" t="s">
        <v>4462</v>
      </c>
      <c r="U440" t="s">
        <v>4463</v>
      </c>
      <c r="W440">
        <v>51.5</v>
      </c>
      <c r="X440">
        <v>510</v>
      </c>
      <c r="AU440">
        <v>510</v>
      </c>
      <c r="AV440" t="s">
        <v>3398</v>
      </c>
    </row>
    <row r="441" spans="1:48">
      <c r="A441" t="s">
        <v>318</v>
      </c>
      <c r="B441" t="s">
        <v>341</v>
      </c>
      <c r="C441" t="s">
        <v>3906</v>
      </c>
      <c r="D441" s="5"/>
      <c r="E441" t="s">
        <v>4254</v>
      </c>
      <c r="F441" t="s">
        <v>3585</v>
      </c>
      <c r="G441">
        <v>104</v>
      </c>
      <c r="H441" t="s">
        <v>295</v>
      </c>
      <c r="I441" s="13">
        <v>42224.333333333336</v>
      </c>
      <c r="S441" s="14">
        <v>400</v>
      </c>
      <c r="T441" t="s">
        <v>4462</v>
      </c>
      <c r="U441" t="s">
        <v>4463</v>
      </c>
      <c r="W441">
        <v>51.5</v>
      </c>
      <c r="X441">
        <v>510</v>
      </c>
      <c r="AU441">
        <v>510</v>
      </c>
      <c r="AV441" t="s">
        <v>3585</v>
      </c>
    </row>
    <row r="442" spans="1:48">
      <c r="A442" t="s">
        <v>318</v>
      </c>
      <c r="B442" t="s">
        <v>330</v>
      </c>
      <c r="C442" t="s">
        <v>335</v>
      </c>
      <c r="D442" s="5" t="s">
        <v>2483</v>
      </c>
      <c r="E442" t="s">
        <v>4255</v>
      </c>
      <c r="F442" t="s">
        <v>3585</v>
      </c>
      <c r="G442">
        <v>104</v>
      </c>
      <c r="H442" t="s">
        <v>295</v>
      </c>
      <c r="I442" s="13">
        <v>42224.416666666664</v>
      </c>
      <c r="S442" s="14" t="s">
        <v>81</v>
      </c>
      <c r="T442" t="s">
        <v>337</v>
      </c>
      <c r="U442" t="s">
        <v>338</v>
      </c>
      <c r="W442">
        <v>32</v>
      </c>
      <c r="X442">
        <v>530</v>
      </c>
      <c r="AU442">
        <v>530</v>
      </c>
      <c r="AV442" t="s">
        <v>3585</v>
      </c>
    </row>
    <row r="443" spans="1:48">
      <c r="A443" t="s">
        <v>318</v>
      </c>
      <c r="B443" t="s">
        <v>330</v>
      </c>
      <c r="C443" t="s">
        <v>331</v>
      </c>
      <c r="D443" s="5"/>
      <c r="E443" t="s">
        <v>4256</v>
      </c>
      <c r="F443" t="s">
        <v>3585</v>
      </c>
      <c r="G443">
        <v>104</v>
      </c>
      <c r="H443" t="s">
        <v>295</v>
      </c>
      <c r="I443" s="13">
        <v>42224.208333333336</v>
      </c>
      <c r="S443" s="14">
        <v>400</v>
      </c>
      <c r="T443" t="s">
        <v>333</v>
      </c>
      <c r="U443" t="s">
        <v>334</v>
      </c>
      <c r="W443">
        <v>74</v>
      </c>
      <c r="X443">
        <v>487</v>
      </c>
      <c r="AU443">
        <v>487</v>
      </c>
      <c r="AV443" t="s">
        <v>3585</v>
      </c>
    </row>
    <row r="444" spans="1:48">
      <c r="A444" t="s">
        <v>346</v>
      </c>
      <c r="B444" t="s">
        <v>347</v>
      </c>
      <c r="C444" t="s">
        <v>3907</v>
      </c>
      <c r="D444" s="5" t="s">
        <v>2513</v>
      </c>
      <c r="E444" t="s">
        <v>4257</v>
      </c>
      <c r="F444" t="s">
        <v>3398</v>
      </c>
      <c r="G444">
        <v>104</v>
      </c>
      <c r="H444" t="s">
        <v>3691</v>
      </c>
      <c r="I444" s="29">
        <v>42249.625</v>
      </c>
      <c r="S444" s="21">
        <v>300</v>
      </c>
      <c r="T444" t="s">
        <v>4464</v>
      </c>
      <c r="U444" t="s">
        <v>351</v>
      </c>
      <c r="W444">
        <v>59</v>
      </c>
      <c r="X444">
        <v>64</v>
      </c>
      <c r="AU444">
        <v>64</v>
      </c>
      <c r="AV444" t="s">
        <v>3398</v>
      </c>
    </row>
    <row r="445" spans="1:48">
      <c r="A445" t="s">
        <v>76</v>
      </c>
      <c r="B445" t="s">
        <v>77</v>
      </c>
      <c r="C445" t="s">
        <v>395</v>
      </c>
      <c r="D445" s="5" t="s">
        <v>2517</v>
      </c>
      <c r="E445" t="s">
        <v>4258</v>
      </c>
      <c r="F445" t="s">
        <v>3585</v>
      </c>
      <c r="G445">
        <v>104</v>
      </c>
      <c r="H445" t="s">
        <v>3691</v>
      </c>
      <c r="I445" s="29">
        <v>42217.208333333336</v>
      </c>
      <c r="S445" s="21">
        <v>250</v>
      </c>
      <c r="T445" t="s">
        <v>96</v>
      </c>
      <c r="U445" t="s">
        <v>97</v>
      </c>
      <c r="W445">
        <v>0</v>
      </c>
      <c r="X445">
        <v>0</v>
      </c>
      <c r="AU445">
        <v>0</v>
      </c>
      <c r="AV445" t="s">
        <v>3585</v>
      </c>
    </row>
    <row r="446" spans="1:48">
      <c r="A446" t="s">
        <v>318</v>
      </c>
      <c r="B446" t="s">
        <v>324</v>
      </c>
      <c r="C446" t="s">
        <v>3908</v>
      </c>
      <c r="D446" s="5"/>
      <c r="F446" t="s">
        <v>3585</v>
      </c>
      <c r="G446">
        <v>104</v>
      </c>
      <c r="H446" t="s">
        <v>327</v>
      </c>
      <c r="I446" s="35">
        <v>42275.958333333336</v>
      </c>
      <c r="S446" s="5">
        <v>550</v>
      </c>
      <c r="T446" t="s">
        <v>328</v>
      </c>
      <c r="U446" t="s">
        <v>329</v>
      </c>
      <c r="W446">
        <v>9</v>
      </c>
      <c r="X446">
        <v>366</v>
      </c>
      <c r="AU446">
        <v>366</v>
      </c>
      <c r="AV446" t="s">
        <v>3585</v>
      </c>
    </row>
    <row r="447" spans="1:48">
      <c r="A447" t="s">
        <v>318</v>
      </c>
      <c r="B447" t="s">
        <v>330</v>
      </c>
      <c r="C447" t="s">
        <v>3909</v>
      </c>
      <c r="D447" s="5"/>
      <c r="F447" t="s">
        <v>3585</v>
      </c>
      <c r="G447">
        <v>104</v>
      </c>
      <c r="H447" t="s">
        <v>327</v>
      </c>
      <c r="I447" s="35">
        <v>42275.875</v>
      </c>
      <c r="S447" s="5" t="s">
        <v>2534</v>
      </c>
      <c r="T447" t="s">
        <v>337</v>
      </c>
      <c r="U447" t="s">
        <v>338</v>
      </c>
      <c r="W447">
        <v>31</v>
      </c>
      <c r="X447">
        <v>374</v>
      </c>
      <c r="AU447">
        <v>374</v>
      </c>
      <c r="AV447" t="s">
        <v>3585</v>
      </c>
    </row>
    <row r="448" spans="1:48">
      <c r="A448" t="s">
        <v>3643</v>
      </c>
      <c r="B448" t="s">
        <v>3702</v>
      </c>
      <c r="C448" t="s">
        <v>3910</v>
      </c>
      <c r="D448" s="5"/>
      <c r="E448" t="s">
        <v>4259</v>
      </c>
      <c r="F448" t="s">
        <v>3585</v>
      </c>
      <c r="G448">
        <v>105</v>
      </c>
      <c r="H448" t="s">
        <v>3691</v>
      </c>
      <c r="I448" s="35">
        <v>42653.041666666664</v>
      </c>
      <c r="S448" s="5" t="s">
        <v>2540</v>
      </c>
      <c r="T448">
        <v>466940</v>
      </c>
      <c r="U448" t="s">
        <v>4465</v>
      </c>
      <c r="W448">
        <v>7.5</v>
      </c>
      <c r="X448">
        <v>346</v>
      </c>
      <c r="AU448">
        <v>346</v>
      </c>
      <c r="AV448" t="s">
        <v>3585</v>
      </c>
    </row>
    <row r="449" spans="1:48">
      <c r="A449" t="s">
        <v>318</v>
      </c>
      <c r="B449" t="s">
        <v>3605</v>
      </c>
      <c r="C449" t="s">
        <v>3911</v>
      </c>
      <c r="D449" s="5"/>
      <c r="E449" t="s">
        <v>4260</v>
      </c>
      <c r="F449" t="s">
        <v>3585</v>
      </c>
      <c r="G449">
        <v>105</v>
      </c>
      <c r="H449" t="s">
        <v>3691</v>
      </c>
      <c r="I449" s="35">
        <v>42652.25</v>
      </c>
      <c r="S449" s="21">
        <v>500</v>
      </c>
      <c r="T449" t="s">
        <v>2692</v>
      </c>
      <c r="U449" t="s">
        <v>4466</v>
      </c>
      <c r="W449">
        <v>7</v>
      </c>
      <c r="X449">
        <v>114.5</v>
      </c>
      <c r="AU449">
        <v>114.5</v>
      </c>
      <c r="AV449" t="s">
        <v>3585</v>
      </c>
    </row>
    <row r="450" spans="1:48">
      <c r="A450" t="s">
        <v>352</v>
      </c>
      <c r="B450" t="s">
        <v>360</v>
      </c>
      <c r="C450" t="s">
        <v>3912</v>
      </c>
      <c r="D450" s="5"/>
      <c r="E450" t="s">
        <v>4261</v>
      </c>
      <c r="F450" t="s">
        <v>3585</v>
      </c>
      <c r="G450">
        <v>105</v>
      </c>
      <c r="H450" t="s">
        <v>3691</v>
      </c>
      <c r="I450" s="35">
        <v>42644.416666666664</v>
      </c>
      <c r="S450" s="5" t="s">
        <v>2540</v>
      </c>
      <c r="T450" t="s">
        <v>4467</v>
      </c>
      <c r="U450" t="s">
        <v>4468</v>
      </c>
      <c r="W450">
        <v>0</v>
      </c>
      <c r="X450">
        <v>0</v>
      </c>
      <c r="AU450">
        <v>0</v>
      </c>
      <c r="AV450" t="s">
        <v>3585</v>
      </c>
    </row>
    <row r="451" spans="1:48">
      <c r="A451" t="s">
        <v>346</v>
      </c>
      <c r="B451" t="s">
        <v>347</v>
      </c>
      <c r="C451" t="s">
        <v>3818</v>
      </c>
      <c r="D451" s="5"/>
      <c r="E451" t="s">
        <v>4262</v>
      </c>
      <c r="F451" t="s">
        <v>3769</v>
      </c>
      <c r="G451">
        <v>105</v>
      </c>
      <c r="H451" t="s">
        <v>254</v>
      </c>
      <c r="I451" s="35">
        <v>42641.583333333336</v>
      </c>
      <c r="S451" s="21">
        <v>300</v>
      </c>
      <c r="T451" t="s">
        <v>4469</v>
      </c>
      <c r="U451" t="s">
        <v>4404</v>
      </c>
      <c r="W451">
        <v>56</v>
      </c>
      <c r="X451">
        <v>329</v>
      </c>
      <c r="AU451">
        <v>329</v>
      </c>
      <c r="AV451" t="s">
        <v>3769</v>
      </c>
    </row>
    <row r="452" spans="1:48">
      <c r="A452" t="s">
        <v>220</v>
      </c>
      <c r="B452" t="s">
        <v>3703</v>
      </c>
      <c r="C452" t="s">
        <v>3913</v>
      </c>
      <c r="D452" s="5"/>
      <c r="E452" t="s">
        <v>4263</v>
      </c>
      <c r="F452" t="s">
        <v>3769</v>
      </c>
      <c r="G452">
        <v>105</v>
      </c>
      <c r="H452" t="s">
        <v>254</v>
      </c>
      <c r="I452" s="35">
        <v>42641.458333333336</v>
      </c>
      <c r="S452" s="5" t="s">
        <v>2540</v>
      </c>
      <c r="T452" t="s">
        <v>4470</v>
      </c>
      <c r="U452" t="s">
        <v>4471</v>
      </c>
      <c r="W452">
        <v>0</v>
      </c>
      <c r="X452">
        <v>474</v>
      </c>
      <c r="AU452">
        <v>474</v>
      </c>
      <c r="AV452" t="s">
        <v>3769</v>
      </c>
    </row>
    <row r="453" spans="1:48">
      <c r="A453" t="s">
        <v>183</v>
      </c>
      <c r="B453" t="s">
        <v>504</v>
      </c>
      <c r="C453" t="s">
        <v>3914</v>
      </c>
      <c r="D453" s="5"/>
      <c r="E453" t="s">
        <v>4264</v>
      </c>
      <c r="F453" t="s">
        <v>3585</v>
      </c>
      <c r="G453">
        <v>105</v>
      </c>
      <c r="H453" t="s">
        <v>254</v>
      </c>
      <c r="I453" s="35">
        <v>42641.083333333336</v>
      </c>
      <c r="S453" s="21" t="s">
        <v>2540</v>
      </c>
      <c r="T453" t="s">
        <v>4472</v>
      </c>
      <c r="U453" t="s">
        <v>4473</v>
      </c>
      <c r="W453">
        <v>43</v>
      </c>
      <c r="X453">
        <v>314</v>
      </c>
      <c r="AU453">
        <v>314</v>
      </c>
      <c r="AV453" t="s">
        <v>3585</v>
      </c>
    </row>
    <row r="454" spans="1:48">
      <c r="A454" t="s">
        <v>220</v>
      </c>
      <c r="B454" t="s">
        <v>3704</v>
      </c>
      <c r="C454" t="s">
        <v>3915</v>
      </c>
      <c r="D454" s="5"/>
      <c r="E454" t="s">
        <v>4265</v>
      </c>
      <c r="F454" t="s">
        <v>3753</v>
      </c>
      <c r="G454">
        <v>105</v>
      </c>
      <c r="H454" t="s">
        <v>254</v>
      </c>
      <c r="I454" s="35">
        <v>42641.125</v>
      </c>
      <c r="S454" s="5">
        <v>400</v>
      </c>
      <c r="T454" t="s">
        <v>2572</v>
      </c>
      <c r="U454" t="s">
        <v>4474</v>
      </c>
      <c r="W454">
        <v>51.5</v>
      </c>
      <c r="X454">
        <v>368</v>
      </c>
      <c r="AU454">
        <v>368</v>
      </c>
      <c r="AV454" t="s">
        <v>3753</v>
      </c>
    </row>
    <row r="455" spans="1:48">
      <c r="A455" t="s">
        <v>220</v>
      </c>
      <c r="B455" t="s">
        <v>221</v>
      </c>
      <c r="C455" t="s">
        <v>251</v>
      </c>
      <c r="D455" s="5" t="s">
        <v>2580</v>
      </c>
      <c r="E455" t="s">
        <v>4266</v>
      </c>
      <c r="F455" t="s">
        <v>3398</v>
      </c>
      <c r="G455">
        <v>105</v>
      </c>
      <c r="H455" t="s">
        <v>254</v>
      </c>
      <c r="I455" s="35">
        <v>42640.916666666664</v>
      </c>
      <c r="S455" s="5">
        <v>300</v>
      </c>
      <c r="T455" t="s">
        <v>255</v>
      </c>
      <c r="U455" t="s">
        <v>256</v>
      </c>
      <c r="W455">
        <v>73.5</v>
      </c>
      <c r="X455">
        <v>245.5</v>
      </c>
      <c r="AU455">
        <v>245.5</v>
      </c>
      <c r="AV455" t="s">
        <v>3398</v>
      </c>
    </row>
    <row r="456" spans="1:48">
      <c r="A456" t="s">
        <v>617</v>
      </c>
      <c r="B456" t="s">
        <v>618</v>
      </c>
      <c r="C456" t="s">
        <v>619</v>
      </c>
      <c r="D456" s="5" t="s">
        <v>1757</v>
      </c>
      <c r="E456" t="s">
        <v>4267</v>
      </c>
      <c r="F456" t="s">
        <v>3753</v>
      </c>
      <c r="G456">
        <v>105</v>
      </c>
      <c r="H456" t="s">
        <v>657</v>
      </c>
      <c r="I456" s="35">
        <v>42628.520833333336</v>
      </c>
      <c r="S456" s="5">
        <v>450</v>
      </c>
      <c r="T456" t="s">
        <v>2592</v>
      </c>
      <c r="U456" t="s">
        <v>4475</v>
      </c>
      <c r="W456">
        <v>0.5</v>
      </c>
      <c r="X456">
        <v>156.5</v>
      </c>
      <c r="AU456">
        <v>156.5</v>
      </c>
      <c r="AV456" t="s">
        <v>3753</v>
      </c>
    </row>
    <row r="457" spans="1:48">
      <c r="A457" t="s">
        <v>183</v>
      </c>
      <c r="B457" t="s">
        <v>184</v>
      </c>
      <c r="C457" t="s">
        <v>3916</v>
      </c>
      <c r="D457" s="5"/>
      <c r="E457" t="s">
        <v>4268</v>
      </c>
      <c r="F457" t="s">
        <v>3770</v>
      </c>
      <c r="G457">
        <v>105</v>
      </c>
      <c r="H457" t="s">
        <v>3691</v>
      </c>
      <c r="I457" s="35">
        <v>42621.041666666664</v>
      </c>
      <c r="S457" s="5" t="s">
        <v>2540</v>
      </c>
      <c r="T457" t="s">
        <v>189</v>
      </c>
      <c r="U457" t="s">
        <v>190</v>
      </c>
      <c r="W457">
        <v>0</v>
      </c>
      <c r="X457">
        <v>67</v>
      </c>
      <c r="AU457">
        <v>67</v>
      </c>
      <c r="AV457" t="s">
        <v>3770</v>
      </c>
    </row>
    <row r="458" spans="1:48">
      <c r="A458" t="s">
        <v>213</v>
      </c>
      <c r="B458" t="s">
        <v>3665</v>
      </c>
      <c r="C458" t="s">
        <v>3828</v>
      </c>
      <c r="D458" s="5" t="s">
        <v>2605</v>
      </c>
      <c r="E458" t="s">
        <v>4269</v>
      </c>
      <c r="F458" t="s">
        <v>3398</v>
      </c>
      <c r="G458">
        <v>105</v>
      </c>
      <c r="H458" t="s">
        <v>3691</v>
      </c>
      <c r="I458" s="35">
        <v>42619.666666666664</v>
      </c>
      <c r="S458" s="5">
        <v>400</v>
      </c>
      <c r="T458" t="s">
        <v>2607</v>
      </c>
      <c r="U458" t="s">
        <v>4410</v>
      </c>
      <c r="W458">
        <v>31</v>
      </c>
      <c r="X458">
        <v>84</v>
      </c>
      <c r="AU458">
        <v>84</v>
      </c>
      <c r="AV458" t="s">
        <v>3398</v>
      </c>
    </row>
    <row r="459" spans="1:48">
      <c r="A459" t="s">
        <v>183</v>
      </c>
      <c r="B459" t="s">
        <v>184</v>
      </c>
      <c r="C459" t="s">
        <v>3917</v>
      </c>
      <c r="D459" s="5"/>
      <c r="E459" t="s">
        <v>4270</v>
      </c>
      <c r="F459" t="s">
        <v>3585</v>
      </c>
      <c r="G459">
        <v>105</v>
      </c>
      <c r="H459" t="s">
        <v>3691</v>
      </c>
      <c r="I459" s="35">
        <v>42618.958333333336</v>
      </c>
      <c r="S459" s="5" t="s">
        <v>2540</v>
      </c>
      <c r="T459" t="s">
        <v>2611</v>
      </c>
      <c r="U459" t="s">
        <v>4476</v>
      </c>
      <c r="W459">
        <v>0</v>
      </c>
      <c r="X459">
        <v>72</v>
      </c>
      <c r="AU459">
        <v>72</v>
      </c>
      <c r="AV459" t="s">
        <v>3585</v>
      </c>
    </row>
    <row r="460" spans="1:48">
      <c r="A460" t="s">
        <v>346</v>
      </c>
      <c r="B460" t="s">
        <v>347</v>
      </c>
      <c r="C460" t="s">
        <v>3918</v>
      </c>
      <c r="D460" s="5"/>
      <c r="E460" t="s">
        <v>4271</v>
      </c>
      <c r="F460" t="s">
        <v>3585</v>
      </c>
      <c r="G460">
        <v>105</v>
      </c>
      <c r="H460" t="s">
        <v>3691</v>
      </c>
      <c r="I460" s="35">
        <v>42601.895833333336</v>
      </c>
      <c r="S460" s="5" t="s">
        <v>2540</v>
      </c>
      <c r="T460" t="s">
        <v>350</v>
      </c>
      <c r="U460" t="s">
        <v>351</v>
      </c>
      <c r="W460">
        <v>0</v>
      </c>
      <c r="X460">
        <v>5</v>
      </c>
      <c r="AU460">
        <v>5</v>
      </c>
      <c r="AV460" t="s">
        <v>3585</v>
      </c>
    </row>
    <row r="461" spans="1:48">
      <c r="A461" t="s">
        <v>617</v>
      </c>
      <c r="B461" t="s">
        <v>3705</v>
      </c>
      <c r="C461" t="s">
        <v>3919</v>
      </c>
      <c r="D461" s="5"/>
      <c r="E461" t="s">
        <v>4272</v>
      </c>
      <c r="F461" t="s">
        <v>3585</v>
      </c>
      <c r="G461">
        <v>105</v>
      </c>
      <c r="H461" t="s">
        <v>3706</v>
      </c>
      <c r="I461" s="35">
        <v>42560.305555555555</v>
      </c>
      <c r="S461" s="5" t="s">
        <v>2540</v>
      </c>
      <c r="T461" t="s">
        <v>350</v>
      </c>
      <c r="U461" t="s">
        <v>351</v>
      </c>
      <c r="W461">
        <v>0.5</v>
      </c>
      <c r="X461">
        <v>255.5</v>
      </c>
      <c r="AU461">
        <v>255.5</v>
      </c>
      <c r="AV461" t="s">
        <v>3585</v>
      </c>
    </row>
    <row r="462" spans="1:48">
      <c r="A462" t="s">
        <v>265</v>
      </c>
      <c r="B462" t="s">
        <v>3646</v>
      </c>
      <c r="C462" t="s">
        <v>3920</v>
      </c>
      <c r="D462" s="5"/>
      <c r="F462" t="s">
        <v>3398</v>
      </c>
      <c r="G462">
        <v>105</v>
      </c>
      <c r="H462" t="s">
        <v>3707</v>
      </c>
      <c r="I462" s="35">
        <v>42532.291666666664</v>
      </c>
      <c r="S462" s="5" t="s">
        <v>2540</v>
      </c>
      <c r="T462" t="s">
        <v>4477</v>
      </c>
      <c r="U462" t="s">
        <v>4428</v>
      </c>
      <c r="W462">
        <v>2.5</v>
      </c>
      <c r="X462">
        <v>165</v>
      </c>
      <c r="AU462">
        <v>165</v>
      </c>
      <c r="AV462" t="s">
        <v>3398</v>
      </c>
    </row>
    <row r="463" spans="1:48">
      <c r="A463" t="s">
        <v>352</v>
      </c>
      <c r="B463" t="s">
        <v>3708</v>
      </c>
      <c r="C463" t="s">
        <v>3921</v>
      </c>
      <c r="D463" s="5"/>
      <c r="E463" t="s">
        <v>4273</v>
      </c>
      <c r="F463" t="s">
        <v>3770</v>
      </c>
      <c r="G463">
        <v>105</v>
      </c>
      <c r="H463" t="s">
        <v>3691</v>
      </c>
      <c r="I463" s="35">
        <v>42445.381944444445</v>
      </c>
      <c r="S463" s="5" t="s">
        <v>2540</v>
      </c>
      <c r="T463" t="s">
        <v>2629</v>
      </c>
      <c r="U463" t="s">
        <v>4478</v>
      </c>
      <c r="W463">
        <v>0</v>
      </c>
      <c r="X463">
        <v>0</v>
      </c>
      <c r="AU463">
        <v>0</v>
      </c>
      <c r="AV463" t="s">
        <v>3770</v>
      </c>
    </row>
    <row r="464" spans="1:48">
      <c r="A464" t="s">
        <v>76</v>
      </c>
      <c r="B464" t="s">
        <v>118</v>
      </c>
      <c r="C464" t="s">
        <v>125</v>
      </c>
      <c r="D464" s="5" t="s">
        <v>2632</v>
      </c>
      <c r="E464" t="s">
        <v>4274</v>
      </c>
      <c r="F464" t="s">
        <v>3585</v>
      </c>
      <c r="G464">
        <v>106</v>
      </c>
      <c r="H464" t="s">
        <v>178</v>
      </c>
      <c r="I464" s="38">
        <v>42889.625</v>
      </c>
      <c r="S464" s="4">
        <v>250</v>
      </c>
      <c r="T464" t="s">
        <v>128</v>
      </c>
      <c r="U464" t="s">
        <v>104</v>
      </c>
      <c r="W464">
        <v>17</v>
      </c>
      <c r="X464">
        <v>430</v>
      </c>
      <c r="AU464">
        <v>430</v>
      </c>
      <c r="AV464" t="s">
        <v>3585</v>
      </c>
    </row>
    <row r="465" spans="1:48">
      <c r="A465" t="s">
        <v>76</v>
      </c>
      <c r="B465" t="s">
        <v>486</v>
      </c>
      <c r="C465" t="s">
        <v>3922</v>
      </c>
      <c r="D465" s="5"/>
      <c r="F465" t="s">
        <v>3585</v>
      </c>
      <c r="G465">
        <v>106</v>
      </c>
      <c r="H465" t="s">
        <v>178</v>
      </c>
      <c r="I465" s="38">
        <v>42889.958333333336</v>
      </c>
      <c r="S465" s="4">
        <v>300</v>
      </c>
      <c r="T465" t="s">
        <v>1769</v>
      </c>
      <c r="U465" t="s">
        <v>4432</v>
      </c>
      <c r="W465">
        <v>47</v>
      </c>
      <c r="X465">
        <v>605</v>
      </c>
      <c r="AU465">
        <v>605</v>
      </c>
      <c r="AV465" t="s">
        <v>3585</v>
      </c>
    </row>
    <row r="466" spans="1:48">
      <c r="A466" t="s">
        <v>76</v>
      </c>
      <c r="B466" t="s">
        <v>118</v>
      </c>
      <c r="C466" t="s">
        <v>142</v>
      </c>
      <c r="D466" s="5"/>
      <c r="F466" t="s">
        <v>3462</v>
      </c>
      <c r="G466">
        <v>106</v>
      </c>
      <c r="H466" t="s">
        <v>178</v>
      </c>
      <c r="I466" s="38">
        <v>42889.791666666664</v>
      </c>
      <c r="S466" s="5">
        <v>250</v>
      </c>
      <c r="T466" t="s">
        <v>160</v>
      </c>
      <c r="U466" t="s">
        <v>161</v>
      </c>
      <c r="W466">
        <v>10</v>
      </c>
      <c r="X466">
        <v>550</v>
      </c>
      <c r="AU466">
        <v>550</v>
      </c>
      <c r="AV466" t="s">
        <v>3462</v>
      </c>
    </row>
    <row r="467" spans="1:48">
      <c r="A467" t="s">
        <v>76</v>
      </c>
      <c r="B467" t="s">
        <v>98</v>
      </c>
      <c r="C467" t="s">
        <v>114</v>
      </c>
      <c r="D467" s="5"/>
      <c r="F467" t="s">
        <v>3585</v>
      </c>
      <c r="G467">
        <v>106</v>
      </c>
      <c r="H467" t="s">
        <v>178</v>
      </c>
      <c r="I467" s="38">
        <v>42889.333333333336</v>
      </c>
      <c r="S467" s="4">
        <v>300</v>
      </c>
      <c r="T467" t="s">
        <v>2646</v>
      </c>
      <c r="U467" t="s">
        <v>4431</v>
      </c>
      <c r="W467">
        <v>43</v>
      </c>
      <c r="X467">
        <v>270</v>
      </c>
      <c r="AU467">
        <v>270</v>
      </c>
      <c r="AV467" t="s">
        <v>3585</v>
      </c>
    </row>
    <row r="468" spans="1:48">
      <c r="A468" t="s">
        <v>76</v>
      </c>
      <c r="B468" t="s">
        <v>77</v>
      </c>
      <c r="C468" t="s">
        <v>93</v>
      </c>
      <c r="D468" s="5"/>
      <c r="F468" t="s">
        <v>3585</v>
      </c>
      <c r="G468">
        <v>106</v>
      </c>
      <c r="H468" t="s">
        <v>178</v>
      </c>
      <c r="I468" s="38">
        <v>42889.25</v>
      </c>
      <c r="S468" s="4">
        <v>250</v>
      </c>
      <c r="T468" t="s">
        <v>96</v>
      </c>
      <c r="U468" t="s">
        <v>97</v>
      </c>
      <c r="W468">
        <v>16</v>
      </c>
      <c r="X468">
        <v>300</v>
      </c>
      <c r="AU468">
        <v>300</v>
      </c>
      <c r="AV468" t="s">
        <v>3585</v>
      </c>
    </row>
    <row r="469" spans="1:48">
      <c r="A469" t="s">
        <v>76</v>
      </c>
      <c r="B469" t="s">
        <v>77</v>
      </c>
      <c r="C469" t="s">
        <v>3923</v>
      </c>
      <c r="D469" s="5"/>
      <c r="F469" t="s">
        <v>3585</v>
      </c>
      <c r="G469">
        <v>106</v>
      </c>
      <c r="H469" t="s">
        <v>178</v>
      </c>
      <c r="I469" s="38">
        <v>42888.708333333336</v>
      </c>
      <c r="S469" s="5">
        <v>250</v>
      </c>
      <c r="T469" t="s">
        <v>4479</v>
      </c>
      <c r="U469" t="s">
        <v>4480</v>
      </c>
      <c r="W469">
        <v>20</v>
      </c>
      <c r="X469">
        <v>240</v>
      </c>
      <c r="AU469">
        <v>240</v>
      </c>
      <c r="AV469" t="s">
        <v>3585</v>
      </c>
    </row>
    <row r="470" spans="1:48">
      <c r="A470" t="s">
        <v>318</v>
      </c>
      <c r="B470" t="s">
        <v>3686</v>
      </c>
      <c r="C470" t="s">
        <v>3924</v>
      </c>
      <c r="D470" s="5" t="s">
        <v>2658</v>
      </c>
      <c r="F470" t="s">
        <v>3753</v>
      </c>
      <c r="G470">
        <v>106</v>
      </c>
      <c r="H470" t="s">
        <v>178</v>
      </c>
      <c r="I470" s="38">
        <v>42888.5</v>
      </c>
      <c r="S470" s="4">
        <v>500</v>
      </c>
      <c r="T470" t="s">
        <v>1940</v>
      </c>
      <c r="U470" t="s">
        <v>4435</v>
      </c>
      <c r="W470">
        <v>29</v>
      </c>
      <c r="X470">
        <v>564</v>
      </c>
      <c r="AU470">
        <v>564</v>
      </c>
      <c r="AV470" t="s">
        <v>3753</v>
      </c>
    </row>
    <row r="471" spans="1:48">
      <c r="A471" t="s">
        <v>76</v>
      </c>
      <c r="B471" t="s">
        <v>3642</v>
      </c>
      <c r="C471" t="s">
        <v>3860</v>
      </c>
      <c r="D471" s="5"/>
      <c r="F471" t="s">
        <v>3585</v>
      </c>
      <c r="G471">
        <v>106</v>
      </c>
      <c r="H471" t="s">
        <v>3709</v>
      </c>
      <c r="I471" s="38">
        <v>42901.625</v>
      </c>
      <c r="S471" s="5">
        <v>300</v>
      </c>
      <c r="T471" t="s">
        <v>2748</v>
      </c>
      <c r="U471" t="s">
        <v>4481</v>
      </c>
      <c r="W471">
        <v>7.5</v>
      </c>
      <c r="X471">
        <v>275</v>
      </c>
      <c r="AU471">
        <v>275</v>
      </c>
      <c r="AV471" t="s">
        <v>3585</v>
      </c>
    </row>
    <row r="472" spans="1:48">
      <c r="A472" t="s">
        <v>3634</v>
      </c>
      <c r="B472" t="s">
        <v>3663</v>
      </c>
      <c r="C472" t="s">
        <v>3925</v>
      </c>
      <c r="D472" s="5"/>
      <c r="F472" t="s">
        <v>3585</v>
      </c>
      <c r="G472">
        <v>106</v>
      </c>
      <c r="H472" t="s">
        <v>3709</v>
      </c>
      <c r="I472" s="38">
        <v>42901.625</v>
      </c>
      <c r="S472" s="4">
        <v>400</v>
      </c>
      <c r="T472" t="s">
        <v>2666</v>
      </c>
      <c r="U472" t="s">
        <v>4482</v>
      </c>
      <c r="W472">
        <v>5</v>
      </c>
      <c r="X472">
        <v>190</v>
      </c>
      <c r="AU472">
        <v>190</v>
      </c>
      <c r="AV472" t="s">
        <v>3585</v>
      </c>
    </row>
    <row r="473" spans="1:48">
      <c r="A473" t="s">
        <v>44</v>
      </c>
      <c r="B473" t="s">
        <v>292</v>
      </c>
      <c r="C473" t="s">
        <v>3896</v>
      </c>
      <c r="D473" s="14" t="s">
        <v>2668</v>
      </c>
      <c r="F473" t="s">
        <v>3462</v>
      </c>
      <c r="G473">
        <v>106</v>
      </c>
      <c r="H473" t="s">
        <v>3710</v>
      </c>
      <c r="I473" s="38">
        <v>42945.875</v>
      </c>
      <c r="S473" s="5">
        <v>550</v>
      </c>
      <c r="T473" t="s">
        <v>2686</v>
      </c>
      <c r="U473" t="s">
        <v>4483</v>
      </c>
      <c r="W473">
        <v>41</v>
      </c>
      <c r="X473">
        <v>174</v>
      </c>
      <c r="AU473">
        <v>174</v>
      </c>
      <c r="AV473" t="s">
        <v>3462</v>
      </c>
    </row>
    <row r="474" spans="1:48">
      <c r="A474" t="s">
        <v>76</v>
      </c>
      <c r="B474" t="s">
        <v>118</v>
      </c>
      <c r="C474" t="s">
        <v>156</v>
      </c>
      <c r="D474" s="14" t="s">
        <v>2674</v>
      </c>
      <c r="F474" t="s">
        <v>3585</v>
      </c>
      <c r="G474">
        <v>106</v>
      </c>
      <c r="H474" t="s">
        <v>3710</v>
      </c>
      <c r="I474" s="38">
        <v>42946.326388888891</v>
      </c>
      <c r="S474" s="4">
        <v>250</v>
      </c>
      <c r="T474" t="s">
        <v>145</v>
      </c>
      <c r="U474" t="s">
        <v>146</v>
      </c>
      <c r="W474">
        <v>0</v>
      </c>
      <c r="X474">
        <v>150</v>
      </c>
      <c r="AU474">
        <v>150</v>
      </c>
      <c r="AV474" t="s">
        <v>3585</v>
      </c>
    </row>
    <row r="475" spans="1:48">
      <c r="A475" t="s">
        <v>265</v>
      </c>
      <c r="B475" t="s">
        <v>3711</v>
      </c>
      <c r="C475" t="s">
        <v>3926</v>
      </c>
      <c r="D475" s="14" t="s">
        <v>2679</v>
      </c>
      <c r="F475" t="s">
        <v>3398</v>
      </c>
      <c r="G475">
        <v>106</v>
      </c>
      <c r="H475" t="s">
        <v>3710</v>
      </c>
      <c r="I475" s="38">
        <v>42946.916666666664</v>
      </c>
      <c r="S475" s="4">
        <v>550</v>
      </c>
      <c r="T475" t="s">
        <v>2715</v>
      </c>
      <c r="U475" t="s">
        <v>4484</v>
      </c>
      <c r="W475">
        <v>25</v>
      </c>
      <c r="X475">
        <v>327</v>
      </c>
      <c r="AU475">
        <v>327</v>
      </c>
      <c r="AV475" t="s">
        <v>3398</v>
      </c>
    </row>
    <row r="476" spans="1:48">
      <c r="A476" t="s">
        <v>44</v>
      </c>
      <c r="B476" t="s">
        <v>292</v>
      </c>
      <c r="C476" t="s">
        <v>3896</v>
      </c>
      <c r="D476" s="14" t="s">
        <v>2668</v>
      </c>
      <c r="F476" t="s">
        <v>3462</v>
      </c>
      <c r="G476">
        <v>106</v>
      </c>
      <c r="H476" t="s">
        <v>3712</v>
      </c>
      <c r="I476" s="38">
        <v>43021.354166666664</v>
      </c>
      <c r="S476" s="4">
        <v>550</v>
      </c>
      <c r="T476" t="s">
        <v>2686</v>
      </c>
      <c r="U476" t="s">
        <v>4483</v>
      </c>
      <c r="W476">
        <v>8</v>
      </c>
      <c r="X476">
        <v>148</v>
      </c>
      <c r="AU476">
        <v>148</v>
      </c>
      <c r="AV476" t="s">
        <v>3462</v>
      </c>
    </row>
    <row r="477" spans="1:48">
      <c r="A477" t="s">
        <v>318</v>
      </c>
      <c r="B477" t="s">
        <v>3605</v>
      </c>
      <c r="C477" t="s">
        <v>3927</v>
      </c>
      <c r="D477" s="14"/>
      <c r="F477" t="s">
        <v>3585</v>
      </c>
      <c r="G477">
        <v>106</v>
      </c>
      <c r="H477" t="s">
        <v>3712</v>
      </c>
      <c r="I477" s="38">
        <v>43022.208333333336</v>
      </c>
      <c r="S477" s="4">
        <v>500</v>
      </c>
      <c r="T477" t="s">
        <v>4485</v>
      </c>
      <c r="U477" t="s">
        <v>4486</v>
      </c>
      <c r="W477">
        <v>3</v>
      </c>
      <c r="X477">
        <v>441</v>
      </c>
      <c r="AU477">
        <v>441</v>
      </c>
      <c r="AV477" t="s">
        <v>3585</v>
      </c>
    </row>
    <row r="478" spans="1:48">
      <c r="A478" t="s">
        <v>318</v>
      </c>
      <c r="B478" t="s">
        <v>3605</v>
      </c>
      <c r="C478" t="s">
        <v>3911</v>
      </c>
      <c r="D478" s="14"/>
      <c r="F478" t="s">
        <v>3585</v>
      </c>
      <c r="G478">
        <v>106</v>
      </c>
      <c r="H478" t="s">
        <v>3712</v>
      </c>
      <c r="I478" s="38">
        <v>43021.583333333336</v>
      </c>
      <c r="S478" s="4">
        <v>500</v>
      </c>
      <c r="T478" t="s">
        <v>2692</v>
      </c>
      <c r="U478" t="s">
        <v>4466</v>
      </c>
      <c r="W478">
        <v>24</v>
      </c>
      <c r="X478">
        <v>354</v>
      </c>
      <c r="AU478">
        <v>354</v>
      </c>
      <c r="AV478" t="s">
        <v>3585</v>
      </c>
    </row>
    <row r="479" spans="1:48">
      <c r="A479" t="s">
        <v>617</v>
      </c>
      <c r="B479" t="s">
        <v>3705</v>
      </c>
      <c r="C479" t="s">
        <v>3928</v>
      </c>
      <c r="D479" s="14"/>
      <c r="F479" t="s">
        <v>3762</v>
      </c>
      <c r="G479">
        <v>106</v>
      </c>
      <c r="H479" t="s">
        <v>3712</v>
      </c>
      <c r="I479" s="38">
        <v>43022.541666666664</v>
      </c>
      <c r="S479" s="4">
        <v>500</v>
      </c>
      <c r="T479" t="s">
        <v>4487</v>
      </c>
      <c r="U479" t="s">
        <v>4488</v>
      </c>
      <c r="W479">
        <v>58</v>
      </c>
      <c r="X479">
        <v>290</v>
      </c>
      <c r="AU479">
        <v>290</v>
      </c>
      <c r="AV479" t="s">
        <v>3762</v>
      </c>
    </row>
    <row r="480" spans="1:48">
      <c r="A480" t="s">
        <v>617</v>
      </c>
      <c r="B480" t="s">
        <v>645</v>
      </c>
      <c r="C480" t="s">
        <v>646</v>
      </c>
      <c r="D480" s="14"/>
      <c r="E480" t="s">
        <v>4275</v>
      </c>
      <c r="F480" t="s">
        <v>3398</v>
      </c>
      <c r="G480">
        <v>106</v>
      </c>
      <c r="H480" t="s">
        <v>3712</v>
      </c>
      <c r="I480" s="38">
        <v>43022.458333333336</v>
      </c>
      <c r="S480" s="4">
        <v>500</v>
      </c>
      <c r="T480" t="s">
        <v>649</v>
      </c>
      <c r="U480" t="s">
        <v>650</v>
      </c>
      <c r="W480">
        <v>393</v>
      </c>
      <c r="X480">
        <v>78</v>
      </c>
      <c r="AU480">
        <v>78</v>
      </c>
      <c r="AV480" t="s">
        <v>3398</v>
      </c>
    </row>
    <row r="481" spans="1:48">
      <c r="A481" t="s">
        <v>617</v>
      </c>
      <c r="B481" t="s">
        <v>645</v>
      </c>
      <c r="C481" t="s">
        <v>646</v>
      </c>
      <c r="D481" s="14"/>
      <c r="E481" t="s">
        <v>4276</v>
      </c>
      <c r="F481" t="s">
        <v>3762</v>
      </c>
      <c r="G481">
        <v>106</v>
      </c>
      <c r="H481" t="s">
        <v>3712</v>
      </c>
      <c r="I481" s="38">
        <v>43022.458333333336</v>
      </c>
      <c r="S481" s="4">
        <v>500</v>
      </c>
      <c r="T481" t="s">
        <v>649</v>
      </c>
      <c r="U481" t="s">
        <v>650</v>
      </c>
      <c r="W481">
        <v>393</v>
      </c>
      <c r="X481">
        <v>78</v>
      </c>
      <c r="AU481">
        <v>78</v>
      </c>
      <c r="AV481" t="s">
        <v>3762</v>
      </c>
    </row>
    <row r="482" spans="1:48">
      <c r="A482" t="s">
        <v>617</v>
      </c>
      <c r="B482" t="s">
        <v>3713</v>
      </c>
      <c r="C482" t="s">
        <v>3929</v>
      </c>
      <c r="D482" s="14"/>
      <c r="F482" t="s">
        <v>3762</v>
      </c>
      <c r="G482">
        <v>106</v>
      </c>
      <c r="H482" t="s">
        <v>3712</v>
      </c>
      <c r="I482" s="38">
        <v>43013.208333333336</v>
      </c>
      <c r="S482" s="4">
        <v>550</v>
      </c>
      <c r="T482" t="s">
        <v>4489</v>
      </c>
      <c r="U482" t="s">
        <v>534</v>
      </c>
      <c r="W482">
        <v>5</v>
      </c>
      <c r="X482">
        <v>150</v>
      </c>
      <c r="AU482">
        <v>150</v>
      </c>
      <c r="AV482" t="s">
        <v>3762</v>
      </c>
    </row>
    <row r="483" spans="1:48">
      <c r="A483" t="s">
        <v>265</v>
      </c>
      <c r="B483" t="s">
        <v>3714</v>
      </c>
      <c r="C483" t="s">
        <v>3930</v>
      </c>
      <c r="D483" s="5" t="s">
        <v>2712</v>
      </c>
      <c r="F483" t="s">
        <v>3585</v>
      </c>
      <c r="G483">
        <v>107</v>
      </c>
      <c r="H483" t="s">
        <v>3715</v>
      </c>
      <c r="I483" s="38">
        <v>43336.208333333336</v>
      </c>
      <c r="S483" s="4">
        <v>500</v>
      </c>
      <c r="T483" t="s">
        <v>2715</v>
      </c>
      <c r="U483" t="s">
        <v>4484</v>
      </c>
      <c r="W483">
        <v>35</v>
      </c>
      <c r="X483">
        <v>178</v>
      </c>
      <c r="AU483">
        <v>178</v>
      </c>
      <c r="AV483" t="s">
        <v>3585</v>
      </c>
    </row>
    <row r="484" spans="1:48">
      <c r="A484" t="s">
        <v>265</v>
      </c>
      <c r="B484" t="s">
        <v>3714</v>
      </c>
      <c r="C484" t="s">
        <v>3930</v>
      </c>
      <c r="D484" s="42" t="s">
        <v>2717</v>
      </c>
      <c r="F484" t="s">
        <v>3754</v>
      </c>
      <c r="G484">
        <v>107</v>
      </c>
      <c r="H484" t="s">
        <v>3715</v>
      </c>
      <c r="I484" s="38">
        <v>43336.208333333336</v>
      </c>
      <c r="S484" s="4">
        <v>500</v>
      </c>
      <c r="T484" t="s">
        <v>2715</v>
      </c>
      <c r="U484" t="s">
        <v>4484</v>
      </c>
      <c r="W484">
        <v>35</v>
      </c>
      <c r="X484">
        <v>178</v>
      </c>
      <c r="AU484">
        <v>178</v>
      </c>
      <c r="AV484" t="s">
        <v>3754</v>
      </c>
    </row>
    <row r="485" spans="1:48">
      <c r="A485" t="s">
        <v>213</v>
      </c>
      <c r="B485" t="s">
        <v>3716</v>
      </c>
      <c r="C485" t="s">
        <v>3931</v>
      </c>
      <c r="D485" s="5"/>
      <c r="F485" t="s">
        <v>3585</v>
      </c>
      <c r="G485">
        <v>107</v>
      </c>
      <c r="H485" t="s">
        <v>3715</v>
      </c>
      <c r="I485" s="38">
        <v>43336.5</v>
      </c>
      <c r="S485" s="4" t="s">
        <v>2534</v>
      </c>
      <c r="T485" t="s">
        <v>2723</v>
      </c>
      <c r="U485" t="s">
        <v>4490</v>
      </c>
      <c r="W485">
        <v>15</v>
      </c>
      <c r="X485">
        <v>475</v>
      </c>
      <c r="AU485">
        <v>475</v>
      </c>
      <c r="AV485" t="s">
        <v>3585</v>
      </c>
    </row>
    <row r="486" spans="1:48">
      <c r="A486" t="s">
        <v>220</v>
      </c>
      <c r="B486" t="s">
        <v>586</v>
      </c>
      <c r="C486" t="s">
        <v>3497</v>
      </c>
      <c r="D486" s="5"/>
      <c r="F486" t="s">
        <v>3585</v>
      </c>
      <c r="G486">
        <v>107</v>
      </c>
      <c r="H486" t="s">
        <v>3715</v>
      </c>
      <c r="I486" s="38">
        <v>43337</v>
      </c>
      <c r="S486" s="4">
        <v>300</v>
      </c>
      <c r="T486" t="s">
        <v>2726</v>
      </c>
      <c r="U486" t="s">
        <v>4491</v>
      </c>
      <c r="W486">
        <v>5</v>
      </c>
      <c r="X486">
        <v>550</v>
      </c>
      <c r="AU486">
        <v>550</v>
      </c>
      <c r="AV486" t="s">
        <v>3585</v>
      </c>
    </row>
    <row r="487" spans="1:48">
      <c r="A487" t="s">
        <v>65</v>
      </c>
      <c r="B487" t="s">
        <v>66</v>
      </c>
      <c r="C487" t="s">
        <v>3892</v>
      </c>
      <c r="D487" s="5"/>
      <c r="F487" t="s">
        <v>3398</v>
      </c>
      <c r="G487">
        <v>108</v>
      </c>
      <c r="H487" t="s">
        <v>173</v>
      </c>
      <c r="I487" s="29">
        <v>43604</v>
      </c>
      <c r="S487" s="4">
        <v>300</v>
      </c>
      <c r="T487" t="s">
        <v>4492</v>
      </c>
      <c r="U487" t="s">
        <v>73</v>
      </c>
      <c r="W487">
        <v>11</v>
      </c>
      <c r="X487">
        <v>491</v>
      </c>
      <c r="AU487">
        <v>491</v>
      </c>
      <c r="AV487" t="s">
        <v>3398</v>
      </c>
    </row>
    <row r="488" spans="1:48">
      <c r="A488" t="s">
        <v>65</v>
      </c>
      <c r="B488" t="s">
        <v>3658</v>
      </c>
      <c r="C488" t="s">
        <v>3932</v>
      </c>
      <c r="D488" s="5"/>
      <c r="E488" t="s">
        <v>4277</v>
      </c>
      <c r="F488" t="s">
        <v>3765</v>
      </c>
      <c r="G488">
        <v>108</v>
      </c>
      <c r="H488" t="s">
        <v>3707</v>
      </c>
      <c r="I488" s="29">
        <v>43627.458333333336</v>
      </c>
      <c r="S488" s="4"/>
      <c r="T488" t="s">
        <v>2738</v>
      </c>
      <c r="U488" t="s">
        <v>4493</v>
      </c>
      <c r="W488">
        <v>40</v>
      </c>
      <c r="X488">
        <v>133</v>
      </c>
      <c r="AU488">
        <v>133</v>
      </c>
      <c r="AV488" t="s">
        <v>3765</v>
      </c>
    </row>
    <row r="489" spans="1:48">
      <c r="A489" t="s">
        <v>76</v>
      </c>
      <c r="B489" t="s">
        <v>3642</v>
      </c>
      <c r="C489" t="s">
        <v>3839</v>
      </c>
      <c r="D489" s="5"/>
      <c r="E489" t="s">
        <v>4278</v>
      </c>
      <c r="F489" t="s">
        <v>3759</v>
      </c>
      <c r="G489">
        <v>108</v>
      </c>
      <c r="H489" t="s">
        <v>3707</v>
      </c>
      <c r="I489" s="29">
        <v>43627.416666666664</v>
      </c>
      <c r="S489" s="4">
        <v>300</v>
      </c>
      <c r="T489" t="s">
        <v>2743</v>
      </c>
      <c r="U489" t="s">
        <v>4494</v>
      </c>
      <c r="W489">
        <v>45</v>
      </c>
      <c r="X489">
        <v>114</v>
      </c>
      <c r="AU489">
        <v>114</v>
      </c>
      <c r="AV489" t="s">
        <v>3759</v>
      </c>
    </row>
    <row r="490" spans="1:48">
      <c r="A490" t="s">
        <v>76</v>
      </c>
      <c r="B490" t="s">
        <v>3642</v>
      </c>
      <c r="C490" t="s">
        <v>3933</v>
      </c>
      <c r="D490" s="5"/>
      <c r="E490" t="s">
        <v>4279</v>
      </c>
      <c r="F490" t="s">
        <v>3759</v>
      </c>
      <c r="G490">
        <v>108</v>
      </c>
      <c r="H490" t="s">
        <v>3707</v>
      </c>
      <c r="I490" s="29">
        <v>43627.375</v>
      </c>
      <c r="S490" s="4">
        <v>300</v>
      </c>
      <c r="T490" t="s">
        <v>2748</v>
      </c>
      <c r="U490" t="s">
        <v>4481</v>
      </c>
      <c r="W490">
        <v>36</v>
      </c>
      <c r="X490">
        <v>60</v>
      </c>
      <c r="AU490">
        <v>60</v>
      </c>
      <c r="AV490" t="s">
        <v>3759</v>
      </c>
    </row>
    <row r="491" spans="1:48">
      <c r="A491" t="s">
        <v>65</v>
      </c>
      <c r="B491" t="s">
        <v>3717</v>
      </c>
      <c r="C491" t="s">
        <v>3934</v>
      </c>
      <c r="D491" s="5"/>
      <c r="E491" t="s">
        <v>4280</v>
      </c>
      <c r="F491" t="s">
        <v>3771</v>
      </c>
      <c r="G491">
        <v>108</v>
      </c>
      <c r="H491" t="s">
        <v>3691</v>
      </c>
      <c r="I491" s="29">
        <v>43698.166666666664</v>
      </c>
      <c r="S491" s="4" t="s">
        <v>2534</v>
      </c>
      <c r="T491" t="s">
        <v>4495</v>
      </c>
      <c r="U491" t="s">
        <v>4496</v>
      </c>
      <c r="W491">
        <v>0</v>
      </c>
      <c r="X491">
        <v>120</v>
      </c>
      <c r="AU491">
        <v>120</v>
      </c>
      <c r="AV491" t="s">
        <v>3771</v>
      </c>
    </row>
    <row r="492" spans="1:48">
      <c r="A492" t="s">
        <v>3634</v>
      </c>
      <c r="B492" t="s">
        <v>3663</v>
      </c>
      <c r="C492" t="s">
        <v>3821</v>
      </c>
      <c r="D492" s="5"/>
      <c r="E492" t="s">
        <v>4281</v>
      </c>
      <c r="F492" t="s">
        <v>3765</v>
      </c>
      <c r="G492">
        <v>108</v>
      </c>
      <c r="H492" t="s">
        <v>3691</v>
      </c>
      <c r="I492" s="29">
        <v>43697.708333333336</v>
      </c>
      <c r="S492" s="4"/>
      <c r="T492" t="s">
        <v>4497</v>
      </c>
      <c r="U492" t="s">
        <v>4407</v>
      </c>
      <c r="W492">
        <v>3</v>
      </c>
      <c r="X492">
        <v>181</v>
      </c>
      <c r="AU492">
        <v>181</v>
      </c>
      <c r="AV492" t="s">
        <v>3765</v>
      </c>
    </row>
    <row r="493" spans="1:48">
      <c r="A493" t="s">
        <v>346</v>
      </c>
      <c r="B493" t="s">
        <v>347</v>
      </c>
      <c r="C493" t="s">
        <v>3818</v>
      </c>
      <c r="D493" s="5"/>
      <c r="F493" t="s">
        <v>3585</v>
      </c>
      <c r="G493">
        <v>108</v>
      </c>
      <c r="H493" t="s">
        <v>3691</v>
      </c>
      <c r="I493" s="29">
        <v>43674.319444444445</v>
      </c>
      <c r="S493" s="4"/>
      <c r="T493" t="s">
        <v>363</v>
      </c>
      <c r="U493" t="s">
        <v>364</v>
      </c>
      <c r="W493">
        <v>0</v>
      </c>
      <c r="X493">
        <v>76</v>
      </c>
      <c r="AU493">
        <v>76</v>
      </c>
      <c r="AV493" t="s">
        <v>3585</v>
      </c>
    </row>
    <row r="494" spans="1:48">
      <c r="A494" t="s">
        <v>220</v>
      </c>
      <c r="B494" t="s">
        <v>3684</v>
      </c>
      <c r="C494" t="s">
        <v>3935</v>
      </c>
      <c r="D494" s="5"/>
      <c r="E494" t="s">
        <v>4282</v>
      </c>
      <c r="F494" t="s">
        <v>3585</v>
      </c>
      <c r="G494">
        <v>108</v>
      </c>
      <c r="H494" t="s">
        <v>3691</v>
      </c>
      <c r="I494" s="29">
        <v>43643.208333333336</v>
      </c>
      <c r="S494" s="4"/>
      <c r="T494" t="s">
        <v>603</v>
      </c>
      <c r="U494" t="s">
        <v>604</v>
      </c>
      <c r="W494">
        <v>0</v>
      </c>
      <c r="X494">
        <v>63</v>
      </c>
      <c r="AU494">
        <v>63</v>
      </c>
      <c r="AV494" t="s">
        <v>3585</v>
      </c>
    </row>
    <row r="495" spans="1:48">
      <c r="A495" t="s">
        <v>3634</v>
      </c>
      <c r="B495" t="s">
        <v>3663</v>
      </c>
      <c r="C495" t="s">
        <v>3821</v>
      </c>
      <c r="D495" s="5" t="s">
        <v>2770</v>
      </c>
      <c r="E495" t="s">
        <v>4283</v>
      </c>
      <c r="F495" t="s">
        <v>3585</v>
      </c>
      <c r="G495">
        <v>108</v>
      </c>
      <c r="H495" t="s">
        <v>3691</v>
      </c>
      <c r="I495" s="29">
        <v>43641.458333333336</v>
      </c>
      <c r="S495" s="4">
        <v>400</v>
      </c>
      <c r="T495" t="s">
        <v>4497</v>
      </c>
      <c r="U495" t="s">
        <v>4407</v>
      </c>
      <c r="W495">
        <v>0</v>
      </c>
      <c r="X495">
        <v>62</v>
      </c>
      <c r="AU495">
        <v>62</v>
      </c>
      <c r="AV495" t="s">
        <v>3585</v>
      </c>
    </row>
    <row r="496" spans="1:48">
      <c r="A496" t="s">
        <v>183</v>
      </c>
      <c r="B496" t="s">
        <v>184</v>
      </c>
      <c r="C496" t="s">
        <v>185</v>
      </c>
      <c r="D496" s="5" t="s">
        <v>1563</v>
      </c>
      <c r="E496" t="s">
        <v>187</v>
      </c>
      <c r="F496" t="s">
        <v>3398</v>
      </c>
      <c r="G496">
        <v>108</v>
      </c>
      <c r="H496" t="s">
        <v>191</v>
      </c>
      <c r="I496" s="29">
        <v>43690.333333333336</v>
      </c>
      <c r="S496" s="4">
        <v>350</v>
      </c>
      <c r="T496" t="s">
        <v>4498</v>
      </c>
      <c r="U496" t="s">
        <v>190</v>
      </c>
      <c r="W496">
        <v>6</v>
      </c>
      <c r="X496">
        <v>98</v>
      </c>
      <c r="AU496">
        <v>98</v>
      </c>
      <c r="AV496" t="s">
        <v>3398</v>
      </c>
    </row>
    <row r="497" spans="1:48">
      <c r="A497" t="s">
        <v>220</v>
      </c>
      <c r="B497" t="s">
        <v>575</v>
      </c>
      <c r="C497" t="s">
        <v>581</v>
      </c>
      <c r="D497" s="5"/>
      <c r="E497" t="s">
        <v>4284</v>
      </c>
      <c r="F497" t="s">
        <v>3759</v>
      </c>
      <c r="G497">
        <v>108</v>
      </c>
      <c r="H497" t="s">
        <v>191</v>
      </c>
      <c r="I497" s="29">
        <v>43688.416666666664</v>
      </c>
      <c r="S497" s="4">
        <v>300</v>
      </c>
      <c r="T497" t="s">
        <v>579</v>
      </c>
      <c r="U497" t="s">
        <v>4499</v>
      </c>
      <c r="W497">
        <v>12</v>
      </c>
      <c r="X497">
        <v>337</v>
      </c>
      <c r="AU497">
        <v>337</v>
      </c>
      <c r="AV497" t="s">
        <v>3759</v>
      </c>
    </row>
    <row r="498" spans="1:48">
      <c r="A498" t="s">
        <v>174</v>
      </c>
      <c r="B498" t="s">
        <v>175</v>
      </c>
      <c r="C498" t="s">
        <v>497</v>
      </c>
      <c r="D498" s="5"/>
      <c r="E498" t="s">
        <v>4285</v>
      </c>
      <c r="F498" t="s">
        <v>3765</v>
      </c>
      <c r="G498">
        <v>108</v>
      </c>
      <c r="H498" t="s">
        <v>191</v>
      </c>
      <c r="I498" s="29">
        <v>43688.333333333336</v>
      </c>
      <c r="S498" s="4">
        <v>350</v>
      </c>
      <c r="T498" t="s">
        <v>198</v>
      </c>
      <c r="U498" t="s">
        <v>199</v>
      </c>
      <c r="W498">
        <v>10</v>
      </c>
      <c r="X498">
        <v>210</v>
      </c>
      <c r="AU498">
        <v>210</v>
      </c>
      <c r="AV498" t="s">
        <v>3765</v>
      </c>
    </row>
    <row r="499" spans="1:48">
      <c r="A499" t="s">
        <v>65</v>
      </c>
      <c r="B499" t="s">
        <v>3638</v>
      </c>
      <c r="C499" t="s">
        <v>3815</v>
      </c>
      <c r="D499" s="5" t="s">
        <v>2785</v>
      </c>
      <c r="E499" t="s">
        <v>4286</v>
      </c>
      <c r="F499" t="s">
        <v>3759</v>
      </c>
      <c r="G499">
        <v>108</v>
      </c>
      <c r="H499" t="s">
        <v>191</v>
      </c>
      <c r="I499" s="29">
        <v>43686.416666666664</v>
      </c>
      <c r="S499" s="4">
        <v>400</v>
      </c>
      <c r="T499" t="s">
        <v>4500</v>
      </c>
      <c r="U499" t="s">
        <v>4501</v>
      </c>
      <c r="W499">
        <v>4</v>
      </c>
      <c r="X499">
        <v>49</v>
      </c>
      <c r="AU499">
        <v>49</v>
      </c>
      <c r="AV499" t="s">
        <v>3759</v>
      </c>
    </row>
    <row r="500" spans="1:48">
      <c r="A500" t="s">
        <v>76</v>
      </c>
      <c r="B500" t="s">
        <v>77</v>
      </c>
      <c r="C500" t="s">
        <v>397</v>
      </c>
      <c r="D500" s="5"/>
      <c r="E500" t="s">
        <v>4287</v>
      </c>
      <c r="F500" t="s">
        <v>3759</v>
      </c>
      <c r="G500">
        <v>108</v>
      </c>
      <c r="H500" t="s">
        <v>188</v>
      </c>
      <c r="I500" s="29">
        <v>43694.291666666664</v>
      </c>
      <c r="S500" s="4">
        <v>250</v>
      </c>
      <c r="T500" t="s">
        <v>391</v>
      </c>
      <c r="U500" t="s">
        <v>392</v>
      </c>
      <c r="W500">
        <v>9</v>
      </c>
      <c r="X500">
        <v>154</v>
      </c>
      <c r="AU500">
        <v>154</v>
      </c>
      <c r="AV500" t="s">
        <v>3759</v>
      </c>
    </row>
    <row r="501" spans="1:48">
      <c r="A501" t="s">
        <v>265</v>
      </c>
      <c r="B501" t="s">
        <v>3646</v>
      </c>
      <c r="C501" t="s">
        <v>3936</v>
      </c>
      <c r="D501" s="5" t="s">
        <v>2796</v>
      </c>
      <c r="E501" t="s">
        <v>4288</v>
      </c>
      <c r="F501" t="s">
        <v>3759</v>
      </c>
      <c r="G501">
        <v>108</v>
      </c>
      <c r="H501" t="s">
        <v>188</v>
      </c>
      <c r="I501" s="29">
        <v>43693.416666666664</v>
      </c>
      <c r="S501" s="4">
        <v>400</v>
      </c>
      <c r="T501" t="s">
        <v>4502</v>
      </c>
      <c r="U501" t="s">
        <v>4428</v>
      </c>
      <c r="W501">
        <v>18</v>
      </c>
      <c r="X501">
        <v>328</v>
      </c>
      <c r="AU501">
        <v>328</v>
      </c>
      <c r="AV501" t="s">
        <v>3759</v>
      </c>
    </row>
    <row r="502" spans="1:48">
      <c r="A502" t="s">
        <v>76</v>
      </c>
      <c r="B502" t="s">
        <v>419</v>
      </c>
      <c r="C502" t="s">
        <v>420</v>
      </c>
      <c r="D502" s="5" t="s">
        <v>2803</v>
      </c>
      <c r="E502" t="s">
        <v>422</v>
      </c>
      <c r="F502" t="s">
        <v>3755</v>
      </c>
      <c r="G502">
        <v>108</v>
      </c>
      <c r="H502" t="s">
        <v>188</v>
      </c>
      <c r="I502" s="29">
        <v>43693.236111111109</v>
      </c>
      <c r="S502" s="4">
        <v>500</v>
      </c>
      <c r="T502" t="s">
        <v>423</v>
      </c>
      <c r="U502" t="s">
        <v>424</v>
      </c>
      <c r="W502">
        <v>10</v>
      </c>
      <c r="X502">
        <v>225</v>
      </c>
      <c r="AU502">
        <v>225</v>
      </c>
      <c r="AV502" t="s">
        <v>3755</v>
      </c>
    </row>
    <row r="503" spans="1:48">
      <c r="A503" t="s">
        <v>76</v>
      </c>
      <c r="B503" t="s">
        <v>3642</v>
      </c>
      <c r="C503" t="s">
        <v>3933</v>
      </c>
      <c r="D503" s="5"/>
      <c r="E503" t="s">
        <v>4289</v>
      </c>
      <c r="F503" t="s">
        <v>3771</v>
      </c>
      <c r="G503">
        <v>108</v>
      </c>
      <c r="H503" t="s">
        <v>188</v>
      </c>
      <c r="I503" s="29">
        <v>43693.125</v>
      </c>
      <c r="S503" s="4">
        <v>300</v>
      </c>
      <c r="T503" t="s">
        <v>2748</v>
      </c>
      <c r="U503" t="s">
        <v>4481</v>
      </c>
      <c r="W503">
        <v>18</v>
      </c>
      <c r="X503">
        <v>258</v>
      </c>
      <c r="AU503">
        <v>258</v>
      </c>
      <c r="AV503" t="s">
        <v>3771</v>
      </c>
    </row>
    <row r="504" spans="1:48">
      <c r="A504" t="s">
        <v>183</v>
      </c>
      <c r="B504" t="s">
        <v>184</v>
      </c>
      <c r="C504" t="s">
        <v>185</v>
      </c>
      <c r="D504" s="5" t="s">
        <v>1563</v>
      </c>
      <c r="E504" t="s">
        <v>187</v>
      </c>
      <c r="F504" t="s">
        <v>3398</v>
      </c>
      <c r="G504">
        <v>108</v>
      </c>
      <c r="H504" t="s">
        <v>188</v>
      </c>
      <c r="I504" s="29">
        <v>43693.25</v>
      </c>
      <c r="S504" s="4">
        <v>350</v>
      </c>
      <c r="T504" t="s">
        <v>4498</v>
      </c>
      <c r="U504" t="s">
        <v>190</v>
      </c>
      <c r="W504">
        <v>20</v>
      </c>
      <c r="X504">
        <v>173</v>
      </c>
      <c r="AU504">
        <v>173</v>
      </c>
      <c r="AV504" t="s">
        <v>3398</v>
      </c>
    </row>
    <row r="505" spans="1:48">
      <c r="A505" t="s">
        <v>220</v>
      </c>
      <c r="B505" t="s">
        <v>221</v>
      </c>
      <c r="C505" t="s">
        <v>222</v>
      </c>
      <c r="D505" s="5"/>
      <c r="E505" t="s">
        <v>4290</v>
      </c>
      <c r="F505" t="s">
        <v>3765</v>
      </c>
      <c r="G505">
        <v>108</v>
      </c>
      <c r="H505" t="s">
        <v>188</v>
      </c>
      <c r="I505" s="29">
        <v>43692.625</v>
      </c>
      <c r="S505" s="4">
        <v>350</v>
      </c>
      <c r="T505" t="s">
        <v>2880</v>
      </c>
      <c r="U505" t="s">
        <v>4503</v>
      </c>
      <c r="W505">
        <v>23</v>
      </c>
      <c r="X505">
        <v>326</v>
      </c>
      <c r="AU505">
        <v>326</v>
      </c>
      <c r="AV505" t="s">
        <v>3765</v>
      </c>
    </row>
    <row r="506" spans="1:48">
      <c r="A506" t="s">
        <v>213</v>
      </c>
      <c r="B506" t="s">
        <v>3718</v>
      </c>
      <c r="C506" t="s">
        <v>3937</v>
      </c>
      <c r="D506" s="5" t="s">
        <v>2819</v>
      </c>
      <c r="E506" t="s">
        <v>4291</v>
      </c>
      <c r="F506" t="s">
        <v>3585</v>
      </c>
      <c r="G506">
        <v>108</v>
      </c>
      <c r="H506" t="s">
        <v>188</v>
      </c>
      <c r="I506" s="29">
        <v>43692.416666666664</v>
      </c>
      <c r="S506" s="4">
        <v>550</v>
      </c>
      <c r="T506" t="s">
        <v>4504</v>
      </c>
      <c r="U506" t="s">
        <v>4505</v>
      </c>
      <c r="W506">
        <v>19</v>
      </c>
      <c r="X506">
        <v>120</v>
      </c>
      <c r="AU506">
        <v>120</v>
      </c>
      <c r="AV506" t="s">
        <v>3585</v>
      </c>
    </row>
    <row r="507" spans="1:48">
      <c r="A507" t="s">
        <v>76</v>
      </c>
      <c r="B507" t="s">
        <v>77</v>
      </c>
      <c r="C507" t="s">
        <v>3938</v>
      </c>
      <c r="D507" s="5"/>
      <c r="E507" t="s">
        <v>4292</v>
      </c>
      <c r="F507" t="s">
        <v>3585</v>
      </c>
      <c r="G507">
        <v>109</v>
      </c>
      <c r="H507" t="s">
        <v>3719</v>
      </c>
      <c r="I507" s="29">
        <v>43973.020833333336</v>
      </c>
      <c r="S507" s="4">
        <v>250</v>
      </c>
      <c r="T507" t="s">
        <v>4506</v>
      </c>
      <c r="U507" t="s">
        <v>4507</v>
      </c>
      <c r="W507">
        <v>14</v>
      </c>
      <c r="X507">
        <v>112</v>
      </c>
      <c r="AU507">
        <v>112</v>
      </c>
      <c r="AV507" t="s">
        <v>3585</v>
      </c>
    </row>
    <row r="508" spans="1:48">
      <c r="A508" t="s">
        <v>318</v>
      </c>
      <c r="B508" t="s">
        <v>3720</v>
      </c>
      <c r="C508" t="s">
        <v>3939</v>
      </c>
      <c r="D508" s="1"/>
      <c r="E508" t="s">
        <v>4293</v>
      </c>
      <c r="F508" t="s">
        <v>3494</v>
      </c>
      <c r="G508">
        <v>109</v>
      </c>
      <c r="H508" t="s">
        <v>3721</v>
      </c>
      <c r="I508" s="46">
        <v>44169.354166666664</v>
      </c>
      <c r="S508" s="8" t="s">
        <v>2534</v>
      </c>
      <c r="T508" t="s">
        <v>4508</v>
      </c>
      <c r="U508" t="s">
        <v>4509</v>
      </c>
      <c r="W508">
        <v>11</v>
      </c>
      <c r="X508">
        <v>215</v>
      </c>
      <c r="AU508">
        <v>215</v>
      </c>
      <c r="AV508" t="s">
        <v>3494</v>
      </c>
    </row>
    <row r="509" spans="1:48">
      <c r="A509" t="s">
        <v>65</v>
      </c>
      <c r="B509" t="s">
        <v>66</v>
      </c>
      <c r="C509" t="s">
        <v>3892</v>
      </c>
      <c r="D509" s="1"/>
      <c r="E509" t="s">
        <v>4294</v>
      </c>
      <c r="F509" t="s">
        <v>3494</v>
      </c>
      <c r="G509">
        <v>109</v>
      </c>
      <c r="H509" t="s">
        <v>3721</v>
      </c>
      <c r="I509" s="46">
        <v>43994.375</v>
      </c>
      <c r="S509" s="8" t="s">
        <v>2534</v>
      </c>
      <c r="T509" t="s">
        <v>2840</v>
      </c>
      <c r="U509" t="s">
        <v>4510</v>
      </c>
      <c r="W509">
        <v>0</v>
      </c>
      <c r="X509">
        <v>22</v>
      </c>
      <c r="AU509">
        <v>22</v>
      </c>
      <c r="AV509" t="s">
        <v>3494</v>
      </c>
    </row>
    <row r="510" spans="1:48">
      <c r="A510" t="s">
        <v>76</v>
      </c>
      <c r="B510" t="s">
        <v>77</v>
      </c>
      <c r="C510" t="s">
        <v>3940</v>
      </c>
      <c r="D510" s="49" t="s">
        <v>2845</v>
      </c>
      <c r="E510" t="s">
        <v>4295</v>
      </c>
      <c r="F510" t="s">
        <v>3494</v>
      </c>
      <c r="G510">
        <v>110</v>
      </c>
      <c r="H510" t="s">
        <v>3722</v>
      </c>
      <c r="I510" s="46">
        <v>44346.958333333336</v>
      </c>
      <c r="S510" s="8">
        <v>300</v>
      </c>
      <c r="T510" t="s">
        <v>2848</v>
      </c>
      <c r="U510" t="s">
        <v>4511</v>
      </c>
      <c r="W510">
        <v>3</v>
      </c>
      <c r="X510">
        <v>144</v>
      </c>
      <c r="AU510">
        <v>144</v>
      </c>
      <c r="AV510" t="s">
        <v>3494</v>
      </c>
    </row>
    <row r="511" spans="1:48">
      <c r="A511" t="s">
        <v>76</v>
      </c>
      <c r="B511" t="s">
        <v>77</v>
      </c>
      <c r="C511" t="s">
        <v>3940</v>
      </c>
      <c r="D511" s="49" t="s">
        <v>2845</v>
      </c>
      <c r="E511" t="s">
        <v>4296</v>
      </c>
      <c r="F511" t="s">
        <v>3494</v>
      </c>
      <c r="G511">
        <v>110</v>
      </c>
      <c r="H511" t="s">
        <v>3722</v>
      </c>
      <c r="I511" s="46">
        <v>44351.458333333336</v>
      </c>
      <c r="S511" s="8">
        <v>300</v>
      </c>
      <c r="T511" t="s">
        <v>2848</v>
      </c>
      <c r="U511" t="s">
        <v>4511</v>
      </c>
      <c r="W511">
        <v>11</v>
      </c>
      <c r="X511">
        <v>75</v>
      </c>
      <c r="AU511">
        <v>75</v>
      </c>
      <c r="AV511" t="s">
        <v>3494</v>
      </c>
    </row>
    <row r="512" spans="1:48">
      <c r="A512" t="s">
        <v>76</v>
      </c>
      <c r="B512" t="s">
        <v>77</v>
      </c>
      <c r="C512" t="s">
        <v>3788</v>
      </c>
      <c r="D512" s="49"/>
      <c r="E512" t="s">
        <v>4297</v>
      </c>
      <c r="F512" t="s">
        <v>3494</v>
      </c>
      <c r="G512">
        <v>110</v>
      </c>
      <c r="H512" t="s">
        <v>3722</v>
      </c>
      <c r="I512" s="46">
        <v>44351.708333333336</v>
      </c>
      <c r="S512" s="8">
        <v>300</v>
      </c>
      <c r="T512" t="s">
        <v>2855</v>
      </c>
      <c r="U512" t="s">
        <v>4512</v>
      </c>
      <c r="W512">
        <v>0</v>
      </c>
      <c r="X512">
        <v>134</v>
      </c>
      <c r="AU512">
        <v>134</v>
      </c>
      <c r="AV512" t="s">
        <v>3494</v>
      </c>
    </row>
    <row r="513" spans="1:48">
      <c r="A513" t="s">
        <v>3634</v>
      </c>
      <c r="B513" t="s">
        <v>3698</v>
      </c>
      <c r="C513" t="s">
        <v>3941</v>
      </c>
      <c r="D513" s="1"/>
      <c r="E513" t="s">
        <v>4298</v>
      </c>
      <c r="F513" t="s">
        <v>3494</v>
      </c>
      <c r="G513">
        <v>110</v>
      </c>
      <c r="H513" t="s">
        <v>3691</v>
      </c>
      <c r="I513" s="46">
        <v>44360.458333333336</v>
      </c>
      <c r="S513" s="8">
        <v>500</v>
      </c>
      <c r="T513" t="s">
        <v>2862</v>
      </c>
      <c r="U513" t="s">
        <v>4513</v>
      </c>
      <c r="W513">
        <v>0</v>
      </c>
      <c r="X513">
        <v>140</v>
      </c>
      <c r="AU513">
        <v>140</v>
      </c>
      <c r="AV513" t="s">
        <v>3494</v>
      </c>
    </row>
    <row r="514" spans="1:48">
      <c r="A514" t="s">
        <v>3634</v>
      </c>
      <c r="B514" t="s">
        <v>3671</v>
      </c>
      <c r="C514" t="s">
        <v>3929</v>
      </c>
      <c r="D514" s="1"/>
      <c r="E514" t="s">
        <v>4299</v>
      </c>
      <c r="F514" t="s">
        <v>3494</v>
      </c>
      <c r="G514">
        <v>110</v>
      </c>
      <c r="H514" t="s">
        <v>3691</v>
      </c>
      <c r="I514" s="46">
        <v>44377.916666666664</v>
      </c>
      <c r="S514" s="8">
        <v>500</v>
      </c>
      <c r="T514" t="s">
        <v>4514</v>
      </c>
      <c r="U514" t="s">
        <v>4515</v>
      </c>
      <c r="W514">
        <v>0</v>
      </c>
      <c r="X514">
        <v>56</v>
      </c>
      <c r="AU514">
        <v>56</v>
      </c>
      <c r="AV514" t="s">
        <v>3494</v>
      </c>
    </row>
    <row r="515" spans="1:48">
      <c r="A515" t="s">
        <v>220</v>
      </c>
      <c r="B515" t="s">
        <v>3704</v>
      </c>
      <c r="C515" t="s">
        <v>3942</v>
      </c>
      <c r="D515" s="1"/>
      <c r="E515" t="s">
        <v>4300</v>
      </c>
      <c r="F515" t="s">
        <v>3494</v>
      </c>
      <c r="G515">
        <v>110</v>
      </c>
      <c r="H515" t="s">
        <v>3691</v>
      </c>
      <c r="I515" s="46">
        <v>44416.333333333336</v>
      </c>
      <c r="S515" s="8">
        <v>500</v>
      </c>
      <c r="T515" t="s">
        <v>2874</v>
      </c>
      <c r="U515" t="s">
        <v>4516</v>
      </c>
      <c r="W515">
        <v>24</v>
      </c>
      <c r="X515">
        <v>171.5</v>
      </c>
      <c r="AU515">
        <v>171.5</v>
      </c>
      <c r="AV515" t="s">
        <v>3494</v>
      </c>
    </row>
    <row r="516" spans="1:48">
      <c r="A516" t="s">
        <v>220</v>
      </c>
      <c r="B516" t="s">
        <v>586</v>
      </c>
      <c r="C516" t="s">
        <v>3497</v>
      </c>
      <c r="D516" s="1"/>
      <c r="E516" t="s">
        <v>4301</v>
      </c>
      <c r="F516" t="s">
        <v>3494</v>
      </c>
      <c r="G516">
        <v>110</v>
      </c>
      <c r="H516" t="s">
        <v>3691</v>
      </c>
      <c r="I516" s="46">
        <v>44419.791666666664</v>
      </c>
      <c r="S516" s="8">
        <v>300</v>
      </c>
      <c r="T516" t="s">
        <v>2880</v>
      </c>
      <c r="U516" t="s">
        <v>4503</v>
      </c>
      <c r="W516">
        <v>10</v>
      </c>
      <c r="X516">
        <v>169.4</v>
      </c>
      <c r="AU516">
        <v>169.4</v>
      </c>
      <c r="AV516" t="s">
        <v>3494</v>
      </c>
    </row>
    <row r="517" spans="1:48">
      <c r="A517" t="s">
        <v>76</v>
      </c>
      <c r="B517" t="s">
        <v>3723</v>
      </c>
      <c r="C517" t="s">
        <v>3943</v>
      </c>
      <c r="D517" s="1"/>
      <c r="E517" t="s">
        <v>4302</v>
      </c>
      <c r="F517" t="s">
        <v>3494</v>
      </c>
      <c r="G517">
        <v>110</v>
      </c>
      <c r="H517" t="s">
        <v>3691</v>
      </c>
      <c r="I517" s="46">
        <v>44422.125</v>
      </c>
      <c r="S517" s="8">
        <v>500</v>
      </c>
      <c r="T517" t="s">
        <v>2887</v>
      </c>
      <c r="U517" t="s">
        <v>4385</v>
      </c>
      <c r="W517">
        <v>0</v>
      </c>
      <c r="X517">
        <v>9.4499999999999993</v>
      </c>
      <c r="AU517">
        <v>9.4499999999999993</v>
      </c>
      <c r="AV517" t="s">
        <v>3494</v>
      </c>
    </row>
    <row r="518" spans="1:48">
      <c r="A518" t="s">
        <v>352</v>
      </c>
      <c r="B518" t="s">
        <v>360</v>
      </c>
      <c r="C518" t="s">
        <v>3912</v>
      </c>
      <c r="D518" s="1"/>
      <c r="E518" t="s">
        <v>4303</v>
      </c>
      <c r="F518" t="s">
        <v>3494</v>
      </c>
      <c r="G518">
        <v>110</v>
      </c>
      <c r="H518" t="s">
        <v>3691</v>
      </c>
      <c r="I518" s="46">
        <v>44452.416666666664</v>
      </c>
      <c r="S518" s="8">
        <v>350</v>
      </c>
      <c r="T518" t="s">
        <v>2893</v>
      </c>
      <c r="U518" t="s">
        <v>4517</v>
      </c>
      <c r="W518">
        <v>0</v>
      </c>
      <c r="X518">
        <v>77</v>
      </c>
      <c r="AU518">
        <v>77</v>
      </c>
      <c r="AV518" t="s">
        <v>3494</v>
      </c>
    </row>
    <row r="519" spans="1:48">
      <c r="A519" t="s">
        <v>346</v>
      </c>
      <c r="B519" t="s">
        <v>347</v>
      </c>
      <c r="C519" t="s">
        <v>3805</v>
      </c>
      <c r="D519" s="1"/>
      <c r="E519" t="s">
        <v>4304</v>
      </c>
      <c r="F519" t="s">
        <v>3494</v>
      </c>
      <c r="G519">
        <v>110</v>
      </c>
      <c r="H519" t="s">
        <v>3724</v>
      </c>
      <c r="I519" s="46">
        <v>44363.541666666664</v>
      </c>
      <c r="S519" s="8">
        <v>300</v>
      </c>
      <c r="T519" t="s">
        <v>2900</v>
      </c>
      <c r="U519" t="s">
        <v>4518</v>
      </c>
      <c r="W519">
        <v>0</v>
      </c>
      <c r="X519">
        <v>25</v>
      </c>
      <c r="AU519">
        <v>25</v>
      </c>
      <c r="AV519" t="s">
        <v>3494</v>
      </c>
    </row>
    <row r="520" spans="1:48">
      <c r="A520" t="s">
        <v>183</v>
      </c>
      <c r="B520" t="s">
        <v>499</v>
      </c>
      <c r="C520" t="s">
        <v>274</v>
      </c>
      <c r="D520" s="1"/>
      <c r="E520" t="s">
        <v>4305</v>
      </c>
      <c r="F520" t="s">
        <v>3494</v>
      </c>
      <c r="G520">
        <v>110</v>
      </c>
      <c r="H520" t="s">
        <v>3724</v>
      </c>
      <c r="I520" s="46">
        <v>44371.458333333336</v>
      </c>
      <c r="S520" s="8">
        <v>450</v>
      </c>
      <c r="T520" t="s">
        <v>2904</v>
      </c>
      <c r="U520" t="s">
        <v>4413</v>
      </c>
      <c r="W520">
        <v>38</v>
      </c>
      <c r="X520">
        <v>148</v>
      </c>
      <c r="AU520">
        <v>148</v>
      </c>
      <c r="AV520" t="s">
        <v>3494</v>
      </c>
    </row>
    <row r="521" spans="1:48">
      <c r="A521" t="s">
        <v>183</v>
      </c>
      <c r="B521" t="s">
        <v>504</v>
      </c>
      <c r="C521" t="s">
        <v>3808</v>
      </c>
      <c r="D521" s="1"/>
      <c r="E521" t="s">
        <v>4306</v>
      </c>
      <c r="F521" t="s">
        <v>3494</v>
      </c>
      <c r="G521">
        <v>110</v>
      </c>
      <c r="H521" t="s">
        <v>258</v>
      </c>
      <c r="I521" s="46">
        <v>44409.25</v>
      </c>
      <c r="S521" s="8">
        <v>400</v>
      </c>
      <c r="T521" t="s">
        <v>1065</v>
      </c>
      <c r="U521" t="s">
        <v>4395</v>
      </c>
      <c r="W521">
        <v>6</v>
      </c>
      <c r="X521">
        <v>267</v>
      </c>
      <c r="AU521">
        <v>267</v>
      </c>
      <c r="AV521" t="s">
        <v>3494</v>
      </c>
    </row>
    <row r="522" spans="1:48">
      <c r="A522" t="s">
        <v>220</v>
      </c>
      <c r="B522" t="s">
        <v>221</v>
      </c>
      <c r="C522" t="s">
        <v>238</v>
      </c>
      <c r="D522" s="1" t="s">
        <v>2911</v>
      </c>
      <c r="E522" t="s">
        <v>4307</v>
      </c>
      <c r="F522" t="s">
        <v>3753</v>
      </c>
      <c r="G522">
        <v>110</v>
      </c>
      <c r="H522" t="s">
        <v>258</v>
      </c>
      <c r="I522" s="46">
        <v>44410.375</v>
      </c>
      <c r="S522" s="8">
        <v>350</v>
      </c>
      <c r="T522" t="s">
        <v>1065</v>
      </c>
      <c r="U522" t="s">
        <v>242</v>
      </c>
      <c r="W522">
        <v>2</v>
      </c>
      <c r="X522">
        <v>484.8</v>
      </c>
      <c r="AU522">
        <v>484.8</v>
      </c>
      <c r="AV522" t="s">
        <v>3753</v>
      </c>
    </row>
    <row r="523" spans="1:48">
      <c r="A523" t="s">
        <v>213</v>
      </c>
      <c r="B523" t="s">
        <v>3661</v>
      </c>
      <c r="C523" t="s">
        <v>3816</v>
      </c>
      <c r="D523" s="1"/>
      <c r="E523" t="s">
        <v>4308</v>
      </c>
      <c r="F523" t="s">
        <v>3494</v>
      </c>
      <c r="G523">
        <v>110</v>
      </c>
      <c r="H523" t="s">
        <v>552</v>
      </c>
      <c r="I523" s="46">
        <v>44413.375</v>
      </c>
      <c r="S523" s="8">
        <v>550</v>
      </c>
      <c r="T523" t="s">
        <v>2919</v>
      </c>
      <c r="U523" t="s">
        <v>4401</v>
      </c>
      <c r="W523">
        <v>12</v>
      </c>
      <c r="X523">
        <v>225</v>
      </c>
      <c r="AU523">
        <v>225</v>
      </c>
      <c r="AV523" t="s">
        <v>3494</v>
      </c>
    </row>
    <row r="524" spans="1:48">
      <c r="A524" t="s">
        <v>183</v>
      </c>
      <c r="B524" t="s">
        <v>193</v>
      </c>
      <c r="C524" t="s">
        <v>3858</v>
      </c>
      <c r="D524" s="1"/>
      <c r="E524" t="s">
        <v>4309</v>
      </c>
      <c r="F524" t="s">
        <v>3494</v>
      </c>
      <c r="G524">
        <v>110</v>
      </c>
      <c r="H524" t="s">
        <v>552</v>
      </c>
      <c r="I524" s="46">
        <v>44415.125</v>
      </c>
      <c r="S524" s="8">
        <v>300</v>
      </c>
      <c r="T524">
        <v>467530</v>
      </c>
      <c r="U524" t="s">
        <v>4519</v>
      </c>
      <c r="W524">
        <v>38</v>
      </c>
      <c r="X524">
        <v>348</v>
      </c>
      <c r="AU524">
        <v>348</v>
      </c>
      <c r="AV524" t="s">
        <v>3494</v>
      </c>
    </row>
    <row r="525" spans="1:48">
      <c r="A525" t="s">
        <v>220</v>
      </c>
      <c r="B525" t="s">
        <v>221</v>
      </c>
      <c r="C525" t="s">
        <v>248</v>
      </c>
      <c r="D525" s="1" t="s">
        <v>2926</v>
      </c>
      <c r="E525" t="s">
        <v>4310</v>
      </c>
      <c r="F525" t="s">
        <v>3494</v>
      </c>
      <c r="G525">
        <v>110</v>
      </c>
      <c r="H525" t="s">
        <v>552</v>
      </c>
      <c r="I525" s="46">
        <v>44415.125</v>
      </c>
      <c r="S525" s="8">
        <v>350</v>
      </c>
      <c r="T525" t="s">
        <v>241</v>
      </c>
      <c r="U525" t="s">
        <v>242</v>
      </c>
      <c r="W525">
        <v>49</v>
      </c>
      <c r="X525">
        <v>543</v>
      </c>
      <c r="AU525">
        <v>543</v>
      </c>
      <c r="AV525" t="s">
        <v>3494</v>
      </c>
    </row>
    <row r="526" spans="1:48">
      <c r="A526" t="s">
        <v>76</v>
      </c>
      <c r="B526" t="s">
        <v>3642</v>
      </c>
      <c r="C526" t="s">
        <v>3944</v>
      </c>
      <c r="D526" s="1"/>
      <c r="E526" t="s">
        <v>4311</v>
      </c>
      <c r="F526" t="s">
        <v>3494</v>
      </c>
      <c r="G526">
        <v>110</v>
      </c>
      <c r="H526" t="s">
        <v>552</v>
      </c>
      <c r="I526" s="46">
        <v>44415.166666666664</v>
      </c>
      <c r="S526" s="8">
        <v>350</v>
      </c>
      <c r="T526" t="s">
        <v>459</v>
      </c>
      <c r="U526" t="s">
        <v>460</v>
      </c>
      <c r="W526">
        <v>21</v>
      </c>
      <c r="X526">
        <v>126</v>
      </c>
      <c r="AU526">
        <v>126</v>
      </c>
      <c r="AV526" t="s">
        <v>3494</v>
      </c>
    </row>
    <row r="527" spans="1:48">
      <c r="A527" t="s">
        <v>220</v>
      </c>
      <c r="B527" t="s">
        <v>586</v>
      </c>
      <c r="C527" t="s">
        <v>597</v>
      </c>
      <c r="D527" s="1"/>
      <c r="E527" t="s">
        <v>4312</v>
      </c>
      <c r="F527" t="s">
        <v>3494</v>
      </c>
      <c r="G527">
        <v>110</v>
      </c>
      <c r="H527" t="s">
        <v>552</v>
      </c>
      <c r="I527" s="46">
        <v>44415.208333333336</v>
      </c>
      <c r="S527" s="8">
        <v>300</v>
      </c>
      <c r="T527" t="s">
        <v>2936</v>
      </c>
      <c r="U527" t="s">
        <v>596</v>
      </c>
      <c r="W527">
        <v>56</v>
      </c>
      <c r="X527">
        <v>369.6</v>
      </c>
      <c r="AU527">
        <v>369.6</v>
      </c>
      <c r="AV527" t="s">
        <v>3494</v>
      </c>
    </row>
    <row r="528" spans="1:48">
      <c r="A528" t="s">
        <v>213</v>
      </c>
      <c r="B528" t="s">
        <v>3661</v>
      </c>
      <c r="C528" t="s">
        <v>3945</v>
      </c>
      <c r="D528" s="1"/>
      <c r="E528" t="s">
        <v>4313</v>
      </c>
      <c r="F528" t="s">
        <v>3494</v>
      </c>
      <c r="G528">
        <v>110</v>
      </c>
      <c r="H528" t="s">
        <v>552</v>
      </c>
      <c r="I528" s="46">
        <v>44415.208333333336</v>
      </c>
      <c r="S528" s="8">
        <v>550</v>
      </c>
      <c r="T528" t="s">
        <v>2919</v>
      </c>
      <c r="U528" t="s">
        <v>4401</v>
      </c>
      <c r="W528">
        <v>8</v>
      </c>
      <c r="X528">
        <v>266</v>
      </c>
      <c r="AU528">
        <v>266</v>
      </c>
      <c r="AV528" t="s">
        <v>3494</v>
      </c>
    </row>
    <row r="529" spans="1:48">
      <c r="A529" t="s">
        <v>76</v>
      </c>
      <c r="B529" t="s">
        <v>3657</v>
      </c>
      <c r="C529" t="s">
        <v>3830</v>
      </c>
      <c r="D529" s="1"/>
      <c r="E529" t="s">
        <v>4314</v>
      </c>
      <c r="F529" t="s">
        <v>3494</v>
      </c>
      <c r="G529">
        <v>110</v>
      </c>
      <c r="H529" t="s">
        <v>552</v>
      </c>
      <c r="I529" s="46">
        <v>44415.208333333336</v>
      </c>
      <c r="S529" s="8">
        <v>450</v>
      </c>
      <c r="T529" t="s">
        <v>423</v>
      </c>
      <c r="U529" t="s">
        <v>424</v>
      </c>
      <c r="W529">
        <v>14</v>
      </c>
      <c r="X529">
        <v>173.6</v>
      </c>
      <c r="AU529">
        <v>173.6</v>
      </c>
      <c r="AV529" t="s">
        <v>3494</v>
      </c>
    </row>
    <row r="530" spans="1:48">
      <c r="A530" t="s">
        <v>3634</v>
      </c>
      <c r="B530" t="s">
        <v>3671</v>
      </c>
      <c r="C530" t="s">
        <v>3946</v>
      </c>
      <c r="D530" s="1"/>
      <c r="E530" t="s">
        <v>4315</v>
      </c>
      <c r="F530" t="s">
        <v>3494</v>
      </c>
      <c r="G530">
        <v>110</v>
      </c>
      <c r="H530" t="s">
        <v>552</v>
      </c>
      <c r="I530" s="46">
        <v>44415.333333333336</v>
      </c>
      <c r="S530" s="8">
        <v>500</v>
      </c>
      <c r="T530" t="s">
        <v>2351</v>
      </c>
      <c r="U530" t="s">
        <v>4416</v>
      </c>
      <c r="W530">
        <v>31</v>
      </c>
      <c r="X530">
        <v>70</v>
      </c>
      <c r="AU530">
        <v>70</v>
      </c>
      <c r="AV530" t="s">
        <v>3494</v>
      </c>
    </row>
    <row r="531" spans="1:48">
      <c r="A531" t="s">
        <v>3532</v>
      </c>
      <c r="B531" t="s">
        <v>3725</v>
      </c>
      <c r="C531" t="s">
        <v>3947</v>
      </c>
      <c r="D531" s="1"/>
      <c r="E531" t="s">
        <v>4316</v>
      </c>
      <c r="F531" t="s">
        <v>3494</v>
      </c>
      <c r="G531">
        <v>110</v>
      </c>
      <c r="H531" t="s">
        <v>552</v>
      </c>
      <c r="I531" s="46">
        <v>44415.416666666664</v>
      </c>
      <c r="S531" s="8">
        <v>550</v>
      </c>
      <c r="T531" t="s">
        <v>2956</v>
      </c>
      <c r="U531" t="s">
        <v>4520</v>
      </c>
      <c r="W531">
        <v>12</v>
      </c>
      <c r="X531">
        <v>268</v>
      </c>
      <c r="AU531">
        <v>268</v>
      </c>
      <c r="AV531" t="s">
        <v>3494</v>
      </c>
    </row>
    <row r="532" spans="1:48">
      <c r="A532" t="s">
        <v>352</v>
      </c>
      <c r="B532" t="s">
        <v>3726</v>
      </c>
      <c r="C532" t="s">
        <v>3948</v>
      </c>
      <c r="D532" s="1"/>
      <c r="E532" t="s">
        <v>4317</v>
      </c>
      <c r="F532" t="s">
        <v>3494</v>
      </c>
      <c r="G532">
        <v>110</v>
      </c>
      <c r="H532" t="s">
        <v>552</v>
      </c>
      <c r="I532" s="46">
        <v>44415.583333333336</v>
      </c>
      <c r="S532" s="8">
        <v>500</v>
      </c>
      <c r="T532" t="s">
        <v>2971</v>
      </c>
      <c r="U532" t="s">
        <v>4521</v>
      </c>
      <c r="W532">
        <v>7</v>
      </c>
      <c r="X532">
        <v>101.9</v>
      </c>
      <c r="AU532">
        <v>101.9</v>
      </c>
      <c r="AV532" t="s">
        <v>3494</v>
      </c>
    </row>
    <row r="533" spans="1:48">
      <c r="A533" t="s">
        <v>220</v>
      </c>
      <c r="B533" t="s">
        <v>586</v>
      </c>
      <c r="C533" t="s">
        <v>589</v>
      </c>
      <c r="D533" s="1"/>
      <c r="E533" t="s">
        <v>4318</v>
      </c>
      <c r="F533" t="s">
        <v>3554</v>
      </c>
      <c r="G533">
        <v>110</v>
      </c>
      <c r="H533" t="s">
        <v>552</v>
      </c>
      <c r="I533" s="46">
        <v>44415.645833333336</v>
      </c>
      <c r="S533" s="8">
        <v>300</v>
      </c>
      <c r="T533" t="s">
        <v>591</v>
      </c>
      <c r="U533" t="s">
        <v>592</v>
      </c>
      <c r="W533">
        <v>7</v>
      </c>
      <c r="X533">
        <v>571.9</v>
      </c>
      <c r="AU533">
        <v>571.9</v>
      </c>
      <c r="AV533" t="s">
        <v>3554</v>
      </c>
    </row>
    <row r="534" spans="1:48">
      <c r="A534" t="s">
        <v>76</v>
      </c>
      <c r="B534" t="s">
        <v>77</v>
      </c>
      <c r="C534" t="s">
        <v>397</v>
      </c>
      <c r="D534" s="1"/>
      <c r="E534" t="s">
        <v>4319</v>
      </c>
      <c r="F534" t="s">
        <v>3494</v>
      </c>
      <c r="G534">
        <v>110</v>
      </c>
      <c r="H534" t="s">
        <v>552</v>
      </c>
      <c r="I534" s="46">
        <v>44415.833333333336</v>
      </c>
      <c r="S534" s="8">
        <v>300</v>
      </c>
      <c r="T534" t="s">
        <v>391</v>
      </c>
      <c r="U534" t="s">
        <v>392</v>
      </c>
      <c r="W534">
        <v>3</v>
      </c>
      <c r="X534">
        <v>205.8</v>
      </c>
      <c r="AU534">
        <v>205.8</v>
      </c>
      <c r="AV534" t="s">
        <v>3494</v>
      </c>
    </row>
    <row r="535" spans="1:48">
      <c r="A535" t="s">
        <v>272</v>
      </c>
      <c r="B535" t="s">
        <v>273</v>
      </c>
      <c r="C535" t="s">
        <v>677</v>
      </c>
      <c r="D535" s="1"/>
      <c r="E535" t="s">
        <v>4320</v>
      </c>
      <c r="F535" t="s">
        <v>3554</v>
      </c>
      <c r="G535">
        <v>110</v>
      </c>
      <c r="H535" t="s">
        <v>624</v>
      </c>
      <c r="I535" s="46">
        <v>44481.416666666664</v>
      </c>
      <c r="S535" s="8">
        <v>350</v>
      </c>
      <c r="T535" t="s">
        <v>2988</v>
      </c>
      <c r="U535" t="s">
        <v>4522</v>
      </c>
      <c r="W535">
        <v>12.5</v>
      </c>
      <c r="X535">
        <v>203</v>
      </c>
      <c r="AU535">
        <v>203</v>
      </c>
      <c r="AV535" t="s">
        <v>3554</v>
      </c>
    </row>
    <row r="536" spans="1:48">
      <c r="A536" t="s">
        <v>272</v>
      </c>
      <c r="B536" t="s">
        <v>660</v>
      </c>
      <c r="C536" t="s">
        <v>3949</v>
      </c>
      <c r="D536" s="1"/>
      <c r="E536" t="s">
        <v>4321</v>
      </c>
      <c r="F536" t="s">
        <v>3494</v>
      </c>
      <c r="G536">
        <v>110</v>
      </c>
      <c r="H536" t="s">
        <v>663</v>
      </c>
      <c r="I536" s="46">
        <v>44482.208333333336</v>
      </c>
      <c r="S536" s="8">
        <v>600</v>
      </c>
      <c r="T536" t="s">
        <v>3001</v>
      </c>
      <c r="U536" t="s">
        <v>4523</v>
      </c>
      <c r="W536">
        <v>50</v>
      </c>
      <c r="X536">
        <v>340</v>
      </c>
      <c r="AU536">
        <v>340</v>
      </c>
      <c r="AV536" t="s">
        <v>3494</v>
      </c>
    </row>
    <row r="537" spans="1:48">
      <c r="A537" t="s">
        <v>272</v>
      </c>
      <c r="B537" t="s">
        <v>3727</v>
      </c>
      <c r="C537" t="s">
        <v>3950</v>
      </c>
      <c r="D537" s="1"/>
      <c r="E537" t="s">
        <v>4322</v>
      </c>
      <c r="F537" t="s">
        <v>3494</v>
      </c>
      <c r="G537">
        <v>110</v>
      </c>
      <c r="H537" t="s">
        <v>663</v>
      </c>
      <c r="I537" s="46">
        <v>44482.791666666664</v>
      </c>
      <c r="S537" s="8">
        <v>550</v>
      </c>
      <c r="T537" t="s">
        <v>3001</v>
      </c>
      <c r="U537" t="s">
        <v>4523</v>
      </c>
      <c r="W537">
        <v>15</v>
      </c>
      <c r="X537">
        <v>453</v>
      </c>
      <c r="AU537">
        <v>453</v>
      </c>
      <c r="AV537" t="s">
        <v>3494</v>
      </c>
    </row>
    <row r="538" spans="1:48">
      <c r="A538" t="s">
        <v>318</v>
      </c>
      <c r="B538" t="s">
        <v>3605</v>
      </c>
      <c r="C538" t="s">
        <v>3951</v>
      </c>
      <c r="D538" s="1"/>
      <c r="E538" t="s">
        <v>4323</v>
      </c>
      <c r="F538" t="s">
        <v>3772</v>
      </c>
      <c r="G538">
        <v>111</v>
      </c>
      <c r="H538" t="s">
        <v>3728</v>
      </c>
      <c r="I538" s="46">
        <v>44866.472916666666</v>
      </c>
      <c r="S538" s="8">
        <v>500</v>
      </c>
      <c r="T538" t="s">
        <v>2692</v>
      </c>
      <c r="U538" t="s">
        <v>4466</v>
      </c>
      <c r="W538">
        <v>0</v>
      </c>
      <c r="X538">
        <v>259</v>
      </c>
      <c r="AU538">
        <v>259</v>
      </c>
      <c r="AV538" t="s">
        <v>3772</v>
      </c>
    </row>
    <row r="539" spans="1:48">
      <c r="A539" t="s">
        <v>3643</v>
      </c>
      <c r="B539" t="s">
        <v>3690</v>
      </c>
      <c r="C539" t="s">
        <v>3952</v>
      </c>
      <c r="D539" s="1"/>
      <c r="E539" t="s">
        <v>4324</v>
      </c>
      <c r="F539" t="s">
        <v>3494</v>
      </c>
      <c r="G539">
        <v>111</v>
      </c>
      <c r="H539" t="s">
        <v>3729</v>
      </c>
      <c r="I539" s="46">
        <v>44851.708333333336</v>
      </c>
      <c r="S539" s="8">
        <v>550</v>
      </c>
      <c r="T539" t="s">
        <v>3031</v>
      </c>
      <c r="U539" t="s">
        <v>4524</v>
      </c>
      <c r="W539">
        <v>34</v>
      </c>
      <c r="X539">
        <v>521</v>
      </c>
      <c r="AU539">
        <v>521</v>
      </c>
      <c r="AV539" t="s">
        <v>3494</v>
      </c>
    </row>
    <row r="540" spans="1:48">
      <c r="A540" t="s">
        <v>318</v>
      </c>
      <c r="B540" t="s">
        <v>3605</v>
      </c>
      <c r="C540" t="s">
        <v>3948</v>
      </c>
      <c r="D540" s="1" t="s">
        <v>3036</v>
      </c>
      <c r="E540" t="s">
        <v>4325</v>
      </c>
      <c r="F540" t="s">
        <v>3494</v>
      </c>
      <c r="G540">
        <v>111</v>
      </c>
      <c r="H540" t="s">
        <v>3729</v>
      </c>
      <c r="I540" s="46">
        <v>44851.5</v>
      </c>
      <c r="S540" s="8">
        <v>500</v>
      </c>
      <c r="T540" t="s">
        <v>2692</v>
      </c>
      <c r="U540" t="s">
        <v>4466</v>
      </c>
      <c r="W540">
        <v>15</v>
      </c>
      <c r="X540">
        <v>649</v>
      </c>
      <c r="AU540">
        <v>649</v>
      </c>
      <c r="AV540" t="s">
        <v>3494</v>
      </c>
    </row>
    <row r="541" spans="1:48">
      <c r="A541" t="s">
        <v>44</v>
      </c>
      <c r="B541" t="s">
        <v>292</v>
      </c>
      <c r="C541" t="s">
        <v>3883</v>
      </c>
      <c r="D541" s="1"/>
      <c r="E541" t="s">
        <v>4326</v>
      </c>
      <c r="F541" t="s">
        <v>3494</v>
      </c>
      <c r="G541">
        <v>111</v>
      </c>
      <c r="H541" t="s">
        <v>3729</v>
      </c>
      <c r="I541" s="46">
        <v>44851.333333333336</v>
      </c>
      <c r="S541" s="8">
        <v>550</v>
      </c>
      <c r="T541" t="s">
        <v>4525</v>
      </c>
      <c r="U541" t="s">
        <v>4526</v>
      </c>
      <c r="W541">
        <v>7</v>
      </c>
      <c r="X541">
        <v>685</v>
      </c>
      <c r="AU541">
        <v>685</v>
      </c>
      <c r="AV541" t="s">
        <v>3494</v>
      </c>
    </row>
    <row r="542" spans="1:48">
      <c r="A542" t="s">
        <v>3643</v>
      </c>
      <c r="B542" t="s">
        <v>3730</v>
      </c>
      <c r="C542" t="s">
        <v>3953</v>
      </c>
      <c r="D542" s="1"/>
      <c r="E542" t="s">
        <v>4327</v>
      </c>
      <c r="F542" t="s">
        <v>3494</v>
      </c>
      <c r="G542">
        <v>111</v>
      </c>
      <c r="H542" t="s">
        <v>3729</v>
      </c>
      <c r="I542" s="46">
        <v>44850.708333333336</v>
      </c>
      <c r="S542" s="8">
        <v>550</v>
      </c>
      <c r="T542" t="s">
        <v>3031</v>
      </c>
      <c r="U542" t="s">
        <v>4524</v>
      </c>
      <c r="W542">
        <v>41</v>
      </c>
      <c r="X542">
        <v>301</v>
      </c>
      <c r="AU542">
        <v>301</v>
      </c>
      <c r="AV542" t="s">
        <v>3494</v>
      </c>
    </row>
    <row r="543" spans="1:48">
      <c r="A543" t="s">
        <v>318</v>
      </c>
      <c r="B543" t="s">
        <v>3605</v>
      </c>
      <c r="C543" t="s">
        <v>3954</v>
      </c>
      <c r="D543" s="1"/>
      <c r="E543" t="s">
        <v>4328</v>
      </c>
      <c r="F543" t="s">
        <v>3494</v>
      </c>
      <c r="G543">
        <v>111</v>
      </c>
      <c r="H543" t="s">
        <v>3729</v>
      </c>
      <c r="I543" s="46">
        <v>44850.666666666664</v>
      </c>
      <c r="S543" s="8">
        <v>500</v>
      </c>
      <c r="T543" t="s">
        <v>2692</v>
      </c>
      <c r="U543" t="s">
        <v>4466</v>
      </c>
      <c r="W543">
        <v>47</v>
      </c>
      <c r="X543">
        <v>425</v>
      </c>
      <c r="AU543">
        <v>425</v>
      </c>
      <c r="AV543" t="s">
        <v>3494</v>
      </c>
    </row>
    <row r="544" spans="1:48">
      <c r="A544" t="s">
        <v>44</v>
      </c>
      <c r="B544" t="s">
        <v>292</v>
      </c>
      <c r="C544" t="s">
        <v>3955</v>
      </c>
      <c r="D544" s="1"/>
      <c r="E544" t="s">
        <v>4329</v>
      </c>
      <c r="F544" t="s">
        <v>3494</v>
      </c>
      <c r="G544">
        <v>111</v>
      </c>
      <c r="H544" t="s">
        <v>3729</v>
      </c>
      <c r="I544" s="46">
        <v>44850.666666666664</v>
      </c>
      <c r="S544" s="8">
        <v>550</v>
      </c>
      <c r="T544" t="s">
        <v>4525</v>
      </c>
      <c r="U544" t="s">
        <v>4526</v>
      </c>
      <c r="W544">
        <v>0</v>
      </c>
      <c r="X544">
        <v>805</v>
      </c>
      <c r="AU544">
        <v>805</v>
      </c>
      <c r="AV544" t="s">
        <v>3494</v>
      </c>
    </row>
    <row r="545" spans="1:48">
      <c r="A545" t="s">
        <v>44</v>
      </c>
      <c r="B545" t="s">
        <v>292</v>
      </c>
      <c r="C545" t="s">
        <v>3883</v>
      </c>
      <c r="D545" s="1"/>
      <c r="E545" t="s">
        <v>4330</v>
      </c>
      <c r="F545" t="s">
        <v>3494</v>
      </c>
      <c r="G545">
        <v>111</v>
      </c>
      <c r="H545" t="s">
        <v>3729</v>
      </c>
      <c r="I545" s="46">
        <v>44850.25</v>
      </c>
      <c r="S545" s="8">
        <v>550</v>
      </c>
      <c r="T545" t="s">
        <v>4525</v>
      </c>
      <c r="U545" t="s">
        <v>4526</v>
      </c>
      <c r="W545">
        <v>44</v>
      </c>
      <c r="X545">
        <v>459</v>
      </c>
      <c r="AU545">
        <v>459</v>
      </c>
      <c r="AV545" t="s">
        <v>3494</v>
      </c>
    </row>
    <row r="546" spans="1:48">
      <c r="A546" t="s">
        <v>3588</v>
      </c>
      <c r="B546" t="s">
        <v>3731</v>
      </c>
      <c r="C546" t="s">
        <v>3956</v>
      </c>
      <c r="D546" s="55"/>
      <c r="E546" t="s">
        <v>4331</v>
      </c>
      <c r="F546" t="s">
        <v>3398</v>
      </c>
      <c r="G546">
        <v>111</v>
      </c>
      <c r="H546" t="s">
        <v>3729</v>
      </c>
      <c r="I546" s="56">
        <v>44850.083333333336</v>
      </c>
      <c r="S546" s="53">
        <v>500</v>
      </c>
      <c r="T546">
        <v>466930</v>
      </c>
      <c r="U546" t="s">
        <v>4527</v>
      </c>
      <c r="W546">
        <v>2</v>
      </c>
      <c r="X546">
        <v>308</v>
      </c>
      <c r="AU546">
        <v>308</v>
      </c>
      <c r="AV546" t="s">
        <v>3398</v>
      </c>
    </row>
    <row r="547" spans="1:48">
      <c r="A547" t="s">
        <v>44</v>
      </c>
      <c r="B547" t="s">
        <v>45</v>
      </c>
      <c r="C547" t="s">
        <v>3957</v>
      </c>
      <c r="D547" s="1"/>
      <c r="E547" t="s">
        <v>4332</v>
      </c>
      <c r="F547" t="s">
        <v>3494</v>
      </c>
      <c r="G547">
        <v>111</v>
      </c>
      <c r="H547" t="s">
        <v>3732</v>
      </c>
      <c r="I547" s="46">
        <v>44841.583333333336</v>
      </c>
      <c r="S547" s="8">
        <v>450</v>
      </c>
      <c r="T547" t="s">
        <v>52</v>
      </c>
      <c r="U547" t="s">
        <v>53</v>
      </c>
      <c r="W547">
        <v>31</v>
      </c>
      <c r="X547">
        <v>237</v>
      </c>
      <c r="AU547">
        <v>237</v>
      </c>
      <c r="AV547" t="s">
        <v>3494</v>
      </c>
    </row>
    <row r="548" spans="1:48">
      <c r="A548" t="s">
        <v>272</v>
      </c>
      <c r="B548" t="s">
        <v>660</v>
      </c>
      <c r="C548" t="s">
        <v>3803</v>
      </c>
      <c r="D548" s="1"/>
      <c r="E548" t="s">
        <v>4333</v>
      </c>
      <c r="F548" t="s">
        <v>3494</v>
      </c>
      <c r="G548">
        <v>111</v>
      </c>
      <c r="H548" t="s">
        <v>3732</v>
      </c>
      <c r="I548" s="46">
        <v>44822.625</v>
      </c>
      <c r="S548" s="8">
        <v>450</v>
      </c>
      <c r="T548" t="s">
        <v>3075</v>
      </c>
      <c r="U548" t="s">
        <v>4528</v>
      </c>
      <c r="W548">
        <v>0</v>
      </c>
      <c r="X548">
        <v>30</v>
      </c>
      <c r="AU548">
        <v>30</v>
      </c>
      <c r="AV548" t="s">
        <v>3494</v>
      </c>
    </row>
    <row r="549" spans="1:48">
      <c r="A549" t="s">
        <v>65</v>
      </c>
      <c r="B549" t="s">
        <v>3733</v>
      </c>
      <c r="C549" t="s">
        <v>3892</v>
      </c>
      <c r="D549" s="1"/>
      <c r="E549" t="s">
        <v>4334</v>
      </c>
      <c r="F549" t="s">
        <v>3494</v>
      </c>
      <c r="G549">
        <v>111</v>
      </c>
      <c r="H549" t="s">
        <v>3691</v>
      </c>
      <c r="I549" s="46">
        <v>44773.583333333336</v>
      </c>
      <c r="S549" s="8">
        <v>350</v>
      </c>
      <c r="T549" t="s">
        <v>4529</v>
      </c>
      <c r="U549" t="s">
        <v>4452</v>
      </c>
      <c r="W549">
        <v>0</v>
      </c>
      <c r="X549">
        <v>27</v>
      </c>
      <c r="AU549">
        <v>27</v>
      </c>
      <c r="AV549" t="s">
        <v>3494</v>
      </c>
    </row>
    <row r="550" spans="1:48">
      <c r="A550" t="s">
        <v>3634</v>
      </c>
      <c r="B550" t="s">
        <v>3734</v>
      </c>
      <c r="C550" t="s">
        <v>3958</v>
      </c>
      <c r="D550" s="1"/>
      <c r="E550" t="s">
        <v>4335</v>
      </c>
      <c r="F550" t="s">
        <v>3494</v>
      </c>
      <c r="G550">
        <v>111</v>
      </c>
      <c r="H550" t="s">
        <v>3691</v>
      </c>
      <c r="I550" s="46">
        <v>44721.041666666664</v>
      </c>
      <c r="S550" s="8">
        <v>500</v>
      </c>
      <c r="T550" t="s">
        <v>3088</v>
      </c>
      <c r="U550" t="s">
        <v>4530</v>
      </c>
      <c r="W550">
        <v>0</v>
      </c>
      <c r="X550">
        <v>157</v>
      </c>
      <c r="AU550">
        <v>157</v>
      </c>
      <c r="AV550" t="s">
        <v>3494</v>
      </c>
    </row>
    <row r="551" spans="1:48">
      <c r="A551" t="s">
        <v>352</v>
      </c>
      <c r="B551" t="s">
        <v>3708</v>
      </c>
      <c r="C551" t="s">
        <v>3959</v>
      </c>
      <c r="D551" s="1"/>
      <c r="E551" t="s">
        <v>4336</v>
      </c>
      <c r="F551" t="s">
        <v>3494</v>
      </c>
      <c r="G551">
        <v>111</v>
      </c>
      <c r="H551" t="s">
        <v>3691</v>
      </c>
      <c r="I551" s="46">
        <v>44698.083333333336</v>
      </c>
      <c r="S551" s="8">
        <v>550</v>
      </c>
      <c r="T551" t="s">
        <v>2629</v>
      </c>
      <c r="U551" t="s">
        <v>4478</v>
      </c>
      <c r="W551">
        <v>2</v>
      </c>
      <c r="X551">
        <v>137</v>
      </c>
      <c r="AU551">
        <v>137</v>
      </c>
      <c r="AV551" t="s">
        <v>3494</v>
      </c>
    </row>
    <row r="552" spans="1:48">
      <c r="A552" t="s">
        <v>272</v>
      </c>
      <c r="B552" t="s">
        <v>273</v>
      </c>
      <c r="C552" t="s">
        <v>672</v>
      </c>
      <c r="D552" s="1"/>
      <c r="E552" t="s">
        <v>4337</v>
      </c>
      <c r="F552" t="s">
        <v>3494</v>
      </c>
      <c r="G552">
        <v>111</v>
      </c>
      <c r="H552" t="s">
        <v>3691</v>
      </c>
      <c r="I552" s="46">
        <v>44677.125</v>
      </c>
      <c r="S552" s="8">
        <v>350</v>
      </c>
      <c r="T552" t="s">
        <v>4479</v>
      </c>
      <c r="U552" t="s">
        <v>4480</v>
      </c>
      <c r="W552">
        <v>0</v>
      </c>
      <c r="X552">
        <v>16</v>
      </c>
      <c r="AU552">
        <v>16</v>
      </c>
      <c r="AV552" t="s">
        <v>3494</v>
      </c>
    </row>
    <row r="553" spans="1:48">
      <c r="A553" t="s">
        <v>617</v>
      </c>
      <c r="B553" t="s">
        <v>630</v>
      </c>
      <c r="C553" t="s">
        <v>3960</v>
      </c>
      <c r="D553" s="1"/>
      <c r="E553" t="s">
        <v>4338</v>
      </c>
      <c r="F553" t="s">
        <v>3773</v>
      </c>
      <c r="G553">
        <v>111</v>
      </c>
      <c r="H553" t="s">
        <v>3691</v>
      </c>
      <c r="I553" s="46">
        <v>44673.916666666664</v>
      </c>
      <c r="S553" s="8">
        <v>450</v>
      </c>
      <c r="T553" t="s">
        <v>4531</v>
      </c>
      <c r="U553" t="s">
        <v>4532</v>
      </c>
      <c r="W553">
        <v>87</v>
      </c>
      <c r="X553">
        <v>148</v>
      </c>
      <c r="AU553">
        <v>148</v>
      </c>
      <c r="AV553" t="s">
        <v>3773</v>
      </c>
    </row>
    <row r="554" spans="1:48">
      <c r="A554" t="s">
        <v>3634</v>
      </c>
      <c r="B554" t="s">
        <v>3669</v>
      </c>
      <c r="C554" t="s">
        <v>125</v>
      </c>
      <c r="D554" s="1"/>
      <c r="E554" t="s">
        <v>4339</v>
      </c>
      <c r="F554" t="s">
        <v>3494</v>
      </c>
      <c r="G554">
        <v>111</v>
      </c>
      <c r="H554" t="s">
        <v>3691</v>
      </c>
      <c r="I554" s="46">
        <v>44648.333333333336</v>
      </c>
      <c r="S554" s="8">
        <v>500</v>
      </c>
      <c r="T554" t="s">
        <v>4533</v>
      </c>
      <c r="U554" t="s">
        <v>4375</v>
      </c>
      <c r="W554">
        <v>10</v>
      </c>
      <c r="X554">
        <v>144</v>
      </c>
      <c r="AU554">
        <v>144</v>
      </c>
      <c r="AV554" t="s">
        <v>3494</v>
      </c>
    </row>
    <row r="555" spans="1:48">
      <c r="A555" t="s">
        <v>3643</v>
      </c>
      <c r="B555" t="s">
        <v>3696</v>
      </c>
      <c r="C555" t="s">
        <v>3961</v>
      </c>
      <c r="D555" s="1"/>
      <c r="E555" t="s">
        <v>4340</v>
      </c>
      <c r="F555" t="s">
        <v>3494</v>
      </c>
      <c r="G555">
        <v>111</v>
      </c>
      <c r="H555" t="s">
        <v>3691</v>
      </c>
      <c r="I555" s="46">
        <v>44615.75</v>
      </c>
      <c r="S555" s="8">
        <v>600</v>
      </c>
      <c r="T555">
        <v>466940</v>
      </c>
      <c r="U555" t="s">
        <v>4465</v>
      </c>
      <c r="W555">
        <v>3</v>
      </c>
      <c r="X555">
        <v>205</v>
      </c>
      <c r="AU555">
        <v>205</v>
      </c>
      <c r="AV555" t="s">
        <v>3494</v>
      </c>
    </row>
    <row r="556" spans="1:48">
      <c r="A556" t="s">
        <v>76</v>
      </c>
      <c r="B556" t="s">
        <v>77</v>
      </c>
      <c r="C556" t="s">
        <v>3788</v>
      </c>
      <c r="D556" s="1"/>
      <c r="E556" t="s">
        <v>4341</v>
      </c>
      <c r="F556" t="s">
        <v>3751</v>
      </c>
      <c r="G556">
        <v>112</v>
      </c>
      <c r="H556" t="s">
        <v>88</v>
      </c>
      <c r="I556" s="46">
        <v>45142.333333333336</v>
      </c>
      <c r="S556" s="8">
        <v>300</v>
      </c>
      <c r="T556" t="s">
        <v>2848</v>
      </c>
      <c r="U556" t="s">
        <v>4512</v>
      </c>
      <c r="W556">
        <v>42</v>
      </c>
      <c r="X556">
        <v>221</v>
      </c>
      <c r="AU556">
        <v>221</v>
      </c>
      <c r="AV556" t="s">
        <v>3751</v>
      </c>
    </row>
    <row r="557" spans="1:48">
      <c r="A557" t="s">
        <v>76</v>
      </c>
      <c r="B557" t="s">
        <v>77</v>
      </c>
      <c r="C557" t="s">
        <v>395</v>
      </c>
      <c r="D557" s="1"/>
      <c r="E557" t="s">
        <v>4342</v>
      </c>
      <c r="F557" t="s">
        <v>3494</v>
      </c>
      <c r="G557">
        <v>112</v>
      </c>
      <c r="H557" t="s">
        <v>88</v>
      </c>
      <c r="I557" s="46">
        <v>45142.416666666664</v>
      </c>
      <c r="S557" s="8">
        <v>300</v>
      </c>
      <c r="T557" t="s">
        <v>96</v>
      </c>
      <c r="U557" t="s">
        <v>97</v>
      </c>
      <c r="W557">
        <v>89</v>
      </c>
      <c r="X557">
        <v>457</v>
      </c>
      <c r="AU557">
        <v>457</v>
      </c>
      <c r="AV557" t="s">
        <v>3494</v>
      </c>
    </row>
    <row r="558" spans="1:48">
      <c r="A558" t="s">
        <v>76</v>
      </c>
      <c r="B558" t="s">
        <v>77</v>
      </c>
      <c r="C558" t="s">
        <v>78</v>
      </c>
      <c r="D558" s="1" t="s">
        <v>3129</v>
      </c>
      <c r="E558" t="s">
        <v>4343</v>
      </c>
      <c r="F558" t="s">
        <v>3398</v>
      </c>
      <c r="G558">
        <v>112</v>
      </c>
      <c r="H558" t="s">
        <v>88</v>
      </c>
      <c r="I558" s="46">
        <v>45142.416666666664</v>
      </c>
      <c r="S558" s="8">
        <v>300</v>
      </c>
      <c r="T558" t="s">
        <v>89</v>
      </c>
      <c r="U558" t="s">
        <v>90</v>
      </c>
      <c r="W558">
        <v>2</v>
      </c>
      <c r="X558">
        <v>431</v>
      </c>
      <c r="AU558">
        <v>431</v>
      </c>
      <c r="AV558" t="s">
        <v>3398</v>
      </c>
    </row>
    <row r="559" spans="1:48">
      <c r="A559" t="s">
        <v>76</v>
      </c>
      <c r="B559" t="s">
        <v>77</v>
      </c>
      <c r="C559" t="s">
        <v>78</v>
      </c>
      <c r="D559" s="1"/>
      <c r="E559" t="s">
        <v>4344</v>
      </c>
      <c r="F559" t="s">
        <v>3440</v>
      </c>
      <c r="G559">
        <v>112</v>
      </c>
      <c r="H559" t="s">
        <v>88</v>
      </c>
      <c r="I559" s="46">
        <v>45142.541666666664</v>
      </c>
      <c r="S559" s="8">
        <v>300</v>
      </c>
      <c r="T559" t="s">
        <v>401</v>
      </c>
      <c r="U559" t="s">
        <v>83</v>
      </c>
      <c r="W559">
        <v>44</v>
      </c>
      <c r="X559">
        <v>695</v>
      </c>
      <c r="AU559">
        <v>695</v>
      </c>
      <c r="AV559" t="s">
        <v>3440</v>
      </c>
    </row>
    <row r="560" spans="1:48">
      <c r="A560" t="s">
        <v>76</v>
      </c>
      <c r="B560" t="s">
        <v>77</v>
      </c>
      <c r="C560" t="s">
        <v>93</v>
      </c>
      <c r="D560" s="1" t="s">
        <v>3146</v>
      </c>
      <c r="E560" t="s">
        <v>4345</v>
      </c>
      <c r="F560" t="s">
        <v>3398</v>
      </c>
      <c r="G560">
        <v>112</v>
      </c>
      <c r="H560" t="s">
        <v>88</v>
      </c>
      <c r="I560" s="46">
        <v>45142.708333333336</v>
      </c>
      <c r="S560" s="8">
        <v>300</v>
      </c>
      <c r="T560" t="s">
        <v>401</v>
      </c>
      <c r="U560" t="s">
        <v>83</v>
      </c>
      <c r="W560">
        <v>0</v>
      </c>
      <c r="X560">
        <v>934</v>
      </c>
      <c r="AU560">
        <v>934</v>
      </c>
      <c r="AV560" t="s">
        <v>3398</v>
      </c>
    </row>
    <row r="561" spans="1:48">
      <c r="A561" t="s">
        <v>76</v>
      </c>
      <c r="B561" t="s">
        <v>77</v>
      </c>
      <c r="C561" t="s">
        <v>93</v>
      </c>
      <c r="D561" s="1"/>
      <c r="E561" t="s">
        <v>4346</v>
      </c>
      <c r="F561" t="s">
        <v>3436</v>
      </c>
      <c r="G561">
        <v>112</v>
      </c>
      <c r="H561" t="s">
        <v>88</v>
      </c>
      <c r="I561" s="46">
        <v>45142.375</v>
      </c>
      <c r="S561" s="8">
        <v>300</v>
      </c>
      <c r="T561" t="s">
        <v>401</v>
      </c>
      <c r="U561" t="s">
        <v>83</v>
      </c>
      <c r="W561">
        <v>60</v>
      </c>
      <c r="X561">
        <v>526</v>
      </c>
      <c r="AU561">
        <v>526</v>
      </c>
      <c r="AV561" t="s">
        <v>3436</v>
      </c>
    </row>
    <row r="562" spans="1:48">
      <c r="A562" t="s">
        <v>76</v>
      </c>
      <c r="B562" t="s">
        <v>77</v>
      </c>
      <c r="C562" t="s">
        <v>385</v>
      </c>
      <c r="D562" s="1"/>
      <c r="E562" t="s">
        <v>4347</v>
      </c>
      <c r="F562" t="s">
        <v>3494</v>
      </c>
      <c r="G562">
        <v>112</v>
      </c>
      <c r="H562" t="s">
        <v>88</v>
      </c>
      <c r="I562" s="46">
        <v>45142.666666666664</v>
      </c>
      <c r="S562" s="8">
        <v>300</v>
      </c>
      <c r="T562" t="s">
        <v>4534</v>
      </c>
      <c r="U562" t="s">
        <v>4535</v>
      </c>
      <c r="W562">
        <v>106</v>
      </c>
      <c r="X562">
        <v>639</v>
      </c>
      <c r="AU562">
        <v>639</v>
      </c>
      <c r="AV562" t="s">
        <v>3494</v>
      </c>
    </row>
    <row r="563" spans="1:48">
      <c r="A563" t="s">
        <v>272</v>
      </c>
      <c r="B563" t="s">
        <v>3735</v>
      </c>
      <c r="C563" t="s">
        <v>194</v>
      </c>
      <c r="D563" s="1"/>
      <c r="E563" t="s">
        <v>4348</v>
      </c>
      <c r="F563" t="s">
        <v>3386</v>
      </c>
      <c r="G563">
        <v>112</v>
      </c>
      <c r="H563" t="s">
        <v>3736</v>
      </c>
      <c r="I563" s="46">
        <v>45173.5</v>
      </c>
      <c r="S563" s="8">
        <v>450</v>
      </c>
      <c r="T563" t="s">
        <v>4536</v>
      </c>
      <c r="U563" t="s">
        <v>4537</v>
      </c>
      <c r="W563">
        <v>3</v>
      </c>
      <c r="X563">
        <v>542</v>
      </c>
      <c r="AU563">
        <v>542</v>
      </c>
      <c r="AV563" t="s">
        <v>3386</v>
      </c>
    </row>
    <row r="564" spans="1:48">
      <c r="A564" t="s">
        <v>44</v>
      </c>
      <c r="B564" t="s">
        <v>45</v>
      </c>
      <c r="C564" t="s">
        <v>3962</v>
      </c>
      <c r="D564" s="1"/>
      <c r="E564" t="s">
        <v>4349</v>
      </c>
      <c r="F564" t="s">
        <v>3398</v>
      </c>
      <c r="G564">
        <v>112</v>
      </c>
      <c r="H564" t="s">
        <v>3736</v>
      </c>
      <c r="I564" s="46">
        <v>45172.631944444445</v>
      </c>
      <c r="S564" s="8">
        <v>500</v>
      </c>
      <c r="T564" t="s">
        <v>61</v>
      </c>
      <c r="U564" t="s">
        <v>62</v>
      </c>
      <c r="W564">
        <v>45</v>
      </c>
      <c r="X564">
        <v>216</v>
      </c>
      <c r="AU564">
        <v>216</v>
      </c>
      <c r="AV564" t="s">
        <v>3398</v>
      </c>
    </row>
    <row r="565" spans="1:48">
      <c r="A565" t="s">
        <v>617</v>
      </c>
      <c r="B565" t="s">
        <v>3737</v>
      </c>
      <c r="C565" t="s">
        <v>3963</v>
      </c>
      <c r="D565" s="1"/>
      <c r="E565" t="s">
        <v>4350</v>
      </c>
      <c r="F565" t="s">
        <v>3494</v>
      </c>
      <c r="G565">
        <v>112</v>
      </c>
      <c r="H565" t="s">
        <v>3738</v>
      </c>
      <c r="I565" s="46">
        <v>45137.5</v>
      </c>
      <c r="S565" s="8">
        <v>400</v>
      </c>
      <c r="T565" t="s">
        <v>3198</v>
      </c>
      <c r="U565" t="s">
        <v>4538</v>
      </c>
      <c r="W565">
        <v>0</v>
      </c>
      <c r="X565">
        <v>279</v>
      </c>
      <c r="AU565">
        <v>279</v>
      </c>
      <c r="AV565" t="s">
        <v>3494</v>
      </c>
    </row>
    <row r="566" spans="1:48">
      <c r="A566" t="s">
        <v>272</v>
      </c>
      <c r="B566" t="s">
        <v>273</v>
      </c>
      <c r="C566" t="s">
        <v>672</v>
      </c>
      <c r="D566" s="1"/>
      <c r="E566" t="s">
        <v>4351</v>
      </c>
      <c r="F566" t="s">
        <v>3494</v>
      </c>
      <c r="G566">
        <v>112</v>
      </c>
      <c r="H566" t="s">
        <v>3738</v>
      </c>
      <c r="I566" s="46">
        <v>45134.604166666664</v>
      </c>
      <c r="S566" s="8">
        <v>400</v>
      </c>
      <c r="T566" t="s">
        <v>4539</v>
      </c>
      <c r="U566" t="s">
        <v>4540</v>
      </c>
      <c r="W566">
        <v>17</v>
      </c>
      <c r="X566">
        <v>534</v>
      </c>
      <c r="AU566">
        <v>534</v>
      </c>
      <c r="AV566" t="s">
        <v>3494</v>
      </c>
    </row>
    <row r="567" spans="1:48">
      <c r="A567" t="s">
        <v>183</v>
      </c>
      <c r="B567" t="s">
        <v>184</v>
      </c>
      <c r="C567" t="s">
        <v>185</v>
      </c>
      <c r="D567" s="1" t="s">
        <v>1563</v>
      </c>
      <c r="E567" t="s">
        <v>4352</v>
      </c>
      <c r="F567" t="s">
        <v>3554</v>
      </c>
      <c r="G567">
        <v>112</v>
      </c>
      <c r="H567" t="s">
        <v>3739</v>
      </c>
      <c r="I567" s="46">
        <v>45180.75</v>
      </c>
      <c r="S567" s="8">
        <v>300</v>
      </c>
      <c r="T567" t="s">
        <v>189</v>
      </c>
      <c r="U567" t="s">
        <v>190</v>
      </c>
      <c r="W567">
        <v>0</v>
      </c>
      <c r="X567">
        <v>323</v>
      </c>
      <c r="AU567">
        <v>323</v>
      </c>
      <c r="AV567" t="s">
        <v>3554</v>
      </c>
    </row>
    <row r="568" spans="1:48">
      <c r="A568" t="s">
        <v>183</v>
      </c>
      <c r="B568" t="s">
        <v>504</v>
      </c>
      <c r="C568" t="s">
        <v>3964</v>
      </c>
      <c r="D568" s="1"/>
      <c r="E568" t="s">
        <v>4353</v>
      </c>
      <c r="F568" t="s">
        <v>3554</v>
      </c>
      <c r="G568">
        <v>112</v>
      </c>
      <c r="H568" t="s">
        <v>3739</v>
      </c>
      <c r="I568" s="46">
        <v>45179.791666666664</v>
      </c>
      <c r="S568" s="8">
        <v>400</v>
      </c>
      <c r="T568" t="s">
        <v>507</v>
      </c>
      <c r="U568" t="s">
        <v>508</v>
      </c>
      <c r="W568">
        <v>43</v>
      </c>
      <c r="X568">
        <v>192</v>
      </c>
      <c r="AU568">
        <v>192</v>
      </c>
      <c r="AV568" t="s">
        <v>3554</v>
      </c>
    </row>
    <row r="569" spans="1:48">
      <c r="A569" t="s">
        <v>76</v>
      </c>
      <c r="B569" t="s">
        <v>118</v>
      </c>
      <c r="C569" t="s">
        <v>162</v>
      </c>
      <c r="D569" s="1" t="s">
        <v>3219</v>
      </c>
      <c r="E569" t="s">
        <v>4354</v>
      </c>
      <c r="F569" t="s">
        <v>3398</v>
      </c>
      <c r="G569">
        <v>112</v>
      </c>
      <c r="H569" t="s">
        <v>3739</v>
      </c>
      <c r="I569" s="46">
        <v>45161.833333333336</v>
      </c>
      <c r="S569" s="8">
        <v>300</v>
      </c>
      <c r="T569" t="s">
        <v>3221</v>
      </c>
      <c r="U569" t="s">
        <v>168</v>
      </c>
      <c r="W569">
        <v>0</v>
      </c>
      <c r="X569">
        <v>6</v>
      </c>
      <c r="AU569">
        <v>6</v>
      </c>
      <c r="AV569" t="s">
        <v>3398</v>
      </c>
    </row>
    <row r="570" spans="1:48">
      <c r="A570" t="s">
        <v>76</v>
      </c>
      <c r="B570" t="s">
        <v>118</v>
      </c>
      <c r="C570" t="s">
        <v>162</v>
      </c>
      <c r="D570" s="1" t="s">
        <v>3219</v>
      </c>
      <c r="E570" t="s">
        <v>4354</v>
      </c>
      <c r="F570" t="s">
        <v>3398</v>
      </c>
      <c r="G570">
        <v>112</v>
      </c>
      <c r="H570" t="s">
        <v>3739</v>
      </c>
      <c r="I570" s="46">
        <v>45162.708333333336</v>
      </c>
      <c r="S570" s="8">
        <v>300</v>
      </c>
      <c r="T570" t="s">
        <v>3221</v>
      </c>
      <c r="U570" t="s">
        <v>168</v>
      </c>
      <c r="W570">
        <v>24</v>
      </c>
      <c r="X570">
        <v>46</v>
      </c>
      <c r="AU570">
        <v>46</v>
      </c>
      <c r="AV570" t="s">
        <v>3398</v>
      </c>
    </row>
    <row r="571" spans="1:48">
      <c r="A571" t="s">
        <v>220</v>
      </c>
      <c r="B571" t="s">
        <v>586</v>
      </c>
      <c r="C571" t="s">
        <v>589</v>
      </c>
      <c r="D571" s="1"/>
      <c r="E571" t="s">
        <v>4355</v>
      </c>
      <c r="F571" t="s">
        <v>3398</v>
      </c>
      <c r="G571">
        <v>112</v>
      </c>
      <c r="H571" t="s">
        <v>3739</v>
      </c>
      <c r="I571" s="46">
        <v>45160.791666666664</v>
      </c>
      <c r="S571" s="8">
        <v>300</v>
      </c>
      <c r="T571" t="s">
        <v>591</v>
      </c>
      <c r="U571" t="s">
        <v>592</v>
      </c>
      <c r="W571">
        <v>7</v>
      </c>
      <c r="X571">
        <v>38</v>
      </c>
      <c r="AU571">
        <v>38</v>
      </c>
      <c r="AV571" t="s">
        <v>3398</v>
      </c>
    </row>
    <row r="572" spans="1:48">
      <c r="A572" t="s">
        <v>220</v>
      </c>
      <c r="B572" t="s">
        <v>586</v>
      </c>
      <c r="C572" t="s">
        <v>589</v>
      </c>
      <c r="D572" s="1"/>
      <c r="E572" t="s">
        <v>4355</v>
      </c>
      <c r="F572" t="s">
        <v>3398</v>
      </c>
      <c r="G572">
        <v>112</v>
      </c>
      <c r="H572" t="s">
        <v>3739</v>
      </c>
      <c r="I572" s="46">
        <v>45161.75</v>
      </c>
      <c r="S572" s="8">
        <v>300</v>
      </c>
      <c r="T572" t="s">
        <v>591</v>
      </c>
      <c r="U572" t="s">
        <v>592</v>
      </c>
      <c r="W572">
        <v>2</v>
      </c>
      <c r="X572">
        <v>65</v>
      </c>
      <c r="AU572">
        <v>65</v>
      </c>
      <c r="AV572" t="s">
        <v>3398</v>
      </c>
    </row>
    <row r="573" spans="1:48">
      <c r="A573" t="s">
        <v>76</v>
      </c>
      <c r="B573" t="s">
        <v>77</v>
      </c>
      <c r="C573" t="s">
        <v>3788</v>
      </c>
      <c r="D573" s="1"/>
      <c r="E573" t="s">
        <v>4356</v>
      </c>
      <c r="F573" t="s">
        <v>3494</v>
      </c>
      <c r="G573">
        <v>112</v>
      </c>
      <c r="H573" t="s">
        <v>3739</v>
      </c>
      <c r="I573" s="46">
        <v>45109.458333333336</v>
      </c>
      <c r="S573" s="8">
        <v>300</v>
      </c>
      <c r="T573" t="s">
        <v>4541</v>
      </c>
      <c r="U573" t="s">
        <v>4377</v>
      </c>
      <c r="W573">
        <v>0</v>
      </c>
      <c r="X573">
        <v>36</v>
      </c>
      <c r="AU573">
        <v>36</v>
      </c>
      <c r="AV573" t="s">
        <v>3494</v>
      </c>
    </row>
    <row r="574" spans="1:48">
      <c r="A574" t="s">
        <v>318</v>
      </c>
      <c r="B574" t="s">
        <v>3686</v>
      </c>
      <c r="C574" t="s">
        <v>3864</v>
      </c>
      <c r="D574" s="1"/>
      <c r="E574" t="s">
        <v>4357</v>
      </c>
      <c r="F574" t="s">
        <v>3494</v>
      </c>
      <c r="G574">
        <v>112</v>
      </c>
      <c r="H574" t="s">
        <v>3739</v>
      </c>
      <c r="I574" s="46">
        <v>44962.916666666664</v>
      </c>
      <c r="S574" s="8">
        <v>500</v>
      </c>
      <c r="T574" t="s">
        <v>4542</v>
      </c>
      <c r="U574" t="s">
        <v>4471</v>
      </c>
      <c r="W574">
        <v>7</v>
      </c>
      <c r="X574">
        <v>63</v>
      </c>
      <c r="AU574">
        <v>63</v>
      </c>
      <c r="AV574" t="s">
        <v>3494</v>
      </c>
    </row>
    <row r="575" spans="1:48">
      <c r="A575" t="s">
        <v>272</v>
      </c>
      <c r="B575" t="s">
        <v>273</v>
      </c>
      <c r="C575" t="s">
        <v>681</v>
      </c>
      <c r="D575" s="1"/>
      <c r="E575" t="s">
        <v>4358</v>
      </c>
      <c r="F575" t="s">
        <v>3398</v>
      </c>
      <c r="G575">
        <v>113</v>
      </c>
      <c r="H575" t="s">
        <v>3740</v>
      </c>
      <c r="I575" s="46">
        <v>45404.625</v>
      </c>
      <c r="S575" s="8">
        <v>300</v>
      </c>
      <c r="T575" t="s">
        <v>684</v>
      </c>
      <c r="U575" t="s">
        <v>685</v>
      </c>
      <c r="W575">
        <v>20.5</v>
      </c>
      <c r="X575">
        <v>49</v>
      </c>
      <c r="AU575">
        <v>49</v>
      </c>
      <c r="AV575" t="s">
        <v>3398</v>
      </c>
    </row>
    <row r="576" spans="1:48">
      <c r="A576" t="s">
        <v>272</v>
      </c>
      <c r="B576" t="s">
        <v>273</v>
      </c>
      <c r="C576" t="s">
        <v>681</v>
      </c>
      <c r="D576" s="1" t="s">
        <v>3257</v>
      </c>
      <c r="E576" t="s">
        <v>4359</v>
      </c>
      <c r="F576" t="s">
        <v>3398</v>
      </c>
      <c r="G576">
        <v>113</v>
      </c>
      <c r="H576" t="s">
        <v>3691</v>
      </c>
      <c r="I576" s="46">
        <v>45464.6875</v>
      </c>
      <c r="S576" s="8">
        <v>300</v>
      </c>
      <c r="T576" t="s">
        <v>684</v>
      </c>
      <c r="U576" t="s">
        <v>685</v>
      </c>
      <c r="W576">
        <v>2</v>
      </c>
      <c r="X576">
        <v>48.2</v>
      </c>
      <c r="AU576">
        <v>48.2</v>
      </c>
      <c r="AV576" t="s">
        <v>3398</v>
      </c>
    </row>
    <row r="577" spans="1:48">
      <c r="A577" t="s">
        <v>272</v>
      </c>
      <c r="B577" t="s">
        <v>273</v>
      </c>
      <c r="C577" t="s">
        <v>280</v>
      </c>
      <c r="D577" s="1" t="s">
        <v>3263</v>
      </c>
      <c r="E577" t="s">
        <v>4360</v>
      </c>
      <c r="F577" t="s">
        <v>3398</v>
      </c>
      <c r="G577">
        <v>113</v>
      </c>
      <c r="H577" t="s">
        <v>3691</v>
      </c>
      <c r="I577" s="46">
        <v>45463.809027777781</v>
      </c>
      <c r="S577" s="8">
        <v>300</v>
      </c>
      <c r="T577" t="s">
        <v>282</v>
      </c>
      <c r="U577" t="s">
        <v>283</v>
      </c>
      <c r="W577">
        <v>4.5</v>
      </c>
      <c r="X577">
        <v>45.3</v>
      </c>
      <c r="AU577">
        <v>45.3</v>
      </c>
      <c r="AV577" t="s">
        <v>3398</v>
      </c>
    </row>
    <row r="578" spans="1:48">
      <c r="A578" t="s">
        <v>3643</v>
      </c>
      <c r="B578" t="s">
        <v>3741</v>
      </c>
      <c r="C578" t="s">
        <v>3965</v>
      </c>
      <c r="D578" s="1"/>
      <c r="E578" t="s">
        <v>4361</v>
      </c>
      <c r="F578" t="s">
        <v>3398</v>
      </c>
      <c r="G578">
        <v>113</v>
      </c>
      <c r="H578" t="s">
        <v>3691</v>
      </c>
      <c r="I578" s="46">
        <v>45446.602777777778</v>
      </c>
      <c r="S578" s="8">
        <v>550</v>
      </c>
      <c r="T578" t="s">
        <v>3274</v>
      </c>
      <c r="U578" t="s">
        <v>4543</v>
      </c>
      <c r="W578">
        <v>0</v>
      </c>
      <c r="X578">
        <v>48.7</v>
      </c>
      <c r="AU578">
        <v>48.7</v>
      </c>
      <c r="AV578" t="s">
        <v>3398</v>
      </c>
    </row>
    <row r="579" spans="1:48">
      <c r="A579" t="s">
        <v>76</v>
      </c>
      <c r="B579" t="s">
        <v>118</v>
      </c>
      <c r="C579" t="s">
        <v>162</v>
      </c>
      <c r="D579" s="1" t="s">
        <v>3219</v>
      </c>
      <c r="E579" t="s">
        <v>4362</v>
      </c>
      <c r="F579" t="s">
        <v>3398</v>
      </c>
      <c r="G579">
        <v>113</v>
      </c>
      <c r="H579" t="s">
        <v>3691</v>
      </c>
      <c r="I579" s="46">
        <v>45440.5</v>
      </c>
      <c r="S579" s="8">
        <v>300</v>
      </c>
      <c r="T579" t="s">
        <v>3278</v>
      </c>
      <c r="U579" t="s">
        <v>4544</v>
      </c>
      <c r="W579">
        <v>17.5</v>
      </c>
      <c r="X579">
        <v>102</v>
      </c>
      <c r="AU579">
        <v>102</v>
      </c>
      <c r="AV579" t="s">
        <v>3398</v>
      </c>
    </row>
    <row r="580" spans="1:48">
      <c r="A580" t="s">
        <v>220</v>
      </c>
      <c r="B580" t="s">
        <v>586</v>
      </c>
      <c r="C580" t="s">
        <v>589</v>
      </c>
      <c r="D580" s="1" t="s">
        <v>3293</v>
      </c>
      <c r="E580" t="s">
        <v>4363</v>
      </c>
      <c r="F580" t="s">
        <v>3398</v>
      </c>
      <c r="G580">
        <v>113</v>
      </c>
      <c r="H580" t="s">
        <v>59</v>
      </c>
      <c r="I580" s="46">
        <v>45498.916666666664</v>
      </c>
      <c r="S580" s="8">
        <v>300</v>
      </c>
      <c r="T580" t="s">
        <v>591</v>
      </c>
      <c r="U580" t="s">
        <v>592</v>
      </c>
      <c r="W580">
        <v>4</v>
      </c>
      <c r="X580">
        <v>1162.7</v>
      </c>
      <c r="AU580">
        <v>1162.7</v>
      </c>
      <c r="AV580" t="s">
        <v>3398</v>
      </c>
    </row>
    <row r="581" spans="1:48">
      <c r="A581" t="s">
        <v>220</v>
      </c>
      <c r="B581" t="s">
        <v>221</v>
      </c>
      <c r="C581" t="s">
        <v>238</v>
      </c>
      <c r="D581" s="1" t="s">
        <v>3316</v>
      </c>
      <c r="E581" t="s">
        <v>4364</v>
      </c>
      <c r="F581" t="s">
        <v>3783</v>
      </c>
      <c r="G581">
        <v>113</v>
      </c>
      <c r="H581" t="s">
        <v>59</v>
      </c>
      <c r="I581" s="46">
        <v>45499.625</v>
      </c>
      <c r="S581" s="8">
        <v>350</v>
      </c>
      <c r="T581" t="s">
        <v>241</v>
      </c>
      <c r="U581" t="s">
        <v>242</v>
      </c>
      <c r="W581">
        <v>35.5</v>
      </c>
      <c r="X581">
        <v>1066.0999999999999</v>
      </c>
      <c r="AU581">
        <v>1066.0999999999999</v>
      </c>
      <c r="AV581" t="s">
        <v>3783</v>
      </c>
    </row>
    <row r="582" spans="1:48">
      <c r="A582" t="s">
        <v>183</v>
      </c>
      <c r="B582" t="s">
        <v>504</v>
      </c>
      <c r="C582" t="s">
        <v>3964</v>
      </c>
      <c r="D582" s="1"/>
      <c r="E582" t="s">
        <v>4353</v>
      </c>
      <c r="F582" t="s">
        <v>3751</v>
      </c>
      <c r="G582">
        <v>113</v>
      </c>
      <c r="H582" t="s">
        <v>59</v>
      </c>
      <c r="I582" s="46">
        <v>45498.166666666664</v>
      </c>
      <c r="S582" s="8">
        <v>400</v>
      </c>
      <c r="T582" t="s">
        <v>3332</v>
      </c>
      <c r="U582" t="s">
        <v>4545</v>
      </c>
      <c r="W582">
        <v>54</v>
      </c>
      <c r="X582">
        <v>394.8</v>
      </c>
      <c r="AU582">
        <v>394.8</v>
      </c>
      <c r="AV582" t="s">
        <v>3751</v>
      </c>
    </row>
    <row r="583" spans="1:48">
      <c r="A583" t="s">
        <v>318</v>
      </c>
      <c r="B583" t="s">
        <v>3686</v>
      </c>
      <c r="C583" t="s">
        <v>3966</v>
      </c>
      <c r="D583" s="1"/>
      <c r="E583" t="s">
        <v>4365</v>
      </c>
      <c r="F583" t="s">
        <v>3398</v>
      </c>
      <c r="G583">
        <v>113</v>
      </c>
      <c r="H583" t="s">
        <v>633</v>
      </c>
      <c r="I583" s="46">
        <v>45569.666666666664</v>
      </c>
      <c r="S583" s="8">
        <v>500</v>
      </c>
      <c r="T583" t="s">
        <v>4542</v>
      </c>
      <c r="U583" t="s">
        <v>4471</v>
      </c>
      <c r="W583">
        <v>78.5</v>
      </c>
      <c r="X583">
        <v>284.8</v>
      </c>
      <c r="AU583">
        <v>284.8</v>
      </c>
      <c r="AV583" t="s">
        <v>3398</v>
      </c>
    </row>
    <row r="584" spans="1:48">
      <c r="A584" t="s">
        <v>617</v>
      </c>
      <c r="B584" t="s">
        <v>630</v>
      </c>
      <c r="C584" t="s">
        <v>631</v>
      </c>
      <c r="D584" s="1" t="s">
        <v>3368</v>
      </c>
      <c r="E584" t="s">
        <v>4366</v>
      </c>
      <c r="F584" t="s">
        <v>3398</v>
      </c>
      <c r="G584">
        <v>113</v>
      </c>
      <c r="H584" t="s">
        <v>633</v>
      </c>
      <c r="I584" s="46">
        <v>45567.833333333336</v>
      </c>
      <c r="S584" s="8">
        <v>450</v>
      </c>
      <c r="T584" t="s">
        <v>634</v>
      </c>
      <c r="U584" t="s">
        <v>635</v>
      </c>
      <c r="W584">
        <v>12.5</v>
      </c>
      <c r="X584">
        <v>376</v>
      </c>
      <c r="AU584">
        <v>376</v>
      </c>
      <c r="AV584" t="s">
        <v>3398</v>
      </c>
    </row>
    <row r="585" spans="1:48">
      <c r="A585" t="s">
        <v>3634</v>
      </c>
      <c r="B585" t="s">
        <v>3742</v>
      </c>
      <c r="C585" t="s">
        <v>3823</v>
      </c>
      <c r="D585" s="1" t="s">
        <v>3381</v>
      </c>
      <c r="E585" t="s">
        <v>4367</v>
      </c>
      <c r="F585" t="s">
        <v>3756</v>
      </c>
      <c r="G585">
        <v>113</v>
      </c>
      <c r="H585" t="s">
        <v>3743</v>
      </c>
      <c r="I585" s="46">
        <v>45555.916666666664</v>
      </c>
      <c r="S585" s="8">
        <v>600</v>
      </c>
      <c r="T585" t="s">
        <v>4546</v>
      </c>
      <c r="U585" t="s">
        <v>4547</v>
      </c>
      <c r="W585">
        <v>97</v>
      </c>
      <c r="X585">
        <v>120</v>
      </c>
      <c r="AU585">
        <v>120</v>
      </c>
      <c r="AV585" t="s">
        <v>3756</v>
      </c>
    </row>
    <row r="586" spans="1:48">
      <c r="A586" t="s">
        <v>44</v>
      </c>
      <c r="B586" t="s">
        <v>3423</v>
      </c>
      <c r="C586" t="s">
        <v>3424</v>
      </c>
      <c r="D586" s="1" t="s">
        <v>3392</v>
      </c>
      <c r="E586" t="s">
        <v>4368</v>
      </c>
      <c r="F586" t="s">
        <v>3386</v>
      </c>
      <c r="G586">
        <v>113</v>
      </c>
      <c r="H586" t="s">
        <v>3744</v>
      </c>
      <c r="I586" s="66">
        <v>45596.458333333336</v>
      </c>
      <c r="S586" s="8">
        <v>550</v>
      </c>
      <c r="T586" t="s">
        <v>3395</v>
      </c>
      <c r="U586" t="s">
        <v>4548</v>
      </c>
      <c r="W586">
        <v>21</v>
      </c>
      <c r="X586">
        <v>143.9</v>
      </c>
      <c r="AU586">
        <v>143.9</v>
      </c>
      <c r="AV586" t="s">
        <v>3386</v>
      </c>
    </row>
    <row r="587" spans="1:48">
      <c r="A587" t="s">
        <v>272</v>
      </c>
      <c r="B587" t="s">
        <v>660</v>
      </c>
      <c r="C587" t="s">
        <v>3967</v>
      </c>
      <c r="D587" s="63" t="s">
        <v>3404</v>
      </c>
      <c r="E587" t="s">
        <v>4369</v>
      </c>
      <c r="F587" t="s">
        <v>3398</v>
      </c>
      <c r="G587">
        <v>113</v>
      </c>
      <c r="H587" t="s">
        <v>3744</v>
      </c>
      <c r="I587" s="66">
        <v>45596.333333333336</v>
      </c>
      <c r="S587" s="8">
        <v>500</v>
      </c>
      <c r="T587" t="s">
        <v>3406</v>
      </c>
      <c r="U587" t="s">
        <v>4549</v>
      </c>
      <c r="W587">
        <v>31</v>
      </c>
      <c r="X587">
        <v>300.2</v>
      </c>
      <c r="AU587">
        <v>300.2</v>
      </c>
      <c r="AV587" t="s">
        <v>3398</v>
      </c>
    </row>
    <row r="588" spans="1:48">
      <c r="A588" t="s">
        <v>272</v>
      </c>
      <c r="B588" t="s">
        <v>3745</v>
      </c>
      <c r="C588" t="s">
        <v>3968</v>
      </c>
      <c r="D588" s="63" t="s">
        <v>3412</v>
      </c>
      <c r="E588" t="s">
        <v>4370</v>
      </c>
      <c r="F588" t="s">
        <v>3398</v>
      </c>
      <c r="G588">
        <v>113</v>
      </c>
      <c r="H588" t="s">
        <v>3744</v>
      </c>
      <c r="I588" s="66">
        <v>45596.291666666664</v>
      </c>
      <c r="S588" s="8">
        <v>550</v>
      </c>
      <c r="T588" t="s">
        <v>3414</v>
      </c>
      <c r="U588" t="s">
        <v>4550</v>
      </c>
      <c r="W588">
        <v>74</v>
      </c>
      <c r="X588">
        <v>237</v>
      </c>
      <c r="AU588">
        <v>237</v>
      </c>
      <c r="AV588" t="s">
        <v>3398</v>
      </c>
    </row>
    <row r="589" spans="1:48">
      <c r="A589" t="s">
        <v>272</v>
      </c>
      <c r="B589" t="s">
        <v>273</v>
      </c>
      <c r="C589" t="s">
        <v>681</v>
      </c>
      <c r="D589" s="68" t="s">
        <v>3418</v>
      </c>
      <c r="E589" t="s">
        <v>3417</v>
      </c>
      <c r="F589" t="s">
        <v>3398</v>
      </c>
      <c r="G589">
        <v>114</v>
      </c>
      <c r="H589" t="s">
        <v>3419</v>
      </c>
      <c r="I589" s="69">
        <v>45795.666666666664</v>
      </c>
      <c r="S589" s="68">
        <v>300</v>
      </c>
      <c r="T589" t="s">
        <v>684</v>
      </c>
      <c r="U589" t="s">
        <v>685</v>
      </c>
      <c r="W589">
        <v>18.5</v>
      </c>
      <c r="X589">
        <v>67.17</v>
      </c>
      <c r="AU589">
        <v>67.17</v>
      </c>
      <c r="AV589" t="s">
        <v>3398</v>
      </c>
    </row>
    <row r="590" spans="1:48">
      <c r="A590" t="s">
        <v>44</v>
      </c>
      <c r="B590" t="s">
        <v>3423</v>
      </c>
      <c r="C590" t="s">
        <v>3424</v>
      </c>
      <c r="D590" s="68" t="s">
        <v>3425</v>
      </c>
      <c r="E590" t="s">
        <v>3422</v>
      </c>
      <c r="F590" t="s">
        <v>3398</v>
      </c>
      <c r="G590">
        <v>114</v>
      </c>
      <c r="H590" t="s">
        <v>3419</v>
      </c>
      <c r="I590" s="69">
        <v>45795.708333333336</v>
      </c>
      <c r="S590" s="68">
        <v>550</v>
      </c>
      <c r="T590" t="s">
        <v>3427</v>
      </c>
      <c r="U590" t="s">
        <v>3428</v>
      </c>
      <c r="W590">
        <v>42</v>
      </c>
      <c r="X590">
        <v>54.02</v>
      </c>
      <c r="AU590">
        <v>54.02</v>
      </c>
      <c r="AV590" t="s">
        <v>3398</v>
      </c>
    </row>
    <row r="591" spans="1:48">
      <c r="A591" t="s">
        <v>272</v>
      </c>
      <c r="B591" t="s">
        <v>273</v>
      </c>
      <c r="C591" t="s">
        <v>681</v>
      </c>
      <c r="D591" s="68" t="s">
        <v>3432</v>
      </c>
      <c r="E591" t="s">
        <v>3431</v>
      </c>
      <c r="F591" t="s">
        <v>3429</v>
      </c>
      <c r="G591">
        <v>114</v>
      </c>
      <c r="H591" t="s">
        <v>3419</v>
      </c>
      <c r="I591" s="69">
        <v>45795.716666666667</v>
      </c>
      <c r="S591" s="68">
        <v>300</v>
      </c>
      <c r="T591" t="s">
        <v>684</v>
      </c>
      <c r="U591" t="s">
        <v>685</v>
      </c>
      <c r="W591" t="s">
        <v>4552</v>
      </c>
      <c r="X591" t="s">
        <v>3435</v>
      </c>
      <c r="AU591" t="s">
        <v>3435</v>
      </c>
      <c r="AV591" t="s">
        <v>3429</v>
      </c>
    </row>
    <row r="592" spans="1:48">
      <c r="A592" t="s">
        <v>272</v>
      </c>
      <c r="B592" t="s">
        <v>273</v>
      </c>
      <c r="C592" t="s">
        <v>681</v>
      </c>
      <c r="D592" s="68"/>
      <c r="E592" t="s">
        <v>3438</v>
      </c>
      <c r="F592" t="s">
        <v>3436</v>
      </c>
      <c r="G592">
        <v>114</v>
      </c>
      <c r="H592" t="s">
        <v>3419</v>
      </c>
      <c r="I592" s="69">
        <v>45797.666666666664</v>
      </c>
      <c r="S592" s="68">
        <v>300</v>
      </c>
      <c r="T592" t="s">
        <v>684</v>
      </c>
      <c r="U592" t="s">
        <v>685</v>
      </c>
      <c r="W592">
        <v>30.5</v>
      </c>
      <c r="X592">
        <v>82.04</v>
      </c>
      <c r="AU592">
        <v>82.04</v>
      </c>
      <c r="AV592" t="s">
        <v>3436</v>
      </c>
    </row>
    <row r="593" spans="1:48">
      <c r="A593" t="s">
        <v>220</v>
      </c>
      <c r="B593" t="s">
        <v>221</v>
      </c>
      <c r="C593" t="s">
        <v>238</v>
      </c>
      <c r="D593" s="68" t="s">
        <v>3443</v>
      </c>
      <c r="E593" t="s">
        <v>3442</v>
      </c>
      <c r="F593" t="s">
        <v>3440</v>
      </c>
      <c r="G593">
        <v>114</v>
      </c>
      <c r="H593" t="s">
        <v>3419</v>
      </c>
      <c r="I593" s="69">
        <v>45835.666666666664</v>
      </c>
      <c r="S593" s="68">
        <v>350</v>
      </c>
      <c r="T593" t="s">
        <v>241</v>
      </c>
      <c r="U593" t="s">
        <v>242</v>
      </c>
      <c r="W593">
        <v>6</v>
      </c>
      <c r="X593">
        <v>35.1</v>
      </c>
      <c r="AU593">
        <v>35.1</v>
      </c>
      <c r="AV593" t="s">
        <v>3440</v>
      </c>
    </row>
    <row r="594" spans="1:48">
      <c r="A594" t="s">
        <v>76</v>
      </c>
      <c r="B594" t="s">
        <v>118</v>
      </c>
      <c r="C594" t="s">
        <v>162</v>
      </c>
      <c r="D594" s="68" t="s">
        <v>3447</v>
      </c>
      <c r="E594" t="s">
        <v>3446</v>
      </c>
      <c r="F594" t="s">
        <v>3398</v>
      </c>
      <c r="G594">
        <v>114</v>
      </c>
      <c r="H594" t="s">
        <v>3419</v>
      </c>
      <c r="I594" s="69">
        <v>45835.708333333336</v>
      </c>
      <c r="S594" s="68">
        <v>300</v>
      </c>
      <c r="T594" t="s">
        <v>3449</v>
      </c>
      <c r="U594" t="s">
        <v>3450</v>
      </c>
      <c r="W594">
        <v>16.5</v>
      </c>
      <c r="X594">
        <v>28.96</v>
      </c>
      <c r="AU594">
        <v>28.96</v>
      </c>
      <c r="AV594" t="s">
        <v>3398</v>
      </c>
    </row>
    <row r="595" spans="1:48">
      <c r="A595" t="s">
        <v>174</v>
      </c>
      <c r="B595" t="s">
        <v>175</v>
      </c>
      <c r="C595" t="s">
        <v>497</v>
      </c>
      <c r="D595" s="68" t="s">
        <v>3454</v>
      </c>
      <c r="E595" t="s">
        <v>3453</v>
      </c>
      <c r="F595" t="s">
        <v>3451</v>
      </c>
      <c r="G595">
        <v>114</v>
      </c>
      <c r="H595" t="s">
        <v>3455</v>
      </c>
      <c r="I595" s="69">
        <v>45846.738888888889</v>
      </c>
      <c r="S595" s="68">
        <v>400</v>
      </c>
      <c r="T595" t="s">
        <v>3457</v>
      </c>
      <c r="U595" t="s">
        <v>3458</v>
      </c>
      <c r="W595">
        <v>12</v>
      </c>
      <c r="X595">
        <v>211.2</v>
      </c>
      <c r="AU595">
        <v>211.2</v>
      </c>
      <c r="AV595" t="s">
        <v>3451</v>
      </c>
    </row>
    <row r="596" spans="1:48">
      <c r="A596" t="s">
        <v>76</v>
      </c>
      <c r="B596" t="s">
        <v>118</v>
      </c>
      <c r="C596" t="s">
        <v>125</v>
      </c>
      <c r="D596" s="68" t="s">
        <v>3460</v>
      </c>
      <c r="E596" t="s">
        <v>710</v>
      </c>
      <c r="F596" t="s">
        <v>3398</v>
      </c>
      <c r="G596">
        <v>114</v>
      </c>
      <c r="H596" t="s">
        <v>3455</v>
      </c>
      <c r="I596" s="69">
        <v>45847.666666666664</v>
      </c>
      <c r="S596" s="68">
        <v>300</v>
      </c>
      <c r="T596" t="s">
        <v>128</v>
      </c>
      <c r="U596" t="s">
        <v>104</v>
      </c>
      <c r="W596">
        <v>9.5</v>
      </c>
      <c r="X596">
        <v>139.9</v>
      </c>
      <c r="AU596">
        <v>139.9</v>
      </c>
      <c r="AV596" t="s">
        <v>3398</v>
      </c>
    </row>
    <row r="597" spans="1:48">
      <c r="A597" t="s">
        <v>265</v>
      </c>
      <c r="B597" t="s">
        <v>3465</v>
      </c>
      <c r="C597" t="s">
        <v>3466</v>
      </c>
      <c r="D597" s="68" t="s">
        <v>3467</v>
      </c>
      <c r="E597" t="s">
        <v>3464</v>
      </c>
      <c r="F597" t="s">
        <v>3462</v>
      </c>
      <c r="G597">
        <v>114</v>
      </c>
      <c r="H597" t="s">
        <v>3455</v>
      </c>
      <c r="I597" s="69">
        <v>45848.75</v>
      </c>
      <c r="S597" s="68">
        <v>550</v>
      </c>
      <c r="T597" t="s">
        <v>3469</v>
      </c>
      <c r="U597" t="s">
        <v>3470</v>
      </c>
      <c r="W597">
        <v>5</v>
      </c>
      <c r="X597">
        <v>405.1</v>
      </c>
      <c r="AU597">
        <v>405.1</v>
      </c>
      <c r="AV597" t="s">
        <v>3462</v>
      </c>
    </row>
    <row r="598" spans="1:48">
      <c r="A598" t="s">
        <v>76</v>
      </c>
      <c r="B598" t="s">
        <v>448</v>
      </c>
      <c r="C598" t="s">
        <v>468</v>
      </c>
      <c r="D598" s="68" t="s">
        <v>3474</v>
      </c>
      <c r="E598" t="s">
        <v>3473</v>
      </c>
      <c r="F598" t="s">
        <v>3471</v>
      </c>
      <c r="G598">
        <v>114</v>
      </c>
      <c r="H598" t="s">
        <v>3475</v>
      </c>
      <c r="I598" s="66">
        <v>45859.700694444444</v>
      </c>
      <c r="S598" s="68"/>
      <c r="T598" t="s">
        <v>473</v>
      </c>
      <c r="U598" t="s">
        <v>474</v>
      </c>
      <c r="W598">
        <v>36</v>
      </c>
      <c r="X598">
        <v>164.5</v>
      </c>
      <c r="AU598">
        <v>164.5</v>
      </c>
      <c r="AV598" t="s">
        <v>3471</v>
      </c>
    </row>
    <row r="599" spans="1:48">
      <c r="A599" t="s">
        <v>272</v>
      </c>
      <c r="B599" t="s">
        <v>284</v>
      </c>
      <c r="C599" t="s">
        <v>3479</v>
      </c>
      <c r="D599" s="68" t="s">
        <v>3480</v>
      </c>
      <c r="E599" t="s">
        <v>3478</v>
      </c>
      <c r="F599" t="s">
        <v>3451</v>
      </c>
      <c r="G599">
        <v>114</v>
      </c>
      <c r="H599" t="s">
        <v>3481</v>
      </c>
      <c r="I599" s="66">
        <v>45859.745833333334</v>
      </c>
      <c r="S599" s="68">
        <v>550</v>
      </c>
      <c r="T599" t="s">
        <v>990</v>
      </c>
      <c r="U599" t="s">
        <v>3483</v>
      </c>
      <c r="W599">
        <v>0.5</v>
      </c>
      <c r="X599">
        <v>286.10000000000002</v>
      </c>
      <c r="AU599">
        <v>286.10000000000002</v>
      </c>
      <c r="AV599" t="s">
        <v>3451</v>
      </c>
    </row>
    <row r="600" spans="1:48">
      <c r="A600" t="s">
        <v>220</v>
      </c>
      <c r="B600" t="s">
        <v>221</v>
      </c>
      <c r="C600" t="s">
        <v>238</v>
      </c>
      <c r="D600" s="68" t="s">
        <v>3485</v>
      </c>
      <c r="E600" t="s">
        <v>3442</v>
      </c>
      <c r="F600" t="s">
        <v>3398</v>
      </c>
      <c r="G600">
        <v>114</v>
      </c>
      <c r="H600" t="s">
        <v>3486</v>
      </c>
      <c r="I600" s="66">
        <v>45866.416666666664</v>
      </c>
      <c r="S600" s="68">
        <v>350</v>
      </c>
      <c r="T600" t="s">
        <v>241</v>
      </c>
      <c r="U600" t="s">
        <v>242</v>
      </c>
      <c r="W600">
        <v>29</v>
      </c>
      <c r="X600">
        <v>239.1</v>
      </c>
      <c r="AU600">
        <v>239.1</v>
      </c>
      <c r="AV600" t="s">
        <v>3398</v>
      </c>
    </row>
    <row r="601" spans="1:48">
      <c r="A601" t="s">
        <v>220</v>
      </c>
      <c r="B601" t="s">
        <v>221</v>
      </c>
      <c r="C601" t="s">
        <v>238</v>
      </c>
      <c r="D601" s="68" t="s">
        <v>3490</v>
      </c>
      <c r="E601" t="s">
        <v>3489</v>
      </c>
      <c r="F601" t="s">
        <v>3398</v>
      </c>
      <c r="G601">
        <v>114</v>
      </c>
      <c r="H601" t="s">
        <v>3486</v>
      </c>
      <c r="I601" s="66">
        <v>45866.416666666664</v>
      </c>
      <c r="S601" s="68">
        <v>350</v>
      </c>
      <c r="T601" t="s">
        <v>241</v>
      </c>
      <c r="U601" t="s">
        <v>242</v>
      </c>
      <c r="W601">
        <v>29</v>
      </c>
      <c r="X601">
        <v>239.1</v>
      </c>
      <c r="AU601">
        <v>239.1</v>
      </c>
      <c r="AV601" t="s">
        <v>3398</v>
      </c>
    </row>
    <row r="602" spans="1:48">
      <c r="A602" t="s">
        <v>76</v>
      </c>
      <c r="B602" t="s">
        <v>118</v>
      </c>
      <c r="C602" t="s">
        <v>125</v>
      </c>
      <c r="D602" s="68" t="s">
        <v>3460</v>
      </c>
      <c r="E602" t="s">
        <v>710</v>
      </c>
      <c r="F602" t="s">
        <v>3398</v>
      </c>
      <c r="G602">
        <v>114</v>
      </c>
      <c r="H602" t="s">
        <v>3486</v>
      </c>
      <c r="I602" s="66">
        <v>45868.684027777781</v>
      </c>
      <c r="S602" s="68">
        <v>300</v>
      </c>
      <c r="T602" t="s">
        <v>128</v>
      </c>
      <c r="U602" t="s">
        <v>104</v>
      </c>
      <c r="W602">
        <v>1.5</v>
      </c>
      <c r="X602">
        <v>165.3</v>
      </c>
      <c r="AU602">
        <v>165.3</v>
      </c>
      <c r="AV602" t="s">
        <v>3398</v>
      </c>
    </row>
    <row r="603" spans="1:48">
      <c r="A603" t="s">
        <v>220</v>
      </c>
      <c r="B603" t="s">
        <v>586</v>
      </c>
      <c r="C603" t="s">
        <v>3497</v>
      </c>
      <c r="D603" s="68" t="s">
        <v>3498</v>
      </c>
      <c r="E603" t="s">
        <v>3496</v>
      </c>
      <c r="F603" t="s">
        <v>3494</v>
      </c>
      <c r="G603">
        <v>114</v>
      </c>
      <c r="H603" t="s">
        <v>3486</v>
      </c>
      <c r="I603" s="66">
        <v>45868.833333333336</v>
      </c>
      <c r="S603" s="68">
        <v>700</v>
      </c>
      <c r="T603" t="s">
        <v>3500</v>
      </c>
      <c r="U603" t="s">
        <v>3501</v>
      </c>
      <c r="W603">
        <v>34</v>
      </c>
      <c r="X603">
        <v>546.1</v>
      </c>
      <c r="AU603">
        <v>546.1</v>
      </c>
      <c r="AV603" t="s">
        <v>3494</v>
      </c>
    </row>
    <row r="604" spans="1:48">
      <c r="A604" t="s">
        <v>220</v>
      </c>
      <c r="B604" t="s">
        <v>586</v>
      </c>
      <c r="C604" t="s">
        <v>3505</v>
      </c>
      <c r="D604" s="68" t="s">
        <v>3506</v>
      </c>
      <c r="E604" t="s">
        <v>3504</v>
      </c>
      <c r="F604" t="s">
        <v>3502</v>
      </c>
      <c r="G604">
        <v>114</v>
      </c>
      <c r="H604" t="s">
        <v>3486</v>
      </c>
      <c r="I604" s="66">
        <v>45868.875</v>
      </c>
      <c r="S604" s="68">
        <v>300</v>
      </c>
      <c r="T604" t="s">
        <v>3508</v>
      </c>
      <c r="U604" t="s">
        <v>3509</v>
      </c>
      <c r="W604">
        <v>81</v>
      </c>
      <c r="X604">
        <v>744.1</v>
      </c>
      <c r="AU604">
        <v>744.1</v>
      </c>
      <c r="AV604" t="s">
        <v>3502</v>
      </c>
    </row>
    <row r="605" spans="1:48">
      <c r="A605" t="s">
        <v>220</v>
      </c>
      <c r="B605" t="s">
        <v>221</v>
      </c>
      <c r="C605" t="s">
        <v>243</v>
      </c>
      <c r="D605" s="68" t="s">
        <v>3512</v>
      </c>
      <c r="E605" t="s">
        <v>3511</v>
      </c>
      <c r="F605" t="s">
        <v>3398</v>
      </c>
      <c r="G605">
        <v>114</v>
      </c>
      <c r="H605" t="s">
        <v>3486</v>
      </c>
      <c r="I605" s="66">
        <v>45869.25</v>
      </c>
      <c r="S605" s="68">
        <v>350</v>
      </c>
      <c r="T605" t="s">
        <v>3514</v>
      </c>
      <c r="U605" t="s">
        <v>3515</v>
      </c>
      <c r="W605">
        <v>6</v>
      </c>
      <c r="X605">
        <v>570.29999999999995</v>
      </c>
      <c r="AU605">
        <v>570.29999999999995</v>
      </c>
      <c r="AV605" t="s">
        <v>3398</v>
      </c>
    </row>
    <row r="606" spans="1:48">
      <c r="A606" t="s">
        <v>76</v>
      </c>
      <c r="B606" t="s">
        <v>118</v>
      </c>
      <c r="C606" t="s">
        <v>125</v>
      </c>
      <c r="D606" s="68" t="s">
        <v>3517</v>
      </c>
      <c r="E606" t="s">
        <v>126</v>
      </c>
      <c r="F606" t="s">
        <v>3398</v>
      </c>
      <c r="G606">
        <v>114</v>
      </c>
      <c r="H606" t="s">
        <v>3486</v>
      </c>
      <c r="I606" s="66">
        <v>45869.381944444445</v>
      </c>
      <c r="S606" s="68">
        <v>300</v>
      </c>
      <c r="T606" t="s">
        <v>128</v>
      </c>
      <c r="U606" t="s">
        <v>104</v>
      </c>
      <c r="W606">
        <v>0.5</v>
      </c>
      <c r="X606">
        <v>511.7</v>
      </c>
      <c r="AU606">
        <v>511.7</v>
      </c>
      <c r="AV606" t="s">
        <v>3398</v>
      </c>
    </row>
    <row r="607" spans="1:48">
      <c r="A607" t="s">
        <v>220</v>
      </c>
      <c r="B607" t="s">
        <v>586</v>
      </c>
      <c r="C607" t="s">
        <v>589</v>
      </c>
      <c r="D607" s="68" t="s">
        <v>3521</v>
      </c>
      <c r="E607" t="s">
        <v>3520</v>
      </c>
      <c r="F607" t="s">
        <v>3502</v>
      </c>
      <c r="G607">
        <v>114</v>
      </c>
      <c r="H607" t="s">
        <v>3486</v>
      </c>
      <c r="I607" s="66">
        <v>45869.416666666664</v>
      </c>
      <c r="S607" s="68">
        <v>300</v>
      </c>
      <c r="T607" t="s">
        <v>3508</v>
      </c>
      <c r="U607" t="s">
        <v>3509</v>
      </c>
      <c r="W607">
        <v>6.5</v>
      </c>
      <c r="X607">
        <v>1023.9</v>
      </c>
      <c r="AU607">
        <v>1023.9</v>
      </c>
      <c r="AV607" t="s">
        <v>3502</v>
      </c>
    </row>
    <row r="608" spans="1:48">
      <c r="A608" t="s">
        <v>65</v>
      </c>
      <c r="B608" t="s">
        <v>3525</v>
      </c>
      <c r="C608" t="s">
        <v>3526</v>
      </c>
      <c r="D608" s="68"/>
      <c r="E608" t="s">
        <v>3524</v>
      </c>
      <c r="F608" t="s">
        <v>3494</v>
      </c>
      <c r="G608">
        <v>114</v>
      </c>
      <c r="H608" t="s">
        <v>3486</v>
      </c>
      <c r="I608" s="66">
        <v>45869.462500000001</v>
      </c>
      <c r="S608" s="68">
        <v>500</v>
      </c>
      <c r="T608" t="s">
        <v>3528</v>
      </c>
      <c r="U608" t="s">
        <v>3529</v>
      </c>
      <c r="W608">
        <v>10</v>
      </c>
      <c r="X608">
        <v>467.8</v>
      </c>
      <c r="AU608">
        <v>467.8</v>
      </c>
      <c r="AV608" t="s">
        <v>3494</v>
      </c>
    </row>
    <row r="609" spans="1:48">
      <c r="A609" t="s">
        <v>3532</v>
      </c>
      <c r="B609" t="s">
        <v>3533</v>
      </c>
      <c r="C609" t="s">
        <v>3534</v>
      </c>
      <c r="D609" s="68"/>
      <c r="E609" t="s">
        <v>3531</v>
      </c>
      <c r="F609" t="s">
        <v>3494</v>
      </c>
      <c r="G609">
        <v>114</v>
      </c>
      <c r="H609" t="s">
        <v>3486</v>
      </c>
      <c r="I609" s="66">
        <v>45869.631249999999</v>
      </c>
      <c r="S609" s="68"/>
      <c r="T609" t="s">
        <v>3536</v>
      </c>
      <c r="U609" t="s">
        <v>3537</v>
      </c>
      <c r="W609">
        <v>2.5</v>
      </c>
      <c r="X609">
        <v>330.4</v>
      </c>
      <c r="AU609">
        <v>330.4</v>
      </c>
      <c r="AV609" t="s">
        <v>3494</v>
      </c>
    </row>
    <row r="610" spans="1:48">
      <c r="A610" t="s">
        <v>3532</v>
      </c>
      <c r="B610" t="s">
        <v>3541</v>
      </c>
      <c r="C610" t="s">
        <v>3542</v>
      </c>
      <c r="D610" s="68" t="s">
        <v>3543</v>
      </c>
      <c r="E610" t="s">
        <v>3540</v>
      </c>
      <c r="F610" t="s">
        <v>3436</v>
      </c>
      <c r="G610">
        <v>114</v>
      </c>
      <c r="H610" t="s">
        <v>3486</v>
      </c>
      <c r="I610" s="66">
        <v>45869.645833333336</v>
      </c>
      <c r="S610" s="68">
        <v>550</v>
      </c>
      <c r="T610" t="s">
        <v>4551</v>
      </c>
      <c r="U610" t="s">
        <v>3546</v>
      </c>
      <c r="W610">
        <v>37</v>
      </c>
      <c r="X610">
        <v>292.3</v>
      </c>
      <c r="AU610">
        <v>292.3</v>
      </c>
      <c r="AV610" t="s">
        <v>3436</v>
      </c>
    </row>
    <row r="611" spans="1:48">
      <c r="A611" t="s">
        <v>3532</v>
      </c>
      <c r="B611" t="s">
        <v>3541</v>
      </c>
      <c r="C611" t="s">
        <v>3542</v>
      </c>
      <c r="D611" s="68" t="s">
        <v>3547</v>
      </c>
      <c r="E611" t="s">
        <v>3540</v>
      </c>
      <c r="F611" t="s">
        <v>3436</v>
      </c>
      <c r="G611">
        <v>114</v>
      </c>
      <c r="H611" t="s">
        <v>3486</v>
      </c>
      <c r="I611" s="66">
        <v>45869.645833333336</v>
      </c>
      <c r="S611" s="68">
        <v>550</v>
      </c>
      <c r="T611" t="s">
        <v>4551</v>
      </c>
      <c r="U611" t="s">
        <v>3546</v>
      </c>
      <c r="W611">
        <v>37</v>
      </c>
      <c r="X611">
        <v>292.3</v>
      </c>
      <c r="AU611">
        <v>292.3</v>
      </c>
      <c r="AV611" t="s">
        <v>3436</v>
      </c>
    </row>
    <row r="612" spans="1:48">
      <c r="A612" t="s">
        <v>213</v>
      </c>
      <c r="B612" t="s">
        <v>214</v>
      </c>
      <c r="C612" t="s">
        <v>3550</v>
      </c>
      <c r="D612" s="68"/>
      <c r="E612" t="s">
        <v>3549</v>
      </c>
      <c r="F612" t="s">
        <v>3494</v>
      </c>
      <c r="G612">
        <v>114</v>
      </c>
      <c r="H612" t="s">
        <v>3486</v>
      </c>
      <c r="I612" s="66">
        <v>45871.416666666664</v>
      </c>
      <c r="S612" s="68"/>
      <c r="T612" t="s">
        <v>3552</v>
      </c>
      <c r="U612" t="s">
        <v>3553</v>
      </c>
      <c r="W612">
        <v>54</v>
      </c>
      <c r="X612">
        <v>331.4</v>
      </c>
      <c r="AU612">
        <v>331.4</v>
      </c>
      <c r="AV612" t="s">
        <v>3494</v>
      </c>
    </row>
    <row r="613" spans="1:48">
      <c r="A613" t="s">
        <v>220</v>
      </c>
      <c r="B613" t="s">
        <v>221</v>
      </c>
      <c r="C613" t="s">
        <v>238</v>
      </c>
      <c r="D613" s="68"/>
      <c r="E613" t="s">
        <v>3556</v>
      </c>
      <c r="F613" t="s">
        <v>3554</v>
      </c>
      <c r="G613">
        <v>114</v>
      </c>
      <c r="H613" t="s">
        <v>3486</v>
      </c>
      <c r="I613" s="66">
        <v>45871.725694444445</v>
      </c>
      <c r="S613" s="68">
        <v>350</v>
      </c>
      <c r="T613" t="s">
        <v>241</v>
      </c>
      <c r="U613" t="s">
        <v>242</v>
      </c>
      <c r="W613">
        <v>10.5</v>
      </c>
      <c r="X613">
        <v>753.4</v>
      </c>
      <c r="AU613">
        <v>753.4</v>
      </c>
      <c r="AV613" t="s">
        <v>3554</v>
      </c>
    </row>
    <row r="614" spans="1:48">
      <c r="A614" t="s">
        <v>213</v>
      </c>
      <c r="B614" t="s">
        <v>3560</v>
      </c>
      <c r="C614" t="s">
        <v>3561</v>
      </c>
      <c r="D614" s="68"/>
      <c r="E614" t="s">
        <v>3559</v>
      </c>
      <c r="F614" t="s">
        <v>3494</v>
      </c>
      <c r="G614">
        <v>114</v>
      </c>
      <c r="H614" t="s">
        <v>3486</v>
      </c>
      <c r="I614" s="66">
        <v>45871.875</v>
      </c>
      <c r="S614" s="68"/>
      <c r="T614" t="s">
        <v>3563</v>
      </c>
      <c r="U614" t="s">
        <v>3564</v>
      </c>
      <c r="W614">
        <v>0</v>
      </c>
      <c r="X614">
        <v>262.39999999999998</v>
      </c>
      <c r="AU614">
        <v>262.39999999999998</v>
      </c>
      <c r="AV614" t="s">
        <v>3494</v>
      </c>
    </row>
    <row r="615" spans="1:48">
      <c r="A615" t="s">
        <v>220</v>
      </c>
      <c r="B615" t="s">
        <v>221</v>
      </c>
      <c r="C615" t="s">
        <v>230</v>
      </c>
      <c r="D615" s="68" t="s">
        <v>3567</v>
      </c>
      <c r="E615" t="s">
        <v>3566</v>
      </c>
      <c r="F615" t="s">
        <v>3502</v>
      </c>
      <c r="G615">
        <v>114</v>
      </c>
      <c r="H615" t="s">
        <v>3486</v>
      </c>
      <c r="I615" s="66">
        <v>45872.375</v>
      </c>
      <c r="S615" s="68">
        <v>350</v>
      </c>
      <c r="T615" t="s">
        <v>233</v>
      </c>
      <c r="U615" t="s">
        <v>234</v>
      </c>
      <c r="W615">
        <v>13</v>
      </c>
      <c r="X615">
        <v>643.5</v>
      </c>
      <c r="AU615">
        <v>643.5</v>
      </c>
      <c r="AV615" t="s">
        <v>3502</v>
      </c>
    </row>
    <row r="616" spans="1:48">
      <c r="A616" t="s">
        <v>220</v>
      </c>
      <c r="B616" t="s">
        <v>221</v>
      </c>
      <c r="C616" t="s">
        <v>230</v>
      </c>
      <c r="D616" s="68" t="s">
        <v>3569</v>
      </c>
      <c r="E616" t="s">
        <v>3566</v>
      </c>
      <c r="F616" t="s">
        <v>3502</v>
      </c>
      <c r="G616">
        <v>114</v>
      </c>
      <c r="H616" t="s">
        <v>3486</v>
      </c>
      <c r="I616" s="66">
        <v>45872.375</v>
      </c>
      <c r="S616" s="68">
        <v>350</v>
      </c>
      <c r="T616" t="s">
        <v>233</v>
      </c>
      <c r="U616" t="s">
        <v>234</v>
      </c>
      <c r="W616">
        <v>13</v>
      </c>
      <c r="X616">
        <v>643.5</v>
      </c>
      <c r="AU616">
        <v>643.5</v>
      </c>
      <c r="AV616" t="s">
        <v>3502</v>
      </c>
    </row>
    <row r="617" spans="1:48">
      <c r="A617" t="s">
        <v>220</v>
      </c>
      <c r="B617" t="s">
        <v>221</v>
      </c>
      <c r="C617" t="s">
        <v>230</v>
      </c>
      <c r="D617" s="68" t="s">
        <v>3572</v>
      </c>
      <c r="E617" t="s">
        <v>3571</v>
      </c>
      <c r="F617" t="s">
        <v>3398</v>
      </c>
      <c r="G617">
        <v>114</v>
      </c>
      <c r="H617" t="s">
        <v>3486</v>
      </c>
      <c r="I617" s="66">
        <v>45872.416666666664</v>
      </c>
      <c r="S617" s="68">
        <v>350</v>
      </c>
      <c r="T617" t="s">
        <v>233</v>
      </c>
      <c r="U617" t="s">
        <v>234</v>
      </c>
      <c r="W617">
        <v>45</v>
      </c>
      <c r="X617">
        <v>661.2</v>
      </c>
      <c r="AU617">
        <v>661.2</v>
      </c>
      <c r="AV617" t="s">
        <v>3398</v>
      </c>
    </row>
    <row r="618" spans="1:48">
      <c r="A618" t="s">
        <v>220</v>
      </c>
      <c r="B618" t="s">
        <v>221</v>
      </c>
      <c r="C618" t="s">
        <v>238</v>
      </c>
      <c r="D618" s="68" t="s">
        <v>3576</v>
      </c>
      <c r="E618" t="s">
        <v>3575</v>
      </c>
      <c r="F618" t="s">
        <v>3502</v>
      </c>
      <c r="G618">
        <v>114</v>
      </c>
      <c r="H618" t="s">
        <v>3486</v>
      </c>
      <c r="I618" s="66">
        <v>45872.583333333336</v>
      </c>
      <c r="S618" s="68">
        <v>350</v>
      </c>
      <c r="T618" t="s">
        <v>241</v>
      </c>
      <c r="U618" t="s">
        <v>242</v>
      </c>
      <c r="W618">
        <v>10</v>
      </c>
      <c r="X618">
        <v>1058.9000000000001</v>
      </c>
      <c r="AU618">
        <v>1058.9000000000001</v>
      </c>
      <c r="AV618" t="s">
        <v>3502</v>
      </c>
    </row>
    <row r="619" spans="1:48">
      <c r="A619" t="s">
        <v>3532</v>
      </c>
      <c r="B619" t="s">
        <v>3580</v>
      </c>
      <c r="C619" t="s">
        <v>3581</v>
      </c>
      <c r="D619" s="68"/>
      <c r="E619" t="s">
        <v>3579</v>
      </c>
      <c r="F619" t="s">
        <v>3494</v>
      </c>
      <c r="G619">
        <v>114</v>
      </c>
      <c r="H619" t="s">
        <v>3486</v>
      </c>
      <c r="I619" s="66">
        <v>45872.666666666664</v>
      </c>
      <c r="S619" s="68"/>
      <c r="T619" t="s">
        <v>3583</v>
      </c>
      <c r="U619" t="s">
        <v>3584</v>
      </c>
      <c r="W619">
        <v>7</v>
      </c>
      <c r="X619">
        <v>258.39999999999998</v>
      </c>
      <c r="AU619">
        <v>258.39999999999998</v>
      </c>
      <c r="AV619" t="s">
        <v>3494</v>
      </c>
    </row>
    <row r="620" spans="1:48">
      <c r="A620" t="s">
        <v>3588</v>
      </c>
      <c r="B620" t="s">
        <v>3589</v>
      </c>
      <c r="C620" t="s">
        <v>3590</v>
      </c>
      <c r="D620" s="68"/>
      <c r="E620" t="s">
        <v>4371</v>
      </c>
      <c r="F620" t="s">
        <v>3585</v>
      </c>
      <c r="G620">
        <v>114</v>
      </c>
      <c r="H620" t="s">
        <v>3599</v>
      </c>
      <c r="I620" s="46">
        <v>45951.833333333336</v>
      </c>
      <c r="S620" s="68"/>
      <c r="T620" t="s">
        <v>3594</v>
      </c>
      <c r="U620" t="s">
        <v>3595</v>
      </c>
      <c r="W620">
        <v>9</v>
      </c>
      <c r="X620">
        <v>225.9</v>
      </c>
      <c r="AU620">
        <v>225.9</v>
      </c>
      <c r="AV620" t="s">
        <v>3585</v>
      </c>
    </row>
    <row r="621" spans="1:48">
      <c r="A621" t="s">
        <v>318</v>
      </c>
      <c r="B621" t="s">
        <v>319</v>
      </c>
      <c r="C621" t="s">
        <v>3598</v>
      </c>
      <c r="D621" s="68"/>
      <c r="E621" t="s">
        <v>3597</v>
      </c>
      <c r="F621" t="s">
        <v>3585</v>
      </c>
      <c r="G621">
        <v>114</v>
      </c>
      <c r="H621" t="s">
        <v>3599</v>
      </c>
      <c r="I621" s="46">
        <v>45952.375</v>
      </c>
      <c r="S621" s="68"/>
      <c r="T621" t="s">
        <v>3601</v>
      </c>
      <c r="U621" t="s">
        <v>3602</v>
      </c>
      <c r="W621">
        <v>8.5</v>
      </c>
      <c r="X621">
        <v>311.89999999999998</v>
      </c>
      <c r="AU621">
        <v>311.89999999999998</v>
      </c>
      <c r="AV621" t="s">
        <v>3585</v>
      </c>
    </row>
    <row r="622" spans="1:48">
      <c r="A622" t="s">
        <v>318</v>
      </c>
      <c r="B622" t="s">
        <v>3605</v>
      </c>
      <c r="C622" t="s">
        <v>3606</v>
      </c>
      <c r="D622" s="68"/>
      <c r="E622" t="s">
        <v>3604</v>
      </c>
      <c r="F622" t="s">
        <v>3585</v>
      </c>
      <c r="G622">
        <v>114</v>
      </c>
      <c r="H622" t="s">
        <v>3599</v>
      </c>
      <c r="I622" s="46">
        <v>45952.166666666664</v>
      </c>
      <c r="S622" s="68">
        <v>500</v>
      </c>
      <c r="T622" t="s">
        <v>3608</v>
      </c>
      <c r="U622" t="s">
        <v>3609</v>
      </c>
      <c r="W622">
        <v>27.5</v>
      </c>
      <c r="X622">
        <v>838</v>
      </c>
      <c r="AU622">
        <v>838</v>
      </c>
      <c r="AV622" t="s">
        <v>3585</v>
      </c>
    </row>
    <row r="623" spans="1:48">
      <c r="A623" t="s">
        <v>318</v>
      </c>
      <c r="B623" t="s">
        <v>341</v>
      </c>
      <c r="C623" t="s">
        <v>3612</v>
      </c>
      <c r="D623" s="68"/>
      <c r="E623" t="s">
        <v>3611</v>
      </c>
      <c r="F623" t="s">
        <v>3494</v>
      </c>
      <c r="G623">
        <v>114</v>
      </c>
      <c r="H623" t="s">
        <v>3599</v>
      </c>
      <c r="I623" s="46">
        <v>45955.25</v>
      </c>
      <c r="S623" s="68">
        <v>450</v>
      </c>
      <c r="T623" t="s">
        <v>3614</v>
      </c>
      <c r="U623" t="s">
        <v>3615</v>
      </c>
      <c r="W623">
        <v>10.5</v>
      </c>
      <c r="X623">
        <v>145.19999999999999</v>
      </c>
      <c r="AU623">
        <v>145.19999999999999</v>
      </c>
      <c r="AV623" t="s">
        <v>3494</v>
      </c>
    </row>
    <row r="624" spans="1:48">
      <c r="A624" t="s">
        <v>318</v>
      </c>
      <c r="B624" t="s">
        <v>3618</v>
      </c>
      <c r="C624" t="s">
        <v>3619</v>
      </c>
      <c r="D624" s="68"/>
      <c r="E624" t="s">
        <v>3617</v>
      </c>
      <c r="F624" t="s">
        <v>3436</v>
      </c>
      <c r="G624">
        <v>114</v>
      </c>
      <c r="H624" t="s">
        <v>3599</v>
      </c>
      <c r="I624" s="46">
        <v>45955.791666666664</v>
      </c>
      <c r="S624" s="68"/>
      <c r="T624" t="s">
        <v>3621</v>
      </c>
      <c r="U624" t="s">
        <v>3622</v>
      </c>
      <c r="W624">
        <v>3</v>
      </c>
      <c r="X624">
        <v>409.3</v>
      </c>
      <c r="AU624">
        <v>409.3</v>
      </c>
      <c r="AV624" t="s">
        <v>3436</v>
      </c>
    </row>
    <row r="625" spans="1:48">
      <c r="A625" t="s">
        <v>44</v>
      </c>
      <c r="B625" t="s">
        <v>308</v>
      </c>
      <c r="C625" t="s">
        <v>3625</v>
      </c>
      <c r="D625" s="68"/>
      <c r="E625" t="s">
        <v>3624</v>
      </c>
      <c r="F625" t="s">
        <v>3436</v>
      </c>
      <c r="G625">
        <v>114</v>
      </c>
      <c r="H625" t="s">
        <v>648</v>
      </c>
      <c r="I625" s="46">
        <v>45972.666666666664</v>
      </c>
      <c r="S625" s="68"/>
      <c r="T625" t="s">
        <v>3627</v>
      </c>
      <c r="U625" t="s">
        <v>311</v>
      </c>
      <c r="W625">
        <v>55.5</v>
      </c>
      <c r="X625">
        <v>323.8</v>
      </c>
      <c r="AU625">
        <v>323.8</v>
      </c>
      <c r="AV625" t="s">
        <v>3436</v>
      </c>
    </row>
    <row r="626" spans="1:48">
      <c r="A626" t="s">
        <v>44</v>
      </c>
      <c r="B626" t="s">
        <v>308</v>
      </c>
      <c r="C626" t="s">
        <v>3630</v>
      </c>
      <c r="D626" s="68"/>
      <c r="E626" t="s">
        <v>3629</v>
      </c>
      <c r="F626" t="s">
        <v>3436</v>
      </c>
      <c r="G626">
        <v>114</v>
      </c>
      <c r="H626" t="s">
        <v>648</v>
      </c>
      <c r="I626" s="46">
        <v>45972.75</v>
      </c>
      <c r="S626" s="68"/>
      <c r="T626" t="s">
        <v>3632</v>
      </c>
      <c r="U626" t="s">
        <v>3633</v>
      </c>
      <c r="W626">
        <v>80</v>
      </c>
      <c r="X626">
        <v>671.3</v>
      </c>
      <c r="AU626">
        <v>671.3</v>
      </c>
      <c r="AV626" t="s">
        <v>3436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水保局全省災害資料</vt:lpstr>
      <vt:lpstr>作業區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Yi-Chao</dc:creator>
  <cp:lastModifiedBy>hans</cp:lastModifiedBy>
  <dcterms:created xsi:type="dcterms:W3CDTF">2026-04-29T03:57:08Z</dcterms:created>
  <dcterms:modified xsi:type="dcterms:W3CDTF">2026-05-15T08:27:24Z</dcterms:modified>
</cp:coreProperties>
</file>